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hiavu/Desktop/đào tạo lên kênh GDCN/"/>
    </mc:Choice>
  </mc:AlternateContent>
  <xr:revisionPtr revIDLastSave="0" documentId="13_ncr:1_{05CBCCF1-1A67-BD41-A2FA-E2512E9A0808}" xr6:coauthVersionLast="47" xr6:coauthVersionMax="47" xr10:uidLastSave="{00000000-0000-0000-0000-000000000000}"/>
  <bookViews>
    <workbookView xWindow="20" yWindow="600" windowWidth="28800" windowHeight="15660" xr2:uid="{F7CCB86F-A8CB-7945-B370-B24FD095C3A5}"/>
  </bookViews>
  <sheets>
    <sheet name="General" sheetId="5" r:id="rId1"/>
    <sheet name="Plan CP" sheetId="2" r:id="rId2"/>
    <sheet name="PR Grupo" sheetId="4" r:id="rId3"/>
    <sheet name="Ubicacion" sheetId="1" r:id="rId4"/>
  </sheets>
  <definedNames>
    <definedName name="_xlnm._FilterDatabase" localSheetId="1" hidden="1">'Plan CP'!$A$6:$CR$89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1" i="4" l="1"/>
  <c r="L21" i="4" s="1"/>
  <c r="M21" i="4" s="1"/>
  <c r="N21" i="4" s="1"/>
  <c r="O21" i="4" s="1"/>
  <c r="P21" i="4" s="1"/>
  <c r="Q21" i="4" s="1"/>
  <c r="K22" i="4"/>
  <c r="L22" i="4" s="1"/>
  <c r="M22" i="4" s="1"/>
  <c r="N22" i="4" s="1"/>
  <c r="O22" i="4" s="1"/>
  <c r="P22" i="4" s="1"/>
  <c r="Q22" i="4" s="1"/>
  <c r="K23" i="4"/>
  <c r="L23" i="4" s="1"/>
  <c r="M23" i="4" s="1"/>
  <c r="N23" i="4" s="1"/>
  <c r="O23" i="4" s="1"/>
  <c r="P23" i="4" s="1"/>
  <c r="Q23" i="4" s="1"/>
  <c r="K24" i="4"/>
  <c r="L24" i="4" s="1"/>
  <c r="M24" i="4" s="1"/>
  <c r="N24" i="4" s="1"/>
  <c r="O24" i="4" s="1"/>
  <c r="P24" i="4" s="1"/>
  <c r="Q24" i="4" s="1"/>
  <c r="K25" i="4"/>
  <c r="L25" i="4" s="1"/>
  <c r="M25" i="4" s="1"/>
  <c r="N25" i="4" s="1"/>
  <c r="O25" i="4" s="1"/>
  <c r="P25" i="4" s="1"/>
  <c r="Q25" i="4" s="1"/>
  <c r="K26" i="4"/>
  <c r="L26" i="4" s="1"/>
  <c r="M26" i="4" s="1"/>
  <c r="N26" i="4" s="1"/>
  <c r="O26" i="4" s="1"/>
  <c r="P26" i="4" s="1"/>
  <c r="Q26" i="4" s="1"/>
  <c r="K27" i="4"/>
  <c r="L27" i="4" s="1"/>
  <c r="M27" i="4" s="1"/>
  <c r="N27" i="4" s="1"/>
  <c r="O27" i="4" s="1"/>
  <c r="P27" i="4" s="1"/>
  <c r="Q27" i="4" s="1"/>
  <c r="K28" i="4"/>
  <c r="L28" i="4" s="1"/>
  <c r="M28" i="4" s="1"/>
  <c r="N28" i="4" s="1"/>
  <c r="O28" i="4" s="1"/>
  <c r="P28" i="4" s="1"/>
  <c r="Q28" i="4" s="1"/>
  <c r="K29" i="4"/>
  <c r="L29" i="4" s="1"/>
  <c r="M29" i="4" s="1"/>
  <c r="N29" i="4" s="1"/>
  <c r="O29" i="4" s="1"/>
  <c r="P29" i="4" s="1"/>
  <c r="Q29" i="4" s="1"/>
  <c r="K30" i="4"/>
  <c r="L30" i="4" s="1"/>
  <c r="M30" i="4" s="1"/>
  <c r="N30" i="4" s="1"/>
  <c r="O30" i="4" s="1"/>
  <c r="P30" i="4" s="1"/>
  <c r="Q30" i="4" s="1"/>
  <c r="K31" i="4"/>
  <c r="L31" i="4" s="1"/>
  <c r="M31" i="4" s="1"/>
  <c r="N31" i="4" s="1"/>
  <c r="O31" i="4" s="1"/>
  <c r="P31" i="4" s="1"/>
  <c r="Q31" i="4" s="1"/>
  <c r="K32" i="4"/>
  <c r="L32" i="4" s="1"/>
  <c r="M32" i="4" s="1"/>
  <c r="N32" i="4" s="1"/>
  <c r="O32" i="4" s="1"/>
  <c r="P32" i="4" s="1"/>
  <c r="Q32" i="4" s="1"/>
  <c r="K33" i="4"/>
  <c r="L33" i="4" s="1"/>
  <c r="M33" i="4" s="1"/>
  <c r="N33" i="4" s="1"/>
  <c r="O33" i="4" s="1"/>
  <c r="P33" i="4" s="1"/>
  <c r="Q33" i="4" s="1"/>
  <c r="K34" i="4"/>
  <c r="L34" i="4" s="1"/>
  <c r="M34" i="4" s="1"/>
  <c r="N34" i="4" s="1"/>
  <c r="O34" i="4" s="1"/>
  <c r="P34" i="4" s="1"/>
  <c r="Q34" i="4" s="1"/>
  <c r="K35" i="4"/>
  <c r="L35" i="4" s="1"/>
  <c r="M35" i="4" s="1"/>
  <c r="N35" i="4" s="1"/>
  <c r="O35" i="4" s="1"/>
  <c r="P35" i="4" s="1"/>
  <c r="Q35" i="4" s="1"/>
  <c r="K36" i="4"/>
  <c r="L36" i="4" s="1"/>
  <c r="M36" i="4" s="1"/>
  <c r="N36" i="4" s="1"/>
  <c r="O36" i="4" s="1"/>
  <c r="P36" i="4" s="1"/>
  <c r="Q36" i="4" s="1"/>
  <c r="K37" i="4"/>
  <c r="L37" i="4" s="1"/>
  <c r="M37" i="4" s="1"/>
  <c r="N37" i="4" s="1"/>
  <c r="O37" i="4" s="1"/>
  <c r="P37" i="4" s="1"/>
  <c r="Q37" i="4" s="1"/>
  <c r="K38" i="4"/>
  <c r="L38" i="4" s="1"/>
  <c r="M38" i="4" s="1"/>
  <c r="N38" i="4" s="1"/>
  <c r="O38" i="4" s="1"/>
  <c r="P38" i="4" s="1"/>
  <c r="Q38" i="4" s="1"/>
  <c r="K39" i="4"/>
  <c r="L39" i="4" s="1"/>
  <c r="M39" i="4" s="1"/>
  <c r="N39" i="4" s="1"/>
  <c r="O39" i="4" s="1"/>
  <c r="P39" i="4" s="1"/>
  <c r="Q39" i="4" s="1"/>
  <c r="K53" i="4"/>
  <c r="L53" i="4" s="1"/>
  <c r="M53" i="4" s="1"/>
  <c r="N53" i="4" s="1"/>
  <c r="O53" i="4" s="1"/>
  <c r="P53" i="4" s="1"/>
  <c r="Q53" i="4" s="1"/>
  <c r="R53" i="4" s="1"/>
  <c r="S53" i="4" s="1"/>
  <c r="T53" i="4" s="1"/>
  <c r="U53" i="4" s="1"/>
  <c r="V53" i="4" s="1"/>
  <c r="W53" i="4" s="1"/>
  <c r="X53" i="4" s="1"/>
  <c r="Y53" i="4" s="1"/>
  <c r="Z53" i="4" s="1"/>
  <c r="AA53" i="4" s="1"/>
  <c r="AB53" i="4" s="1"/>
  <c r="AC53" i="4" s="1"/>
  <c r="AD53" i="4" s="1"/>
  <c r="AE53" i="4" s="1"/>
  <c r="AF53" i="4" s="1"/>
  <c r="AG53" i="4" s="1"/>
  <c r="AH53" i="4" s="1"/>
  <c r="AI53" i="4" s="1"/>
  <c r="AJ53" i="4" s="1"/>
  <c r="AK53" i="4" s="1"/>
  <c r="AL53" i="4" s="1"/>
  <c r="AM53" i="4" s="1"/>
  <c r="AN53" i="4" s="1"/>
  <c r="AO53" i="4" s="1"/>
  <c r="K54" i="4"/>
  <c r="L54" i="4" s="1"/>
  <c r="M54" i="4" s="1"/>
  <c r="N54" i="4" s="1"/>
  <c r="O54" i="4" s="1"/>
  <c r="P54" i="4" s="1"/>
  <c r="Q54" i="4" s="1"/>
  <c r="R54" i="4" s="1"/>
  <c r="S54" i="4" s="1"/>
  <c r="T54" i="4" s="1"/>
  <c r="U54" i="4" s="1"/>
  <c r="V54" i="4" s="1"/>
  <c r="W54" i="4" s="1"/>
  <c r="X54" i="4" s="1"/>
  <c r="Y54" i="4" s="1"/>
  <c r="Z54" i="4" s="1"/>
  <c r="AA54" i="4" s="1"/>
  <c r="AB54" i="4" s="1"/>
  <c r="AC54" i="4" s="1"/>
  <c r="AD54" i="4" s="1"/>
  <c r="AE54" i="4" s="1"/>
  <c r="AF54" i="4" s="1"/>
  <c r="AG54" i="4" s="1"/>
  <c r="AH54" i="4" s="1"/>
  <c r="AI54" i="4" s="1"/>
  <c r="AJ54" i="4" s="1"/>
  <c r="AK54" i="4" s="1"/>
  <c r="AL54" i="4" s="1"/>
  <c r="AM54" i="4" s="1"/>
  <c r="AN54" i="4" s="1"/>
  <c r="AO54" i="4" s="1"/>
  <c r="K55" i="4"/>
  <c r="L55" i="4" s="1"/>
  <c r="M55" i="4" s="1"/>
  <c r="N55" i="4" s="1"/>
  <c r="O55" i="4" s="1"/>
  <c r="P55" i="4" s="1"/>
  <c r="Q55" i="4" s="1"/>
  <c r="R55" i="4" s="1"/>
  <c r="S55" i="4" s="1"/>
  <c r="T55" i="4" s="1"/>
  <c r="U55" i="4" s="1"/>
  <c r="V55" i="4" s="1"/>
  <c r="W55" i="4" s="1"/>
  <c r="X55" i="4" s="1"/>
  <c r="Y55" i="4" s="1"/>
  <c r="Z55" i="4" s="1"/>
  <c r="AA55" i="4" s="1"/>
  <c r="AB55" i="4" s="1"/>
  <c r="AC55" i="4" s="1"/>
  <c r="AD55" i="4" s="1"/>
  <c r="AE55" i="4" s="1"/>
  <c r="AF55" i="4" s="1"/>
  <c r="AG55" i="4" s="1"/>
  <c r="AH55" i="4" s="1"/>
  <c r="AI55" i="4" s="1"/>
  <c r="AJ55" i="4" s="1"/>
  <c r="AK55" i="4" s="1"/>
  <c r="AL55" i="4" s="1"/>
  <c r="AM55" i="4" s="1"/>
  <c r="AN55" i="4" s="1"/>
  <c r="AO55" i="4" s="1"/>
  <c r="K56" i="4"/>
  <c r="L56" i="4" s="1"/>
  <c r="M56" i="4"/>
  <c r="N56" i="4" s="1"/>
  <c r="O56" i="4" s="1"/>
  <c r="P56" i="4" s="1"/>
  <c r="Q56" i="4" s="1"/>
  <c r="R56" i="4" s="1"/>
  <c r="S56" i="4" s="1"/>
  <c r="T56" i="4" s="1"/>
  <c r="U56" i="4" s="1"/>
  <c r="V56" i="4" s="1"/>
  <c r="W56" i="4" s="1"/>
  <c r="X56" i="4" s="1"/>
  <c r="Y56" i="4" s="1"/>
  <c r="Z56" i="4" s="1"/>
  <c r="AA56" i="4" s="1"/>
  <c r="AB56" i="4" s="1"/>
  <c r="AC56" i="4" s="1"/>
  <c r="K57" i="4"/>
  <c r="L57" i="4" s="1"/>
  <c r="M57" i="4" s="1"/>
  <c r="N57" i="4" s="1"/>
  <c r="O57" i="4" s="1"/>
  <c r="P57" i="4" s="1"/>
  <c r="Q57" i="4" s="1"/>
  <c r="R57" i="4" s="1"/>
  <c r="S57" i="4" s="1"/>
  <c r="T57" i="4" s="1"/>
  <c r="U57" i="4" s="1"/>
  <c r="V57" i="4" s="1"/>
  <c r="W57" i="4" s="1"/>
  <c r="X57" i="4" s="1"/>
  <c r="Y57" i="4" s="1"/>
  <c r="Z57" i="4" s="1"/>
  <c r="AA57" i="4" s="1"/>
  <c r="AB57" i="4" s="1"/>
  <c r="AC57" i="4" s="1"/>
  <c r="AD57" i="4" s="1"/>
  <c r="AE57" i="4" s="1"/>
  <c r="AF57" i="4" s="1"/>
  <c r="AG57" i="4" s="1"/>
  <c r="AH57" i="4" s="1"/>
  <c r="AI57" i="4" s="1"/>
  <c r="AJ57" i="4" s="1"/>
  <c r="AK57" i="4" s="1"/>
  <c r="AL57" i="4" s="1"/>
  <c r="AM57" i="4" s="1"/>
  <c r="AN57" i="4" s="1"/>
  <c r="AO57" i="4" s="1"/>
  <c r="K58" i="4"/>
  <c r="L58" i="4" s="1"/>
  <c r="M58" i="4" s="1"/>
  <c r="N58" i="4" s="1"/>
  <c r="O58" i="4" s="1"/>
  <c r="P58" i="4" s="1"/>
  <c r="Q58" i="4" s="1"/>
  <c r="R58" i="4" s="1"/>
  <c r="S58" i="4" s="1"/>
  <c r="T58" i="4" s="1"/>
  <c r="U58" i="4" s="1"/>
  <c r="V58" i="4" s="1"/>
  <c r="W58" i="4" s="1"/>
  <c r="X58" i="4" s="1"/>
  <c r="Y58" i="4" s="1"/>
  <c r="Z58" i="4" s="1"/>
  <c r="AA58" i="4" s="1"/>
  <c r="AB58" i="4" s="1"/>
  <c r="AC58" i="4" s="1"/>
  <c r="AD58" i="4" s="1"/>
  <c r="AE58" i="4" s="1"/>
  <c r="AF58" i="4" s="1"/>
  <c r="AG58" i="4" s="1"/>
  <c r="AH58" i="4" s="1"/>
  <c r="AI58" i="4" s="1"/>
  <c r="AJ58" i="4" s="1"/>
  <c r="AK58" i="4" s="1"/>
  <c r="AL58" i="4" s="1"/>
  <c r="AM58" i="4" s="1"/>
  <c r="AN58" i="4" s="1"/>
  <c r="AO58" i="4" s="1"/>
  <c r="K59" i="4"/>
  <c r="L59" i="4" s="1"/>
  <c r="M59" i="4" s="1"/>
  <c r="N59" i="4" s="1"/>
  <c r="O59" i="4" s="1"/>
  <c r="P59" i="4" s="1"/>
  <c r="Q59" i="4" s="1"/>
  <c r="R59" i="4" s="1"/>
  <c r="S59" i="4" s="1"/>
  <c r="T59" i="4" s="1"/>
  <c r="U59" i="4" s="1"/>
  <c r="V59" i="4" s="1"/>
  <c r="W59" i="4" s="1"/>
  <c r="X59" i="4" s="1"/>
  <c r="Y59" i="4" s="1"/>
  <c r="Z59" i="4" s="1"/>
  <c r="AA59" i="4" s="1"/>
  <c r="AB59" i="4" s="1"/>
  <c r="AC59" i="4" s="1"/>
  <c r="AD59" i="4" s="1"/>
  <c r="AE59" i="4" s="1"/>
  <c r="AF59" i="4" s="1"/>
  <c r="AG59" i="4" s="1"/>
  <c r="AH59" i="4" s="1"/>
  <c r="AI59" i="4" s="1"/>
  <c r="AJ59" i="4" s="1"/>
  <c r="AK59" i="4" s="1"/>
  <c r="AL59" i="4" s="1"/>
  <c r="AM59" i="4" s="1"/>
  <c r="AN59" i="4" s="1"/>
  <c r="AO59" i="4" s="1"/>
  <c r="K60" i="4"/>
  <c r="L60" i="4" s="1"/>
  <c r="M60" i="4" s="1"/>
  <c r="N60" i="4" s="1"/>
  <c r="O60" i="4" s="1"/>
  <c r="P60" i="4" s="1"/>
  <c r="Q60" i="4" s="1"/>
  <c r="R60" i="4" s="1"/>
  <c r="S60" i="4" s="1"/>
  <c r="T60" i="4" s="1"/>
  <c r="U60" i="4" s="1"/>
  <c r="V60" i="4" s="1"/>
  <c r="W60" i="4" s="1"/>
  <c r="X60" i="4" s="1"/>
  <c r="Y60" i="4" s="1"/>
  <c r="Z60" i="4" s="1"/>
  <c r="AA60" i="4" s="1"/>
  <c r="AB60" i="4" s="1"/>
  <c r="AC60" i="4" s="1"/>
  <c r="K61" i="4"/>
  <c r="L61" i="4" s="1"/>
  <c r="M61" i="4" s="1"/>
  <c r="N61" i="4" s="1"/>
  <c r="O61" i="4" s="1"/>
  <c r="P61" i="4" s="1"/>
  <c r="Q61" i="4" s="1"/>
  <c r="R61" i="4" s="1"/>
  <c r="S61" i="4" s="1"/>
  <c r="T61" i="4" s="1"/>
  <c r="U61" i="4" s="1"/>
  <c r="V61" i="4" s="1"/>
  <c r="W61" i="4" s="1"/>
  <c r="X61" i="4" s="1"/>
  <c r="Y61" i="4" s="1"/>
  <c r="Z61" i="4" s="1"/>
  <c r="AA61" i="4" s="1"/>
  <c r="AB61" i="4" s="1"/>
  <c r="AC61" i="4" s="1"/>
  <c r="K62" i="4"/>
  <c r="L62" i="4" s="1"/>
  <c r="M62" i="4" s="1"/>
  <c r="N62" i="4" s="1"/>
  <c r="O62" i="4" s="1"/>
  <c r="P62" i="4" s="1"/>
  <c r="Q62" i="4" s="1"/>
  <c r="R62" i="4" s="1"/>
  <c r="S62" i="4" s="1"/>
  <c r="T62" i="4" s="1"/>
  <c r="U62" i="4" s="1"/>
  <c r="V62" i="4" s="1"/>
  <c r="W62" i="4" s="1"/>
  <c r="X62" i="4" s="1"/>
  <c r="Y62" i="4" s="1"/>
  <c r="Z62" i="4" s="1"/>
  <c r="AA62" i="4" s="1"/>
  <c r="AB62" i="4" s="1"/>
  <c r="AC62" i="4" s="1"/>
  <c r="AD62" i="4" s="1"/>
  <c r="AE62" i="4" s="1"/>
  <c r="AF62" i="4" s="1"/>
  <c r="AG62" i="4" s="1"/>
  <c r="AH62" i="4" s="1"/>
  <c r="AI62" i="4" s="1"/>
  <c r="AJ62" i="4" s="1"/>
  <c r="AK62" i="4" s="1"/>
  <c r="AL62" i="4" s="1"/>
  <c r="AM62" i="4" s="1"/>
  <c r="AN62" i="4" s="1"/>
  <c r="AO62" i="4" s="1"/>
  <c r="K63" i="4"/>
  <c r="L63" i="4"/>
  <c r="M63" i="4" s="1"/>
  <c r="N63" i="4" s="1"/>
  <c r="O63" i="4" s="1"/>
  <c r="P63" i="4" s="1"/>
  <c r="Q63" i="4" s="1"/>
  <c r="R63" i="4" s="1"/>
  <c r="S63" i="4" s="1"/>
  <c r="T63" i="4" s="1"/>
  <c r="U63" i="4" s="1"/>
  <c r="V63" i="4" s="1"/>
  <c r="W63" i="4" s="1"/>
  <c r="X63" i="4" s="1"/>
  <c r="Y63" i="4" s="1"/>
  <c r="Z63" i="4" s="1"/>
  <c r="AA63" i="4" s="1"/>
  <c r="AB63" i="4" s="1"/>
  <c r="AC63" i="4" s="1"/>
  <c r="AD63" i="4" s="1"/>
  <c r="AE63" i="4" s="1"/>
  <c r="AF63" i="4" s="1"/>
  <c r="AG63" i="4" s="1"/>
  <c r="AH63" i="4" s="1"/>
  <c r="AI63" i="4" s="1"/>
  <c r="AJ63" i="4" s="1"/>
  <c r="AK63" i="4" s="1"/>
  <c r="AL63" i="4" s="1"/>
  <c r="AM63" i="4" s="1"/>
  <c r="AN63" i="4" s="1"/>
  <c r="AO63" i="4" s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Q9" i="2"/>
  <c r="Q8" i="2"/>
  <c r="S8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7" i="2"/>
  <c r="BN6" i="2"/>
  <c r="R36" i="4" l="1"/>
  <c r="S36" i="4" s="1"/>
  <c r="T36" i="4" s="1"/>
  <c r="U36" i="4" s="1"/>
  <c r="V36" i="4" s="1"/>
  <c r="W36" i="4" s="1"/>
  <c r="X36" i="4" s="1"/>
  <c r="Y36" i="4" s="1"/>
  <c r="Z36" i="4" s="1"/>
  <c r="AA36" i="4" s="1"/>
  <c r="AB36" i="4" s="1"/>
  <c r="AC36" i="4" s="1"/>
  <c r="AD36" i="4" s="1"/>
  <c r="AE36" i="4" s="1"/>
  <c r="AF36" i="4" s="1"/>
  <c r="AG36" i="4" s="1"/>
  <c r="AH36" i="4" s="1"/>
  <c r="AI36" i="4" s="1"/>
  <c r="AJ36" i="4" s="1"/>
  <c r="AK36" i="4" s="1"/>
  <c r="AL36" i="4" s="1"/>
  <c r="AM36" i="4" s="1"/>
  <c r="AN36" i="4" s="1"/>
  <c r="AO36" i="4" s="1"/>
  <c r="R28" i="4"/>
  <c r="S28" i="4" s="1"/>
  <c r="T28" i="4" s="1"/>
  <c r="U28" i="4" s="1"/>
  <c r="V28" i="4" s="1"/>
  <c r="W28" i="4" s="1"/>
  <c r="X28" i="4" s="1"/>
  <c r="Y28" i="4" s="1"/>
  <c r="Z28" i="4" s="1"/>
  <c r="AA28" i="4" s="1"/>
  <c r="AB28" i="4" s="1"/>
  <c r="AC28" i="4" s="1"/>
  <c r="AD28" i="4" s="1"/>
  <c r="AE28" i="4" s="1"/>
  <c r="AF28" i="4" s="1"/>
  <c r="AG28" i="4" s="1"/>
  <c r="AH28" i="4" s="1"/>
  <c r="AI28" i="4" s="1"/>
  <c r="AJ28" i="4" s="1"/>
  <c r="AK28" i="4" s="1"/>
  <c r="AL28" i="4" s="1"/>
  <c r="AM28" i="4" s="1"/>
  <c r="AN28" i="4" s="1"/>
  <c r="AO28" i="4" s="1"/>
  <c r="R27" i="4"/>
  <c r="S27" i="4" s="1"/>
  <c r="T27" i="4" s="1"/>
  <c r="U27" i="4" s="1"/>
  <c r="V27" i="4" s="1"/>
  <c r="W27" i="4" s="1"/>
  <c r="X27" i="4" s="1"/>
  <c r="Y27" i="4" s="1"/>
  <c r="Z27" i="4" s="1"/>
  <c r="AA27" i="4" s="1"/>
  <c r="AB27" i="4" s="1"/>
  <c r="AC27" i="4" s="1"/>
  <c r="AD27" i="4" s="1"/>
  <c r="AE27" i="4" s="1"/>
  <c r="AF27" i="4" s="1"/>
  <c r="AG27" i="4" s="1"/>
  <c r="AH27" i="4" s="1"/>
  <c r="AI27" i="4" s="1"/>
  <c r="AJ27" i="4" s="1"/>
  <c r="AK27" i="4" s="1"/>
  <c r="AL27" i="4" s="1"/>
  <c r="AM27" i="4" s="1"/>
  <c r="AN27" i="4" s="1"/>
  <c r="AO27" i="4" s="1"/>
  <c r="K69" i="4"/>
  <c r="L69" i="4" s="1"/>
  <c r="M69" i="4" s="1"/>
  <c r="N69" i="4" s="1"/>
  <c r="O69" i="4" s="1"/>
  <c r="P69" i="4" s="1"/>
  <c r="Q69" i="4" s="1"/>
  <c r="R69" i="4" s="1"/>
  <c r="S69" i="4" s="1"/>
  <c r="T69" i="4" s="1"/>
  <c r="U69" i="4" s="1"/>
  <c r="V69" i="4" s="1"/>
  <c r="W69" i="4" s="1"/>
  <c r="X69" i="4" s="1"/>
  <c r="Y69" i="4" s="1"/>
  <c r="Z69" i="4" s="1"/>
  <c r="AA69" i="4" s="1"/>
  <c r="AB69" i="4" s="1"/>
  <c r="AC69" i="4" s="1"/>
  <c r="AD69" i="4" s="1"/>
  <c r="AE69" i="4" s="1"/>
  <c r="AF69" i="4" s="1"/>
  <c r="AG69" i="4" s="1"/>
  <c r="AH69" i="4" s="1"/>
  <c r="AI69" i="4" s="1"/>
  <c r="AJ69" i="4" s="1"/>
  <c r="AK69" i="4" s="1"/>
  <c r="AL69" i="4" s="1"/>
  <c r="AM69" i="4" s="1"/>
  <c r="AN69" i="4" s="1"/>
  <c r="AO69" i="4" s="1"/>
  <c r="R26" i="4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AH26" i="4" s="1"/>
  <c r="AI26" i="4" s="1"/>
  <c r="AJ26" i="4" s="1"/>
  <c r="AK26" i="4" s="1"/>
  <c r="AL26" i="4" s="1"/>
  <c r="AM26" i="4" s="1"/>
  <c r="AN26" i="4" s="1"/>
  <c r="AO26" i="4" s="1"/>
  <c r="K49" i="4"/>
  <c r="L49" i="4" s="1"/>
  <c r="M49" i="4" s="1"/>
  <c r="N49" i="4" s="1"/>
  <c r="O49" i="4" s="1"/>
  <c r="P49" i="4" s="1"/>
  <c r="Q49" i="4" s="1"/>
  <c r="R49" i="4" s="1"/>
  <c r="S49" i="4" s="1"/>
  <c r="T49" i="4" s="1"/>
  <c r="U49" i="4" s="1"/>
  <c r="V49" i="4" s="1"/>
  <c r="W49" i="4" s="1"/>
  <c r="X49" i="4" s="1"/>
  <c r="Y49" i="4" s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AK49" i="4" s="1"/>
  <c r="AL49" i="4" s="1"/>
  <c r="AM49" i="4" s="1"/>
  <c r="AN49" i="4" s="1"/>
  <c r="AO49" i="4" s="1"/>
  <c r="K12" i="4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K64" i="4"/>
  <c r="L64" i="4" s="1"/>
  <c r="M64" i="4" s="1"/>
  <c r="N64" i="4" s="1"/>
  <c r="O64" i="4" s="1"/>
  <c r="P64" i="4" s="1"/>
  <c r="Q64" i="4" s="1"/>
  <c r="R64" i="4" s="1"/>
  <c r="S64" i="4" s="1"/>
  <c r="T64" i="4" s="1"/>
  <c r="U64" i="4" s="1"/>
  <c r="V64" i="4" s="1"/>
  <c r="W64" i="4" s="1"/>
  <c r="X64" i="4" s="1"/>
  <c r="Y64" i="4" s="1"/>
  <c r="Z64" i="4" s="1"/>
  <c r="AA64" i="4" s="1"/>
  <c r="AB64" i="4" s="1"/>
  <c r="AC64" i="4" s="1"/>
  <c r="AD64" i="4" s="1"/>
  <c r="AE64" i="4" s="1"/>
  <c r="AF64" i="4" s="1"/>
  <c r="AG64" i="4" s="1"/>
  <c r="AH64" i="4" s="1"/>
  <c r="AI64" i="4" s="1"/>
  <c r="AJ64" i="4" s="1"/>
  <c r="AK64" i="4" s="1"/>
  <c r="AL64" i="4" s="1"/>
  <c r="AM64" i="4" s="1"/>
  <c r="AN64" i="4" s="1"/>
  <c r="AO64" i="4" s="1"/>
  <c r="AD60" i="4"/>
  <c r="AE60" i="4" s="1"/>
  <c r="AF60" i="4" s="1"/>
  <c r="AG60" i="4" s="1"/>
  <c r="AH60" i="4" s="1"/>
  <c r="AI60" i="4" s="1"/>
  <c r="AJ60" i="4" s="1"/>
  <c r="AK60" i="4" s="1"/>
  <c r="AL60" i="4" s="1"/>
  <c r="AM60" i="4" s="1"/>
  <c r="AN60" i="4" s="1"/>
  <c r="AO60" i="4" s="1"/>
  <c r="R39" i="4"/>
  <c r="S39" i="4" s="1"/>
  <c r="T39" i="4" s="1"/>
  <c r="U39" i="4" s="1"/>
  <c r="V39" i="4" s="1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AK39" i="4" s="1"/>
  <c r="AL39" i="4" s="1"/>
  <c r="AM39" i="4" s="1"/>
  <c r="AN39" i="4" s="1"/>
  <c r="AO39" i="4" s="1"/>
  <c r="R23" i="4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R38" i="4"/>
  <c r="S38" i="4" s="1"/>
  <c r="T38" i="4" s="1"/>
  <c r="U38" i="4" s="1"/>
  <c r="V38" i="4" s="1"/>
  <c r="W38" i="4" s="1"/>
  <c r="X38" i="4" s="1"/>
  <c r="Y38" i="4" s="1"/>
  <c r="Z38" i="4" s="1"/>
  <c r="AA38" i="4" s="1"/>
  <c r="AB38" i="4" s="1"/>
  <c r="AC38" i="4" s="1"/>
  <c r="AD38" i="4" s="1"/>
  <c r="AE38" i="4" s="1"/>
  <c r="AF38" i="4" s="1"/>
  <c r="AG38" i="4" s="1"/>
  <c r="AH38" i="4" s="1"/>
  <c r="AI38" i="4" s="1"/>
  <c r="AJ38" i="4" s="1"/>
  <c r="AK38" i="4" s="1"/>
  <c r="AL38" i="4" s="1"/>
  <c r="AM38" i="4" s="1"/>
  <c r="AN38" i="4" s="1"/>
  <c r="AO38" i="4" s="1"/>
  <c r="R30" i="4"/>
  <c r="S30" i="4" s="1"/>
  <c r="T30" i="4" s="1"/>
  <c r="U30" i="4" s="1"/>
  <c r="V30" i="4" s="1"/>
  <c r="W30" i="4" s="1"/>
  <c r="X30" i="4" s="1"/>
  <c r="Y30" i="4" s="1"/>
  <c r="Z30" i="4" s="1"/>
  <c r="AA30" i="4" s="1"/>
  <c r="AB30" i="4" s="1"/>
  <c r="AC30" i="4" s="1"/>
  <c r="AD30" i="4" s="1"/>
  <c r="AE30" i="4" s="1"/>
  <c r="AF30" i="4" s="1"/>
  <c r="AG30" i="4" s="1"/>
  <c r="AH30" i="4" s="1"/>
  <c r="AI30" i="4" s="1"/>
  <c r="AJ30" i="4" s="1"/>
  <c r="AK30" i="4" s="1"/>
  <c r="AL30" i="4" s="1"/>
  <c r="AM30" i="4" s="1"/>
  <c r="AN30" i="4" s="1"/>
  <c r="AO30" i="4" s="1"/>
  <c r="R29" i="4"/>
  <c r="S29" i="4" s="1"/>
  <c r="T29" i="4" s="1"/>
  <c r="U29" i="4" s="1"/>
  <c r="V29" i="4" s="1"/>
  <c r="W29" i="4" s="1"/>
  <c r="X29" i="4" s="1"/>
  <c r="Y29" i="4" s="1"/>
  <c r="Z29" i="4" s="1"/>
  <c r="AA29" i="4" s="1"/>
  <c r="AB29" i="4" s="1"/>
  <c r="AC29" i="4" s="1"/>
  <c r="AD29" i="4" s="1"/>
  <c r="AE29" i="4" s="1"/>
  <c r="AF29" i="4" s="1"/>
  <c r="AG29" i="4" s="1"/>
  <c r="AH29" i="4" s="1"/>
  <c r="AI29" i="4" s="1"/>
  <c r="AJ29" i="4" s="1"/>
  <c r="AK29" i="4" s="1"/>
  <c r="AL29" i="4" s="1"/>
  <c r="AM29" i="4" s="1"/>
  <c r="AN29" i="4" s="1"/>
  <c r="AO29" i="4" s="1"/>
  <c r="R34" i="4"/>
  <c r="S34" i="4" s="1"/>
  <c r="T34" i="4" s="1"/>
  <c r="U34" i="4" s="1"/>
  <c r="V34" i="4" s="1"/>
  <c r="W34" i="4" s="1"/>
  <c r="X34" i="4" s="1"/>
  <c r="Y34" i="4" s="1"/>
  <c r="Z34" i="4" s="1"/>
  <c r="AA34" i="4" s="1"/>
  <c r="AB34" i="4" s="1"/>
  <c r="AC34" i="4" s="1"/>
  <c r="AD34" i="4" s="1"/>
  <c r="AE34" i="4" s="1"/>
  <c r="AF34" i="4" s="1"/>
  <c r="AG34" i="4" s="1"/>
  <c r="AH34" i="4" s="1"/>
  <c r="AI34" i="4" s="1"/>
  <c r="AJ34" i="4" s="1"/>
  <c r="AK34" i="4" s="1"/>
  <c r="AL34" i="4" s="1"/>
  <c r="AM34" i="4" s="1"/>
  <c r="AN34" i="4" s="1"/>
  <c r="AO34" i="4" s="1"/>
  <c r="R24" i="4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K18" i="4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K11" i="4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K48" i="4"/>
  <c r="L48" i="4" s="1"/>
  <c r="M48" i="4" s="1"/>
  <c r="N48" i="4" s="1"/>
  <c r="O48" i="4" s="1"/>
  <c r="P48" i="4" s="1"/>
  <c r="Q48" i="4" s="1"/>
  <c r="R48" i="4" s="1"/>
  <c r="S48" i="4" s="1"/>
  <c r="T48" i="4" s="1"/>
  <c r="U48" i="4" s="1"/>
  <c r="V48" i="4" s="1"/>
  <c r="W48" i="4" s="1"/>
  <c r="X48" i="4" s="1"/>
  <c r="Y48" i="4" s="1"/>
  <c r="Z48" i="4" s="1"/>
  <c r="AA48" i="4" s="1"/>
  <c r="AB48" i="4" s="1"/>
  <c r="AC48" i="4" s="1"/>
  <c r="AD48" i="4" s="1"/>
  <c r="AE48" i="4" s="1"/>
  <c r="AF48" i="4" s="1"/>
  <c r="AG48" i="4" s="1"/>
  <c r="AH48" i="4" s="1"/>
  <c r="AI48" i="4" s="1"/>
  <c r="AJ48" i="4" s="1"/>
  <c r="AK48" i="4" s="1"/>
  <c r="AL48" i="4" s="1"/>
  <c r="AM48" i="4" s="1"/>
  <c r="AN48" i="4" s="1"/>
  <c r="AO48" i="4" s="1"/>
  <c r="K43" i="4"/>
  <c r="L43" i="4" s="1"/>
  <c r="M43" i="4" s="1"/>
  <c r="N43" i="4" s="1"/>
  <c r="O43" i="4" s="1"/>
  <c r="P43" i="4" s="1"/>
  <c r="Q43" i="4" s="1"/>
  <c r="R43" i="4" s="1"/>
  <c r="S43" i="4" s="1"/>
  <c r="T43" i="4" s="1"/>
  <c r="U43" i="4" s="1"/>
  <c r="V43" i="4" s="1"/>
  <c r="W43" i="4" s="1"/>
  <c r="X43" i="4" s="1"/>
  <c r="Y43" i="4" s="1"/>
  <c r="Z43" i="4" s="1"/>
  <c r="AA43" i="4" s="1"/>
  <c r="AB43" i="4" s="1"/>
  <c r="AC43" i="4" s="1"/>
  <c r="AD43" i="4" s="1"/>
  <c r="AE43" i="4" s="1"/>
  <c r="AF43" i="4" s="1"/>
  <c r="AG43" i="4" s="1"/>
  <c r="AH43" i="4" s="1"/>
  <c r="AI43" i="4" s="1"/>
  <c r="AJ43" i="4" s="1"/>
  <c r="AK43" i="4" s="1"/>
  <c r="AL43" i="4" s="1"/>
  <c r="AM43" i="4" s="1"/>
  <c r="AN43" i="4" s="1"/>
  <c r="AO43" i="4" s="1"/>
  <c r="R33" i="4"/>
  <c r="S33" i="4" s="1"/>
  <c r="T33" i="4" s="1"/>
  <c r="U33" i="4" s="1"/>
  <c r="V33" i="4" s="1"/>
  <c r="W33" i="4" s="1"/>
  <c r="X33" i="4" s="1"/>
  <c r="Y33" i="4" s="1"/>
  <c r="Z33" i="4" s="1"/>
  <c r="AA33" i="4" s="1"/>
  <c r="AB33" i="4" s="1"/>
  <c r="AC33" i="4" s="1"/>
  <c r="AD33" i="4" s="1"/>
  <c r="AE33" i="4" s="1"/>
  <c r="AF33" i="4" s="1"/>
  <c r="AG33" i="4" s="1"/>
  <c r="AH33" i="4" s="1"/>
  <c r="AI33" i="4" s="1"/>
  <c r="AJ33" i="4" s="1"/>
  <c r="AK33" i="4" s="1"/>
  <c r="AL33" i="4" s="1"/>
  <c r="AM33" i="4" s="1"/>
  <c r="AN33" i="4" s="1"/>
  <c r="AO33" i="4" s="1"/>
  <c r="K10" i="4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AL10" i="4" s="1"/>
  <c r="AM10" i="4" s="1"/>
  <c r="AN10" i="4" s="1"/>
  <c r="AO10" i="4" s="1"/>
  <c r="K47" i="4"/>
  <c r="L47" i="4" s="1"/>
  <c r="M47" i="4" s="1"/>
  <c r="N47" i="4" s="1"/>
  <c r="O47" i="4" s="1"/>
  <c r="P47" i="4" s="1"/>
  <c r="Q47" i="4" s="1"/>
  <c r="R47" i="4" s="1"/>
  <c r="S47" i="4" s="1"/>
  <c r="T47" i="4" s="1"/>
  <c r="U47" i="4" s="1"/>
  <c r="V47" i="4" s="1"/>
  <c r="W47" i="4" s="1"/>
  <c r="X47" i="4" s="1"/>
  <c r="Y47" i="4" s="1"/>
  <c r="Z47" i="4" s="1"/>
  <c r="AA47" i="4" s="1"/>
  <c r="AB47" i="4" s="1"/>
  <c r="AC47" i="4" s="1"/>
  <c r="AD47" i="4" s="1"/>
  <c r="AE47" i="4" s="1"/>
  <c r="AF47" i="4" s="1"/>
  <c r="AG47" i="4" s="1"/>
  <c r="AH47" i="4" s="1"/>
  <c r="AI47" i="4" s="1"/>
  <c r="AJ47" i="4" s="1"/>
  <c r="AK47" i="4" s="1"/>
  <c r="AL47" i="4" s="1"/>
  <c r="AM47" i="4" s="1"/>
  <c r="AN47" i="4" s="1"/>
  <c r="AO47" i="4" s="1"/>
  <c r="R32" i="4"/>
  <c r="S32" i="4" s="1"/>
  <c r="T32" i="4" s="1"/>
  <c r="U32" i="4" s="1"/>
  <c r="V32" i="4" s="1"/>
  <c r="W32" i="4" s="1"/>
  <c r="X32" i="4" s="1"/>
  <c r="Y32" i="4" s="1"/>
  <c r="Z32" i="4" s="1"/>
  <c r="AA32" i="4" s="1"/>
  <c r="AB32" i="4" s="1"/>
  <c r="AC32" i="4" s="1"/>
  <c r="AD32" i="4" s="1"/>
  <c r="AE32" i="4" s="1"/>
  <c r="AF32" i="4" s="1"/>
  <c r="AG32" i="4" s="1"/>
  <c r="AH32" i="4" s="1"/>
  <c r="AI32" i="4" s="1"/>
  <c r="AJ32" i="4" s="1"/>
  <c r="AK32" i="4" s="1"/>
  <c r="AL32" i="4" s="1"/>
  <c r="AM32" i="4" s="1"/>
  <c r="AN32" i="4" s="1"/>
  <c r="AO32" i="4" s="1"/>
  <c r="K17" i="4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K9" i="4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R37" i="4"/>
  <c r="S37" i="4" s="1"/>
  <c r="T37" i="4" s="1"/>
  <c r="U37" i="4" s="1"/>
  <c r="V37" i="4" s="1"/>
  <c r="W37" i="4" s="1"/>
  <c r="X37" i="4" s="1"/>
  <c r="Y37" i="4" s="1"/>
  <c r="Z37" i="4" s="1"/>
  <c r="AA37" i="4" s="1"/>
  <c r="AB37" i="4" s="1"/>
  <c r="AC37" i="4" s="1"/>
  <c r="AD37" i="4" s="1"/>
  <c r="AE37" i="4" s="1"/>
  <c r="AF37" i="4" s="1"/>
  <c r="AG37" i="4" s="1"/>
  <c r="AH37" i="4" s="1"/>
  <c r="AI37" i="4" s="1"/>
  <c r="AJ37" i="4" s="1"/>
  <c r="AK37" i="4" s="1"/>
  <c r="AL37" i="4" s="1"/>
  <c r="AM37" i="4" s="1"/>
  <c r="AN37" i="4" s="1"/>
  <c r="AO37" i="4" s="1"/>
  <c r="R31" i="4"/>
  <c r="S31" i="4" s="1"/>
  <c r="T31" i="4" s="1"/>
  <c r="U31" i="4" s="1"/>
  <c r="V31" i="4" s="1"/>
  <c r="W31" i="4" s="1"/>
  <c r="X31" i="4" s="1"/>
  <c r="Y31" i="4" s="1"/>
  <c r="Z31" i="4" s="1"/>
  <c r="AA31" i="4" s="1"/>
  <c r="AB31" i="4" s="1"/>
  <c r="AC31" i="4" s="1"/>
  <c r="AD31" i="4" s="1"/>
  <c r="AE31" i="4" s="1"/>
  <c r="AF31" i="4" s="1"/>
  <c r="AG31" i="4" s="1"/>
  <c r="AH31" i="4" s="1"/>
  <c r="AI31" i="4" s="1"/>
  <c r="AJ31" i="4" s="1"/>
  <c r="AK31" i="4" s="1"/>
  <c r="AL31" i="4" s="1"/>
  <c r="AM31" i="4" s="1"/>
  <c r="AN31" i="4" s="1"/>
  <c r="AO31" i="4" s="1"/>
  <c r="R22" i="4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K16" i="4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K8" i="4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AA8" i="4" s="1"/>
  <c r="AB8" i="4" s="1"/>
  <c r="AC8" i="4" s="1"/>
  <c r="AD8" i="4" s="1"/>
  <c r="AE8" i="4" s="1"/>
  <c r="AF8" i="4" s="1"/>
  <c r="AG8" i="4" s="1"/>
  <c r="AH8" i="4" s="1"/>
  <c r="AI8" i="4" s="1"/>
  <c r="AJ8" i="4" s="1"/>
  <c r="AK8" i="4" s="1"/>
  <c r="AL8" i="4" s="1"/>
  <c r="AM8" i="4" s="1"/>
  <c r="AN8" i="4" s="1"/>
  <c r="AO8" i="4" s="1"/>
  <c r="K52" i="4"/>
  <c r="L52" i="4" s="1"/>
  <c r="M52" i="4" s="1"/>
  <c r="N52" i="4" s="1"/>
  <c r="O52" i="4" s="1"/>
  <c r="P52" i="4" s="1"/>
  <c r="Q52" i="4" s="1"/>
  <c r="R52" i="4" s="1"/>
  <c r="S52" i="4" s="1"/>
  <c r="T52" i="4" s="1"/>
  <c r="U52" i="4" s="1"/>
  <c r="V52" i="4" s="1"/>
  <c r="W52" i="4" s="1"/>
  <c r="X52" i="4" s="1"/>
  <c r="Y52" i="4" s="1"/>
  <c r="Z52" i="4" s="1"/>
  <c r="AA52" i="4" s="1"/>
  <c r="AB52" i="4" s="1"/>
  <c r="AC52" i="4" s="1"/>
  <c r="AD52" i="4" s="1"/>
  <c r="AE52" i="4" s="1"/>
  <c r="AF52" i="4" s="1"/>
  <c r="AG52" i="4" s="1"/>
  <c r="AH52" i="4" s="1"/>
  <c r="AI52" i="4" s="1"/>
  <c r="AJ52" i="4" s="1"/>
  <c r="AK52" i="4" s="1"/>
  <c r="AL52" i="4" s="1"/>
  <c r="AM52" i="4" s="1"/>
  <c r="AN52" i="4" s="1"/>
  <c r="AO52" i="4" s="1"/>
  <c r="K42" i="4"/>
  <c r="L42" i="4" s="1"/>
  <c r="M42" i="4" s="1"/>
  <c r="N42" i="4" s="1"/>
  <c r="O42" i="4" s="1"/>
  <c r="P42" i="4" s="1"/>
  <c r="Q42" i="4" s="1"/>
  <c r="R42" i="4" s="1"/>
  <c r="S42" i="4" s="1"/>
  <c r="T42" i="4" s="1"/>
  <c r="U42" i="4" s="1"/>
  <c r="V42" i="4" s="1"/>
  <c r="W42" i="4" s="1"/>
  <c r="X42" i="4" s="1"/>
  <c r="Y42" i="4" s="1"/>
  <c r="Z42" i="4" s="1"/>
  <c r="AA42" i="4" s="1"/>
  <c r="AB42" i="4" s="1"/>
  <c r="AC42" i="4" s="1"/>
  <c r="AD42" i="4" s="1"/>
  <c r="AE42" i="4" s="1"/>
  <c r="AF42" i="4" s="1"/>
  <c r="AG42" i="4" s="1"/>
  <c r="AH42" i="4" s="1"/>
  <c r="AI42" i="4" s="1"/>
  <c r="AJ42" i="4" s="1"/>
  <c r="AK42" i="4" s="1"/>
  <c r="AL42" i="4" s="1"/>
  <c r="AM42" i="4" s="1"/>
  <c r="AN42" i="4" s="1"/>
  <c r="AO42" i="4" s="1"/>
  <c r="K68" i="4"/>
  <c r="L68" i="4" s="1"/>
  <c r="M68" i="4" s="1"/>
  <c r="N68" i="4" s="1"/>
  <c r="O68" i="4" s="1"/>
  <c r="P68" i="4" s="1"/>
  <c r="Q68" i="4" s="1"/>
  <c r="R68" i="4" s="1"/>
  <c r="S68" i="4" s="1"/>
  <c r="T68" i="4" s="1"/>
  <c r="U68" i="4" s="1"/>
  <c r="V68" i="4" s="1"/>
  <c r="W68" i="4" s="1"/>
  <c r="X68" i="4" s="1"/>
  <c r="Y68" i="4" s="1"/>
  <c r="Z68" i="4" s="1"/>
  <c r="AA68" i="4" s="1"/>
  <c r="AB68" i="4" s="1"/>
  <c r="AC68" i="4" s="1"/>
  <c r="AD68" i="4" s="1"/>
  <c r="AE68" i="4" s="1"/>
  <c r="AF68" i="4" s="1"/>
  <c r="AG68" i="4" s="1"/>
  <c r="AH68" i="4" s="1"/>
  <c r="AI68" i="4" s="1"/>
  <c r="AJ68" i="4" s="1"/>
  <c r="AK68" i="4" s="1"/>
  <c r="AL68" i="4" s="1"/>
  <c r="AM68" i="4" s="1"/>
  <c r="AN68" i="4" s="1"/>
  <c r="AO68" i="4" s="1"/>
  <c r="R21" i="4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K15" i="4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K7" i="4"/>
  <c r="L7" i="4" s="1"/>
  <c r="M7" i="4" s="1"/>
  <c r="N7" i="4" s="1"/>
  <c r="O7" i="4" s="1"/>
  <c r="P7" i="4" s="1"/>
  <c r="Q7" i="4" s="1"/>
  <c r="R7" i="4" s="1"/>
  <c r="S7" i="4" s="1"/>
  <c r="T7" i="4" s="1"/>
  <c r="U7" i="4" s="1"/>
  <c r="V7" i="4" s="1"/>
  <c r="W7" i="4" s="1"/>
  <c r="X7" i="4" s="1"/>
  <c r="Y7" i="4" s="1"/>
  <c r="Z7" i="4" s="1"/>
  <c r="AA7" i="4" s="1"/>
  <c r="AB7" i="4" s="1"/>
  <c r="AC7" i="4" s="1"/>
  <c r="AD7" i="4" s="1"/>
  <c r="AE7" i="4" s="1"/>
  <c r="AF7" i="4" s="1"/>
  <c r="AG7" i="4" s="1"/>
  <c r="AH7" i="4" s="1"/>
  <c r="AI7" i="4" s="1"/>
  <c r="AJ7" i="4" s="1"/>
  <c r="AK7" i="4" s="1"/>
  <c r="AL7" i="4" s="1"/>
  <c r="AM7" i="4" s="1"/>
  <c r="AN7" i="4" s="1"/>
  <c r="AO7" i="4" s="1"/>
  <c r="K70" i="4"/>
  <c r="L70" i="4" s="1"/>
  <c r="M70" i="4" s="1"/>
  <c r="N70" i="4" s="1"/>
  <c r="O70" i="4" s="1"/>
  <c r="P70" i="4" s="1"/>
  <c r="Q70" i="4" s="1"/>
  <c r="R70" i="4" s="1"/>
  <c r="S70" i="4" s="1"/>
  <c r="T70" i="4" s="1"/>
  <c r="U70" i="4" s="1"/>
  <c r="V70" i="4" s="1"/>
  <c r="W70" i="4" s="1"/>
  <c r="X70" i="4" s="1"/>
  <c r="Y70" i="4" s="1"/>
  <c r="Z70" i="4" s="1"/>
  <c r="AA70" i="4" s="1"/>
  <c r="AB70" i="4" s="1"/>
  <c r="AC70" i="4" s="1"/>
  <c r="AD70" i="4" s="1"/>
  <c r="AE70" i="4" s="1"/>
  <c r="AF70" i="4" s="1"/>
  <c r="AG70" i="4" s="1"/>
  <c r="AH70" i="4" s="1"/>
  <c r="AI70" i="4" s="1"/>
  <c r="AJ70" i="4" s="1"/>
  <c r="AK70" i="4" s="1"/>
  <c r="AL70" i="4" s="1"/>
  <c r="AM70" i="4" s="1"/>
  <c r="AN70" i="4" s="1"/>
  <c r="AO70" i="4" s="1"/>
  <c r="AD56" i="4"/>
  <c r="AE56" i="4" s="1"/>
  <c r="AF56" i="4" s="1"/>
  <c r="AG56" i="4" s="1"/>
  <c r="AH56" i="4" s="1"/>
  <c r="AI56" i="4" s="1"/>
  <c r="AJ56" i="4" s="1"/>
  <c r="AK56" i="4" s="1"/>
  <c r="AL56" i="4" s="1"/>
  <c r="AM56" i="4" s="1"/>
  <c r="AN56" i="4" s="1"/>
  <c r="AO56" i="4" s="1"/>
  <c r="K46" i="4"/>
  <c r="L46" i="4" s="1"/>
  <c r="M46" i="4" s="1"/>
  <c r="N46" i="4" s="1"/>
  <c r="O46" i="4" s="1"/>
  <c r="P46" i="4" s="1"/>
  <c r="Q46" i="4" s="1"/>
  <c r="R46" i="4" s="1"/>
  <c r="S46" i="4" s="1"/>
  <c r="T46" i="4" s="1"/>
  <c r="U46" i="4" s="1"/>
  <c r="V46" i="4" s="1"/>
  <c r="W46" i="4" s="1"/>
  <c r="X46" i="4" s="1"/>
  <c r="Y46" i="4" s="1"/>
  <c r="Z46" i="4" s="1"/>
  <c r="AA46" i="4" s="1"/>
  <c r="AB46" i="4" s="1"/>
  <c r="AC46" i="4" s="1"/>
  <c r="AD46" i="4" s="1"/>
  <c r="AE46" i="4" s="1"/>
  <c r="AF46" i="4" s="1"/>
  <c r="AG46" i="4" s="1"/>
  <c r="AH46" i="4" s="1"/>
  <c r="AI46" i="4" s="1"/>
  <c r="AJ46" i="4" s="1"/>
  <c r="AK46" i="4" s="1"/>
  <c r="AL46" i="4" s="1"/>
  <c r="AM46" i="4" s="1"/>
  <c r="AN46" i="4" s="1"/>
  <c r="AO46" i="4" s="1"/>
  <c r="K41" i="4"/>
  <c r="L41" i="4" s="1"/>
  <c r="M41" i="4" s="1"/>
  <c r="N41" i="4" s="1"/>
  <c r="O41" i="4" s="1"/>
  <c r="P41" i="4" s="1"/>
  <c r="Q41" i="4" s="1"/>
  <c r="R41" i="4" s="1"/>
  <c r="S41" i="4" s="1"/>
  <c r="T41" i="4" s="1"/>
  <c r="U41" i="4" s="1"/>
  <c r="V41" i="4" s="1"/>
  <c r="W41" i="4" s="1"/>
  <c r="X41" i="4" s="1"/>
  <c r="Y41" i="4" s="1"/>
  <c r="Z41" i="4" s="1"/>
  <c r="AA41" i="4" s="1"/>
  <c r="AB41" i="4" s="1"/>
  <c r="AC41" i="4" s="1"/>
  <c r="AD41" i="4" s="1"/>
  <c r="AE41" i="4" s="1"/>
  <c r="AF41" i="4" s="1"/>
  <c r="AG41" i="4" s="1"/>
  <c r="AH41" i="4" s="1"/>
  <c r="AI41" i="4" s="1"/>
  <c r="AJ41" i="4" s="1"/>
  <c r="AK41" i="4" s="1"/>
  <c r="AL41" i="4" s="1"/>
  <c r="AM41" i="4" s="1"/>
  <c r="AN41" i="4" s="1"/>
  <c r="AO41" i="4" s="1"/>
  <c r="K4" i="4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K67" i="4"/>
  <c r="L67" i="4" s="1"/>
  <c r="M67" i="4" s="1"/>
  <c r="N67" i="4" s="1"/>
  <c r="O67" i="4" s="1"/>
  <c r="P67" i="4" s="1"/>
  <c r="Q67" i="4" s="1"/>
  <c r="R67" i="4" s="1"/>
  <c r="S67" i="4" s="1"/>
  <c r="T67" i="4" s="1"/>
  <c r="U67" i="4" s="1"/>
  <c r="V67" i="4" s="1"/>
  <c r="W67" i="4" s="1"/>
  <c r="X67" i="4" s="1"/>
  <c r="Y67" i="4" s="1"/>
  <c r="Z67" i="4" s="1"/>
  <c r="AA67" i="4" s="1"/>
  <c r="AB67" i="4" s="1"/>
  <c r="AC67" i="4" s="1"/>
  <c r="AD67" i="4" s="1"/>
  <c r="AE67" i="4" s="1"/>
  <c r="AF67" i="4" s="1"/>
  <c r="AG67" i="4" s="1"/>
  <c r="AH67" i="4" s="1"/>
  <c r="AI67" i="4" s="1"/>
  <c r="AJ67" i="4" s="1"/>
  <c r="AK67" i="4" s="1"/>
  <c r="AL67" i="4" s="1"/>
  <c r="AM67" i="4" s="1"/>
  <c r="AN67" i="4" s="1"/>
  <c r="AO67" i="4" s="1"/>
  <c r="K51" i="4"/>
  <c r="L51" i="4" s="1"/>
  <c r="M51" i="4" s="1"/>
  <c r="N51" i="4" s="1"/>
  <c r="O51" i="4" s="1"/>
  <c r="P51" i="4" s="1"/>
  <c r="Q51" i="4" s="1"/>
  <c r="R51" i="4" s="1"/>
  <c r="S51" i="4" s="1"/>
  <c r="T51" i="4" s="1"/>
  <c r="U51" i="4" s="1"/>
  <c r="V51" i="4" s="1"/>
  <c r="W51" i="4" s="1"/>
  <c r="X51" i="4" s="1"/>
  <c r="Y51" i="4" s="1"/>
  <c r="Z51" i="4" s="1"/>
  <c r="AA51" i="4" s="1"/>
  <c r="AB51" i="4" s="1"/>
  <c r="AC51" i="4" s="1"/>
  <c r="AD51" i="4" s="1"/>
  <c r="AE51" i="4" s="1"/>
  <c r="AF51" i="4" s="1"/>
  <c r="AG51" i="4" s="1"/>
  <c r="AH51" i="4" s="1"/>
  <c r="AI51" i="4" s="1"/>
  <c r="AJ51" i="4" s="1"/>
  <c r="AK51" i="4" s="1"/>
  <c r="AL51" i="4" s="1"/>
  <c r="AM51" i="4" s="1"/>
  <c r="AN51" i="4" s="1"/>
  <c r="AO51" i="4" s="1"/>
  <c r="K45" i="4"/>
  <c r="L45" i="4" s="1"/>
  <c r="M45" i="4" s="1"/>
  <c r="N45" i="4" s="1"/>
  <c r="O45" i="4" s="1"/>
  <c r="P45" i="4" s="1"/>
  <c r="Q45" i="4" s="1"/>
  <c r="R45" i="4" s="1"/>
  <c r="S45" i="4" s="1"/>
  <c r="T45" i="4" s="1"/>
  <c r="U45" i="4" s="1"/>
  <c r="V45" i="4" s="1"/>
  <c r="W45" i="4" s="1"/>
  <c r="X45" i="4" s="1"/>
  <c r="Y45" i="4" s="1"/>
  <c r="Z45" i="4" s="1"/>
  <c r="AA45" i="4" s="1"/>
  <c r="AB45" i="4" s="1"/>
  <c r="AC45" i="4" s="1"/>
  <c r="AD45" i="4" s="1"/>
  <c r="AE45" i="4" s="1"/>
  <c r="AF45" i="4" s="1"/>
  <c r="AG45" i="4" s="1"/>
  <c r="AH45" i="4" s="1"/>
  <c r="AI45" i="4" s="1"/>
  <c r="AJ45" i="4" s="1"/>
  <c r="AK45" i="4" s="1"/>
  <c r="AL45" i="4" s="1"/>
  <c r="AM45" i="4" s="1"/>
  <c r="AN45" i="4" s="1"/>
  <c r="AO45" i="4" s="1"/>
  <c r="K40" i="4"/>
  <c r="L40" i="4" s="1"/>
  <c r="M40" i="4" s="1"/>
  <c r="N40" i="4" s="1"/>
  <c r="O40" i="4" s="1"/>
  <c r="P40" i="4" s="1"/>
  <c r="Q40" i="4" s="1"/>
  <c r="R40" i="4" s="1"/>
  <c r="S40" i="4" s="1"/>
  <c r="T40" i="4" s="1"/>
  <c r="U40" i="4" s="1"/>
  <c r="V40" i="4" s="1"/>
  <c r="W40" i="4" s="1"/>
  <c r="X40" i="4" s="1"/>
  <c r="Y40" i="4" s="1"/>
  <c r="Z40" i="4" s="1"/>
  <c r="AA40" i="4" s="1"/>
  <c r="AB40" i="4" s="1"/>
  <c r="AC40" i="4" s="1"/>
  <c r="AD40" i="4" s="1"/>
  <c r="AE40" i="4" s="1"/>
  <c r="AF40" i="4" s="1"/>
  <c r="AG40" i="4" s="1"/>
  <c r="AH40" i="4" s="1"/>
  <c r="AI40" i="4" s="1"/>
  <c r="AJ40" i="4" s="1"/>
  <c r="AK40" i="4" s="1"/>
  <c r="AL40" i="4" s="1"/>
  <c r="AM40" i="4" s="1"/>
  <c r="AN40" i="4" s="1"/>
  <c r="AO40" i="4" s="1"/>
  <c r="K20" i="4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K14" i="4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K6" i="4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D61" i="4"/>
  <c r="AE61" i="4" s="1"/>
  <c r="AF61" i="4" s="1"/>
  <c r="AG61" i="4" s="1"/>
  <c r="AH61" i="4" s="1"/>
  <c r="AI61" i="4" s="1"/>
  <c r="AJ61" i="4" s="1"/>
  <c r="AK61" i="4" s="1"/>
  <c r="AL61" i="4" s="1"/>
  <c r="AM61" i="4" s="1"/>
  <c r="AN61" i="4" s="1"/>
  <c r="AO61" i="4" s="1"/>
  <c r="K71" i="4"/>
  <c r="L71" i="4" s="1"/>
  <c r="M71" i="4" s="1"/>
  <c r="N71" i="4" s="1"/>
  <c r="O71" i="4" s="1"/>
  <c r="P71" i="4" s="1"/>
  <c r="Q71" i="4" s="1"/>
  <c r="R71" i="4" s="1"/>
  <c r="S71" i="4" s="1"/>
  <c r="T71" i="4" s="1"/>
  <c r="U71" i="4" s="1"/>
  <c r="V71" i="4" s="1"/>
  <c r="W71" i="4" s="1"/>
  <c r="X71" i="4" s="1"/>
  <c r="Y71" i="4" s="1"/>
  <c r="Z71" i="4" s="1"/>
  <c r="AA71" i="4" s="1"/>
  <c r="AB71" i="4" s="1"/>
  <c r="AC71" i="4" s="1"/>
  <c r="AD71" i="4" s="1"/>
  <c r="AE71" i="4" s="1"/>
  <c r="AF71" i="4" s="1"/>
  <c r="AG71" i="4" s="1"/>
  <c r="AH71" i="4" s="1"/>
  <c r="AI71" i="4" s="1"/>
  <c r="AJ71" i="4" s="1"/>
  <c r="AK71" i="4" s="1"/>
  <c r="AL71" i="4" s="1"/>
  <c r="AM71" i="4" s="1"/>
  <c r="AN71" i="4" s="1"/>
  <c r="AO71" i="4" s="1"/>
  <c r="K66" i="4"/>
  <c r="L66" i="4" s="1"/>
  <c r="M66" i="4" s="1"/>
  <c r="N66" i="4" s="1"/>
  <c r="O66" i="4" s="1"/>
  <c r="P66" i="4" s="1"/>
  <c r="Q66" i="4" s="1"/>
  <c r="R66" i="4" s="1"/>
  <c r="S66" i="4" s="1"/>
  <c r="T66" i="4" s="1"/>
  <c r="U66" i="4" s="1"/>
  <c r="V66" i="4" s="1"/>
  <c r="W66" i="4" s="1"/>
  <c r="X66" i="4" s="1"/>
  <c r="Y66" i="4" s="1"/>
  <c r="Z66" i="4" s="1"/>
  <c r="AA66" i="4" s="1"/>
  <c r="AB66" i="4" s="1"/>
  <c r="AC66" i="4" s="1"/>
  <c r="AD66" i="4" s="1"/>
  <c r="AE66" i="4" s="1"/>
  <c r="AF66" i="4" s="1"/>
  <c r="AG66" i="4" s="1"/>
  <c r="AH66" i="4" s="1"/>
  <c r="AI66" i="4" s="1"/>
  <c r="AJ66" i="4" s="1"/>
  <c r="AK66" i="4" s="1"/>
  <c r="AL66" i="4" s="1"/>
  <c r="AM66" i="4" s="1"/>
  <c r="AN66" i="4" s="1"/>
  <c r="AO66" i="4" s="1"/>
  <c r="K50" i="4"/>
  <c r="L50" i="4" s="1"/>
  <c r="M50" i="4" s="1"/>
  <c r="N50" i="4" s="1"/>
  <c r="O50" i="4" s="1"/>
  <c r="P50" i="4" s="1"/>
  <c r="Q50" i="4" s="1"/>
  <c r="R50" i="4" s="1"/>
  <c r="S50" i="4" s="1"/>
  <c r="T50" i="4" s="1"/>
  <c r="U50" i="4" s="1"/>
  <c r="V50" i="4" s="1"/>
  <c r="W50" i="4" s="1"/>
  <c r="X50" i="4" s="1"/>
  <c r="Y50" i="4" s="1"/>
  <c r="Z50" i="4" s="1"/>
  <c r="AA50" i="4" s="1"/>
  <c r="AB50" i="4" s="1"/>
  <c r="AC50" i="4" s="1"/>
  <c r="AD50" i="4" s="1"/>
  <c r="AE50" i="4" s="1"/>
  <c r="AF50" i="4" s="1"/>
  <c r="AG50" i="4" s="1"/>
  <c r="AH50" i="4" s="1"/>
  <c r="AI50" i="4" s="1"/>
  <c r="AJ50" i="4" s="1"/>
  <c r="AK50" i="4" s="1"/>
  <c r="AL50" i="4" s="1"/>
  <c r="AM50" i="4" s="1"/>
  <c r="AN50" i="4" s="1"/>
  <c r="AO50" i="4" s="1"/>
  <c r="K13" i="4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K5" i="4"/>
  <c r="L5" i="4" s="1"/>
  <c r="M5" i="4" s="1"/>
  <c r="K65" i="4"/>
  <c r="L65" i="4" s="1"/>
  <c r="M65" i="4" s="1"/>
  <c r="N65" i="4" s="1"/>
  <c r="O65" i="4" s="1"/>
  <c r="P65" i="4" s="1"/>
  <c r="Q65" i="4" s="1"/>
  <c r="R65" i="4" s="1"/>
  <c r="S65" i="4" s="1"/>
  <c r="T65" i="4" s="1"/>
  <c r="U65" i="4" s="1"/>
  <c r="V65" i="4" s="1"/>
  <c r="W65" i="4" s="1"/>
  <c r="X65" i="4" s="1"/>
  <c r="Y65" i="4" s="1"/>
  <c r="Z65" i="4" s="1"/>
  <c r="AA65" i="4" s="1"/>
  <c r="AB65" i="4" s="1"/>
  <c r="AC65" i="4" s="1"/>
  <c r="AD65" i="4" s="1"/>
  <c r="AE65" i="4" s="1"/>
  <c r="AF65" i="4" s="1"/>
  <c r="AG65" i="4" s="1"/>
  <c r="AH65" i="4" s="1"/>
  <c r="AI65" i="4" s="1"/>
  <c r="AJ65" i="4" s="1"/>
  <c r="AK65" i="4" s="1"/>
  <c r="AL65" i="4" s="1"/>
  <c r="AM65" i="4" s="1"/>
  <c r="AN65" i="4" s="1"/>
  <c r="AO65" i="4" s="1"/>
  <c r="K44" i="4"/>
  <c r="L44" i="4" s="1"/>
  <c r="M44" i="4" s="1"/>
  <c r="N44" i="4" s="1"/>
  <c r="O44" i="4" s="1"/>
  <c r="P44" i="4" s="1"/>
  <c r="Q44" i="4" s="1"/>
  <c r="R44" i="4" s="1"/>
  <c r="S44" i="4" s="1"/>
  <c r="T44" i="4" s="1"/>
  <c r="U44" i="4" s="1"/>
  <c r="V44" i="4" s="1"/>
  <c r="W44" i="4" s="1"/>
  <c r="X44" i="4" s="1"/>
  <c r="Y44" i="4" s="1"/>
  <c r="Z44" i="4" s="1"/>
  <c r="AA44" i="4" s="1"/>
  <c r="AB44" i="4" s="1"/>
  <c r="AC44" i="4" s="1"/>
  <c r="AD44" i="4" s="1"/>
  <c r="AE44" i="4" s="1"/>
  <c r="AF44" i="4" s="1"/>
  <c r="AG44" i="4" s="1"/>
  <c r="AH44" i="4" s="1"/>
  <c r="AI44" i="4" s="1"/>
  <c r="AJ44" i="4" s="1"/>
  <c r="AK44" i="4" s="1"/>
  <c r="AL44" i="4" s="1"/>
  <c r="AM44" i="4" s="1"/>
  <c r="AN44" i="4" s="1"/>
  <c r="AO44" i="4" s="1"/>
  <c r="R35" i="4"/>
  <c r="S35" i="4" s="1"/>
  <c r="T35" i="4" s="1"/>
  <c r="U35" i="4" s="1"/>
  <c r="V35" i="4" s="1"/>
  <c r="W35" i="4" s="1"/>
  <c r="X35" i="4" s="1"/>
  <c r="Y35" i="4" s="1"/>
  <c r="Z35" i="4" s="1"/>
  <c r="AA35" i="4" s="1"/>
  <c r="AB35" i="4" s="1"/>
  <c r="AC35" i="4" s="1"/>
  <c r="AD35" i="4" s="1"/>
  <c r="AE35" i="4" s="1"/>
  <c r="AF35" i="4" s="1"/>
  <c r="AG35" i="4" s="1"/>
  <c r="AH35" i="4" s="1"/>
  <c r="AI35" i="4" s="1"/>
  <c r="AJ35" i="4" s="1"/>
  <c r="AK35" i="4" s="1"/>
  <c r="AL35" i="4" s="1"/>
  <c r="AM35" i="4" s="1"/>
  <c r="AN35" i="4" s="1"/>
  <c r="AO35" i="4" s="1"/>
  <c r="R25" i="4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K19" i="4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N5" i="4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AK5" i="4" s="1"/>
  <c r="AL5" i="4" s="1"/>
  <c r="AM5" i="4" s="1"/>
  <c r="AN5" i="4" s="1"/>
  <c r="AO5" i="4" s="1"/>
  <c r="BN8" i="2"/>
  <c r="BO6" i="2"/>
  <c r="BN88" i="2"/>
  <c r="BN89" i="2"/>
  <c r="A1" i="2"/>
  <c r="AU7" i="2"/>
  <c r="T8" i="2"/>
  <c r="AM8" i="2" s="1"/>
  <c r="U8" i="2"/>
  <c r="AN8" i="2" s="1"/>
  <c r="V8" i="2"/>
  <c r="AO8" i="2" s="1"/>
  <c r="W8" i="2"/>
  <c r="AP8" i="2" s="1"/>
  <c r="X8" i="2"/>
  <c r="AQ8" i="2" s="1"/>
  <c r="Y8" i="2"/>
  <c r="AR8" i="2" s="1"/>
  <c r="Z8" i="2"/>
  <c r="AS8" i="2" s="1"/>
  <c r="AA8" i="2"/>
  <c r="AT8" i="2" s="1"/>
  <c r="AB8" i="2"/>
  <c r="AU8" i="2" s="1"/>
  <c r="AC8" i="2"/>
  <c r="AD8" i="2"/>
  <c r="AE8" i="2"/>
  <c r="AF8" i="2"/>
  <c r="AG8" i="2"/>
  <c r="AH8" i="2"/>
  <c r="AI8" i="2"/>
  <c r="AJ8" i="2"/>
  <c r="AK8" i="2"/>
  <c r="AL8" i="2"/>
  <c r="T9" i="2"/>
  <c r="AM9" i="2" s="1"/>
  <c r="U9" i="2"/>
  <c r="AN9" i="2" s="1"/>
  <c r="V9" i="2"/>
  <c r="AO9" i="2" s="1"/>
  <c r="W9" i="2"/>
  <c r="AP9" i="2" s="1"/>
  <c r="X9" i="2"/>
  <c r="AQ9" i="2" s="1"/>
  <c r="Y9" i="2"/>
  <c r="AR9" i="2" s="1"/>
  <c r="Z9" i="2"/>
  <c r="AS9" i="2" s="1"/>
  <c r="AA9" i="2"/>
  <c r="AT9" i="2" s="1"/>
  <c r="AB9" i="2"/>
  <c r="AU9" i="2" s="1"/>
  <c r="AC9" i="2"/>
  <c r="AD9" i="2"/>
  <c r="AE9" i="2"/>
  <c r="AF9" i="2"/>
  <c r="AG9" i="2"/>
  <c r="AH9" i="2"/>
  <c r="AI9" i="2"/>
  <c r="AJ9" i="2"/>
  <c r="AK9" i="2"/>
  <c r="AL9" i="2"/>
  <c r="T10" i="2"/>
  <c r="AM10" i="2" s="1"/>
  <c r="U10" i="2"/>
  <c r="AN10" i="2" s="1"/>
  <c r="V10" i="2"/>
  <c r="AO10" i="2" s="1"/>
  <c r="W10" i="2"/>
  <c r="AP10" i="2" s="1"/>
  <c r="X10" i="2"/>
  <c r="AQ10" i="2" s="1"/>
  <c r="Y10" i="2"/>
  <c r="AR10" i="2" s="1"/>
  <c r="Z10" i="2"/>
  <c r="AS10" i="2" s="1"/>
  <c r="AA10" i="2"/>
  <c r="AT10" i="2" s="1"/>
  <c r="AB10" i="2"/>
  <c r="AU10" i="2" s="1"/>
  <c r="AC10" i="2"/>
  <c r="AD10" i="2"/>
  <c r="AE10" i="2"/>
  <c r="AF10" i="2"/>
  <c r="AG10" i="2"/>
  <c r="AH10" i="2"/>
  <c r="AI10" i="2"/>
  <c r="AJ10" i="2"/>
  <c r="AK10" i="2"/>
  <c r="AL10" i="2"/>
  <c r="T11" i="2"/>
  <c r="AM11" i="2" s="1"/>
  <c r="U11" i="2"/>
  <c r="AN11" i="2" s="1"/>
  <c r="V11" i="2"/>
  <c r="AO11" i="2" s="1"/>
  <c r="W11" i="2"/>
  <c r="AP11" i="2" s="1"/>
  <c r="X11" i="2"/>
  <c r="AQ11" i="2" s="1"/>
  <c r="Y11" i="2"/>
  <c r="AR11" i="2" s="1"/>
  <c r="Z11" i="2"/>
  <c r="AS11" i="2" s="1"/>
  <c r="AA11" i="2"/>
  <c r="AT11" i="2" s="1"/>
  <c r="AB11" i="2"/>
  <c r="AU11" i="2" s="1"/>
  <c r="AC11" i="2"/>
  <c r="AD11" i="2"/>
  <c r="AE11" i="2"/>
  <c r="AF11" i="2"/>
  <c r="AG11" i="2"/>
  <c r="AH11" i="2"/>
  <c r="AI11" i="2"/>
  <c r="AJ11" i="2"/>
  <c r="AK11" i="2"/>
  <c r="AL11" i="2"/>
  <c r="T12" i="2"/>
  <c r="AM12" i="2" s="1"/>
  <c r="U12" i="2"/>
  <c r="AN12" i="2" s="1"/>
  <c r="V12" i="2"/>
  <c r="AO12" i="2" s="1"/>
  <c r="W12" i="2"/>
  <c r="AP12" i="2" s="1"/>
  <c r="X12" i="2"/>
  <c r="AQ12" i="2" s="1"/>
  <c r="Y12" i="2"/>
  <c r="AR12" i="2" s="1"/>
  <c r="Z12" i="2"/>
  <c r="AS12" i="2" s="1"/>
  <c r="AA12" i="2"/>
  <c r="AT12" i="2" s="1"/>
  <c r="AB12" i="2"/>
  <c r="AU12" i="2" s="1"/>
  <c r="AC12" i="2"/>
  <c r="AD12" i="2"/>
  <c r="AE12" i="2"/>
  <c r="AF12" i="2"/>
  <c r="AG12" i="2"/>
  <c r="AH12" i="2"/>
  <c r="AI12" i="2"/>
  <c r="AJ12" i="2"/>
  <c r="AK12" i="2"/>
  <c r="AL12" i="2"/>
  <c r="T13" i="2"/>
  <c r="AM13" i="2" s="1"/>
  <c r="U13" i="2"/>
  <c r="AN13" i="2" s="1"/>
  <c r="V13" i="2"/>
  <c r="AO13" i="2" s="1"/>
  <c r="W13" i="2"/>
  <c r="AP13" i="2" s="1"/>
  <c r="X13" i="2"/>
  <c r="AQ13" i="2" s="1"/>
  <c r="Y13" i="2"/>
  <c r="AR13" i="2" s="1"/>
  <c r="Z13" i="2"/>
  <c r="AS13" i="2" s="1"/>
  <c r="AA13" i="2"/>
  <c r="AT13" i="2" s="1"/>
  <c r="AB13" i="2"/>
  <c r="AU13" i="2" s="1"/>
  <c r="AC13" i="2"/>
  <c r="AD13" i="2"/>
  <c r="AE13" i="2"/>
  <c r="AF13" i="2"/>
  <c r="AG13" i="2"/>
  <c r="AH13" i="2"/>
  <c r="AI13" i="2"/>
  <c r="AJ13" i="2"/>
  <c r="AK13" i="2"/>
  <c r="AL13" i="2"/>
  <c r="T14" i="2"/>
  <c r="AM14" i="2" s="1"/>
  <c r="U14" i="2"/>
  <c r="AN14" i="2" s="1"/>
  <c r="V14" i="2"/>
  <c r="AO14" i="2" s="1"/>
  <c r="W14" i="2"/>
  <c r="AP14" i="2" s="1"/>
  <c r="X14" i="2"/>
  <c r="AQ14" i="2" s="1"/>
  <c r="Y14" i="2"/>
  <c r="AR14" i="2" s="1"/>
  <c r="Z14" i="2"/>
  <c r="AS14" i="2" s="1"/>
  <c r="AA14" i="2"/>
  <c r="AT14" i="2" s="1"/>
  <c r="AB14" i="2"/>
  <c r="AU14" i="2" s="1"/>
  <c r="AC14" i="2"/>
  <c r="AD14" i="2"/>
  <c r="AE14" i="2"/>
  <c r="AF14" i="2"/>
  <c r="AG14" i="2"/>
  <c r="AH14" i="2"/>
  <c r="AI14" i="2"/>
  <c r="AJ14" i="2"/>
  <c r="AK14" i="2"/>
  <c r="AL14" i="2"/>
  <c r="T15" i="2"/>
  <c r="AM15" i="2" s="1"/>
  <c r="U15" i="2"/>
  <c r="AN15" i="2" s="1"/>
  <c r="V15" i="2"/>
  <c r="AO15" i="2" s="1"/>
  <c r="W15" i="2"/>
  <c r="AP15" i="2" s="1"/>
  <c r="X15" i="2"/>
  <c r="AQ15" i="2" s="1"/>
  <c r="Y15" i="2"/>
  <c r="AR15" i="2" s="1"/>
  <c r="Z15" i="2"/>
  <c r="AS15" i="2" s="1"/>
  <c r="AA15" i="2"/>
  <c r="AT15" i="2" s="1"/>
  <c r="AB15" i="2"/>
  <c r="AU15" i="2" s="1"/>
  <c r="AC15" i="2"/>
  <c r="AD15" i="2"/>
  <c r="AE15" i="2"/>
  <c r="AF15" i="2"/>
  <c r="AG15" i="2"/>
  <c r="AH15" i="2"/>
  <c r="AI15" i="2"/>
  <c r="AJ15" i="2"/>
  <c r="AK15" i="2"/>
  <c r="AL15" i="2"/>
  <c r="T16" i="2"/>
  <c r="AM16" i="2" s="1"/>
  <c r="U16" i="2"/>
  <c r="AN16" i="2" s="1"/>
  <c r="V16" i="2"/>
  <c r="AO16" i="2" s="1"/>
  <c r="W16" i="2"/>
  <c r="AP16" i="2" s="1"/>
  <c r="X16" i="2"/>
  <c r="AQ16" i="2" s="1"/>
  <c r="Y16" i="2"/>
  <c r="AR16" i="2" s="1"/>
  <c r="Z16" i="2"/>
  <c r="AS16" i="2" s="1"/>
  <c r="AA16" i="2"/>
  <c r="AT16" i="2" s="1"/>
  <c r="AB16" i="2"/>
  <c r="AU16" i="2" s="1"/>
  <c r="AC16" i="2"/>
  <c r="AD16" i="2"/>
  <c r="AE16" i="2"/>
  <c r="AF16" i="2"/>
  <c r="AG16" i="2"/>
  <c r="AH16" i="2"/>
  <c r="AI16" i="2"/>
  <c r="AJ16" i="2"/>
  <c r="AK16" i="2"/>
  <c r="AL16" i="2"/>
  <c r="T17" i="2"/>
  <c r="AM17" i="2" s="1"/>
  <c r="U17" i="2"/>
  <c r="AN17" i="2" s="1"/>
  <c r="V17" i="2"/>
  <c r="AO17" i="2" s="1"/>
  <c r="W17" i="2"/>
  <c r="AP17" i="2" s="1"/>
  <c r="X17" i="2"/>
  <c r="AQ17" i="2" s="1"/>
  <c r="Y17" i="2"/>
  <c r="AR17" i="2" s="1"/>
  <c r="Z17" i="2"/>
  <c r="AS17" i="2" s="1"/>
  <c r="AA17" i="2"/>
  <c r="AT17" i="2" s="1"/>
  <c r="AB17" i="2"/>
  <c r="AU17" i="2" s="1"/>
  <c r="AC17" i="2"/>
  <c r="AD17" i="2"/>
  <c r="AE17" i="2"/>
  <c r="AF17" i="2"/>
  <c r="AG17" i="2"/>
  <c r="AH17" i="2"/>
  <c r="AI17" i="2"/>
  <c r="AJ17" i="2"/>
  <c r="AK17" i="2"/>
  <c r="AL17" i="2"/>
  <c r="T18" i="2"/>
  <c r="AM18" i="2" s="1"/>
  <c r="U18" i="2"/>
  <c r="AN18" i="2" s="1"/>
  <c r="V18" i="2"/>
  <c r="AO18" i="2" s="1"/>
  <c r="W18" i="2"/>
  <c r="AP18" i="2" s="1"/>
  <c r="X18" i="2"/>
  <c r="AQ18" i="2" s="1"/>
  <c r="Y18" i="2"/>
  <c r="AR18" i="2" s="1"/>
  <c r="Z18" i="2"/>
  <c r="AS18" i="2" s="1"/>
  <c r="AA18" i="2"/>
  <c r="AT18" i="2" s="1"/>
  <c r="AB18" i="2"/>
  <c r="AU18" i="2" s="1"/>
  <c r="AC18" i="2"/>
  <c r="AD18" i="2"/>
  <c r="AE18" i="2"/>
  <c r="AF18" i="2"/>
  <c r="AG18" i="2"/>
  <c r="AH18" i="2"/>
  <c r="AI18" i="2"/>
  <c r="AJ18" i="2"/>
  <c r="AK18" i="2"/>
  <c r="AL18" i="2"/>
  <c r="T19" i="2"/>
  <c r="AM19" i="2" s="1"/>
  <c r="U19" i="2"/>
  <c r="AN19" i="2" s="1"/>
  <c r="V19" i="2"/>
  <c r="AO19" i="2" s="1"/>
  <c r="W19" i="2"/>
  <c r="AP19" i="2" s="1"/>
  <c r="X19" i="2"/>
  <c r="AQ19" i="2" s="1"/>
  <c r="Y19" i="2"/>
  <c r="AR19" i="2" s="1"/>
  <c r="Z19" i="2"/>
  <c r="AS19" i="2" s="1"/>
  <c r="AA19" i="2"/>
  <c r="AT19" i="2" s="1"/>
  <c r="AB19" i="2"/>
  <c r="AU19" i="2" s="1"/>
  <c r="AC19" i="2"/>
  <c r="AD19" i="2"/>
  <c r="AE19" i="2"/>
  <c r="AF19" i="2"/>
  <c r="AG19" i="2"/>
  <c r="AH19" i="2"/>
  <c r="AI19" i="2"/>
  <c r="AJ19" i="2"/>
  <c r="AK19" i="2"/>
  <c r="AL19" i="2"/>
  <c r="T20" i="2"/>
  <c r="AM20" i="2" s="1"/>
  <c r="U20" i="2"/>
  <c r="AN20" i="2" s="1"/>
  <c r="V20" i="2"/>
  <c r="AO20" i="2" s="1"/>
  <c r="W20" i="2"/>
  <c r="AP20" i="2" s="1"/>
  <c r="X20" i="2"/>
  <c r="AQ20" i="2" s="1"/>
  <c r="Y20" i="2"/>
  <c r="AR20" i="2" s="1"/>
  <c r="Z20" i="2"/>
  <c r="AS20" i="2" s="1"/>
  <c r="AA20" i="2"/>
  <c r="AT20" i="2" s="1"/>
  <c r="AB20" i="2"/>
  <c r="AU20" i="2" s="1"/>
  <c r="AC20" i="2"/>
  <c r="AD20" i="2"/>
  <c r="AE20" i="2"/>
  <c r="AF20" i="2"/>
  <c r="AG20" i="2"/>
  <c r="AH20" i="2"/>
  <c r="AI20" i="2"/>
  <c r="AJ20" i="2"/>
  <c r="AK20" i="2"/>
  <c r="AL20" i="2"/>
  <c r="T21" i="2"/>
  <c r="AM21" i="2" s="1"/>
  <c r="U21" i="2"/>
  <c r="AN21" i="2" s="1"/>
  <c r="V21" i="2"/>
  <c r="AO21" i="2" s="1"/>
  <c r="W21" i="2"/>
  <c r="AP21" i="2" s="1"/>
  <c r="X21" i="2"/>
  <c r="AQ21" i="2" s="1"/>
  <c r="Y21" i="2"/>
  <c r="AR21" i="2" s="1"/>
  <c r="Z21" i="2"/>
  <c r="AS21" i="2" s="1"/>
  <c r="AA21" i="2"/>
  <c r="AT21" i="2" s="1"/>
  <c r="AB21" i="2"/>
  <c r="AU21" i="2" s="1"/>
  <c r="AC21" i="2"/>
  <c r="AD21" i="2"/>
  <c r="AE21" i="2"/>
  <c r="AF21" i="2"/>
  <c r="AG21" i="2"/>
  <c r="AH21" i="2"/>
  <c r="AI21" i="2"/>
  <c r="AJ21" i="2"/>
  <c r="AK21" i="2"/>
  <c r="AL21" i="2"/>
  <c r="T22" i="2"/>
  <c r="AM22" i="2" s="1"/>
  <c r="U22" i="2"/>
  <c r="AN22" i="2" s="1"/>
  <c r="V22" i="2"/>
  <c r="AO22" i="2" s="1"/>
  <c r="W22" i="2"/>
  <c r="AP22" i="2" s="1"/>
  <c r="X22" i="2"/>
  <c r="AQ22" i="2" s="1"/>
  <c r="Y22" i="2"/>
  <c r="AR22" i="2" s="1"/>
  <c r="Z22" i="2"/>
  <c r="AS22" i="2" s="1"/>
  <c r="AA22" i="2"/>
  <c r="AT22" i="2" s="1"/>
  <c r="AB22" i="2"/>
  <c r="AU22" i="2" s="1"/>
  <c r="AC22" i="2"/>
  <c r="AD22" i="2"/>
  <c r="AE22" i="2"/>
  <c r="AF22" i="2"/>
  <c r="AG22" i="2"/>
  <c r="AH22" i="2"/>
  <c r="AI22" i="2"/>
  <c r="AJ22" i="2"/>
  <c r="AK22" i="2"/>
  <c r="AL22" i="2"/>
  <c r="T23" i="2"/>
  <c r="AM23" i="2" s="1"/>
  <c r="U23" i="2"/>
  <c r="AN23" i="2" s="1"/>
  <c r="V23" i="2"/>
  <c r="AO23" i="2" s="1"/>
  <c r="W23" i="2"/>
  <c r="AP23" i="2" s="1"/>
  <c r="X23" i="2"/>
  <c r="AQ23" i="2" s="1"/>
  <c r="Y23" i="2"/>
  <c r="AR23" i="2" s="1"/>
  <c r="Z23" i="2"/>
  <c r="AS23" i="2" s="1"/>
  <c r="AA23" i="2"/>
  <c r="AT23" i="2" s="1"/>
  <c r="AB23" i="2"/>
  <c r="AU23" i="2" s="1"/>
  <c r="AC23" i="2"/>
  <c r="AD23" i="2"/>
  <c r="AE23" i="2"/>
  <c r="AF23" i="2"/>
  <c r="AG23" i="2"/>
  <c r="AH23" i="2"/>
  <c r="AI23" i="2"/>
  <c r="AJ23" i="2"/>
  <c r="AK23" i="2"/>
  <c r="AL23" i="2"/>
  <c r="T24" i="2"/>
  <c r="AM24" i="2" s="1"/>
  <c r="U24" i="2"/>
  <c r="AN24" i="2" s="1"/>
  <c r="V24" i="2"/>
  <c r="AO24" i="2" s="1"/>
  <c r="W24" i="2"/>
  <c r="AP24" i="2" s="1"/>
  <c r="X24" i="2"/>
  <c r="AQ24" i="2" s="1"/>
  <c r="Y24" i="2"/>
  <c r="AR24" i="2" s="1"/>
  <c r="Z24" i="2"/>
  <c r="AS24" i="2" s="1"/>
  <c r="AA24" i="2"/>
  <c r="AT24" i="2" s="1"/>
  <c r="AB24" i="2"/>
  <c r="AU24" i="2" s="1"/>
  <c r="AC24" i="2"/>
  <c r="AD24" i="2"/>
  <c r="AE24" i="2"/>
  <c r="AF24" i="2"/>
  <c r="AG24" i="2"/>
  <c r="AH24" i="2"/>
  <c r="AI24" i="2"/>
  <c r="AJ24" i="2"/>
  <c r="AK24" i="2"/>
  <c r="AL24" i="2"/>
  <c r="T25" i="2"/>
  <c r="AM25" i="2" s="1"/>
  <c r="U25" i="2"/>
  <c r="AN25" i="2" s="1"/>
  <c r="V25" i="2"/>
  <c r="AO25" i="2" s="1"/>
  <c r="W25" i="2"/>
  <c r="AP25" i="2" s="1"/>
  <c r="X25" i="2"/>
  <c r="AQ25" i="2" s="1"/>
  <c r="Y25" i="2"/>
  <c r="AR25" i="2" s="1"/>
  <c r="Z25" i="2"/>
  <c r="AS25" i="2" s="1"/>
  <c r="AA25" i="2"/>
  <c r="AT25" i="2" s="1"/>
  <c r="AB25" i="2"/>
  <c r="AU25" i="2" s="1"/>
  <c r="AC25" i="2"/>
  <c r="AD25" i="2"/>
  <c r="AE25" i="2"/>
  <c r="AF25" i="2"/>
  <c r="AG25" i="2"/>
  <c r="AH25" i="2"/>
  <c r="AI25" i="2"/>
  <c r="AJ25" i="2"/>
  <c r="AK25" i="2"/>
  <c r="AL25" i="2"/>
  <c r="T26" i="2"/>
  <c r="AM26" i="2" s="1"/>
  <c r="U26" i="2"/>
  <c r="AN26" i="2" s="1"/>
  <c r="V26" i="2"/>
  <c r="AO26" i="2" s="1"/>
  <c r="W26" i="2"/>
  <c r="AP26" i="2" s="1"/>
  <c r="X26" i="2"/>
  <c r="AQ26" i="2" s="1"/>
  <c r="Y26" i="2"/>
  <c r="AR26" i="2" s="1"/>
  <c r="Z26" i="2"/>
  <c r="AS26" i="2" s="1"/>
  <c r="AA26" i="2"/>
  <c r="AT26" i="2" s="1"/>
  <c r="AB26" i="2"/>
  <c r="AU26" i="2" s="1"/>
  <c r="AC26" i="2"/>
  <c r="AD26" i="2"/>
  <c r="AE26" i="2"/>
  <c r="AF26" i="2"/>
  <c r="AG26" i="2"/>
  <c r="AH26" i="2"/>
  <c r="AI26" i="2"/>
  <c r="AJ26" i="2"/>
  <c r="AK26" i="2"/>
  <c r="AL26" i="2"/>
  <c r="T27" i="2"/>
  <c r="AM27" i="2" s="1"/>
  <c r="U27" i="2"/>
  <c r="AN27" i="2" s="1"/>
  <c r="V27" i="2"/>
  <c r="AO27" i="2" s="1"/>
  <c r="W27" i="2"/>
  <c r="AP27" i="2" s="1"/>
  <c r="X27" i="2"/>
  <c r="AQ27" i="2" s="1"/>
  <c r="Y27" i="2"/>
  <c r="AR27" i="2" s="1"/>
  <c r="Z27" i="2"/>
  <c r="AS27" i="2" s="1"/>
  <c r="AA27" i="2"/>
  <c r="AT27" i="2" s="1"/>
  <c r="AB27" i="2"/>
  <c r="AU27" i="2" s="1"/>
  <c r="AC27" i="2"/>
  <c r="AD27" i="2"/>
  <c r="AE27" i="2"/>
  <c r="AF27" i="2"/>
  <c r="AG27" i="2"/>
  <c r="AH27" i="2"/>
  <c r="AI27" i="2"/>
  <c r="AJ27" i="2"/>
  <c r="AK27" i="2"/>
  <c r="AL27" i="2"/>
  <c r="T28" i="2"/>
  <c r="AM28" i="2" s="1"/>
  <c r="U28" i="2"/>
  <c r="AN28" i="2" s="1"/>
  <c r="V28" i="2"/>
  <c r="AO28" i="2" s="1"/>
  <c r="W28" i="2"/>
  <c r="AP28" i="2" s="1"/>
  <c r="X28" i="2"/>
  <c r="AQ28" i="2" s="1"/>
  <c r="Y28" i="2"/>
  <c r="AR28" i="2" s="1"/>
  <c r="Z28" i="2"/>
  <c r="AS28" i="2" s="1"/>
  <c r="AA28" i="2"/>
  <c r="AT28" i="2" s="1"/>
  <c r="AB28" i="2"/>
  <c r="AU28" i="2" s="1"/>
  <c r="AC28" i="2"/>
  <c r="AD28" i="2"/>
  <c r="AE28" i="2"/>
  <c r="AF28" i="2"/>
  <c r="AG28" i="2"/>
  <c r="AH28" i="2"/>
  <c r="AI28" i="2"/>
  <c r="AJ28" i="2"/>
  <c r="AK28" i="2"/>
  <c r="AL28" i="2"/>
  <c r="T29" i="2"/>
  <c r="AM29" i="2" s="1"/>
  <c r="U29" i="2"/>
  <c r="AN29" i="2" s="1"/>
  <c r="V29" i="2"/>
  <c r="AO29" i="2" s="1"/>
  <c r="W29" i="2"/>
  <c r="AP29" i="2" s="1"/>
  <c r="X29" i="2"/>
  <c r="AQ29" i="2" s="1"/>
  <c r="Y29" i="2"/>
  <c r="AR29" i="2" s="1"/>
  <c r="Z29" i="2"/>
  <c r="AS29" i="2" s="1"/>
  <c r="AA29" i="2"/>
  <c r="AT29" i="2" s="1"/>
  <c r="AB29" i="2"/>
  <c r="AU29" i="2" s="1"/>
  <c r="AC29" i="2"/>
  <c r="AD29" i="2"/>
  <c r="AE29" i="2"/>
  <c r="AF29" i="2"/>
  <c r="AG29" i="2"/>
  <c r="AH29" i="2"/>
  <c r="AI29" i="2"/>
  <c r="AJ29" i="2"/>
  <c r="AK29" i="2"/>
  <c r="AL29" i="2"/>
  <c r="T30" i="2"/>
  <c r="AM30" i="2" s="1"/>
  <c r="U30" i="2"/>
  <c r="AN30" i="2" s="1"/>
  <c r="V30" i="2"/>
  <c r="AO30" i="2" s="1"/>
  <c r="W30" i="2"/>
  <c r="AP30" i="2" s="1"/>
  <c r="X30" i="2"/>
  <c r="AQ30" i="2" s="1"/>
  <c r="Y30" i="2"/>
  <c r="AR30" i="2" s="1"/>
  <c r="Z30" i="2"/>
  <c r="AS30" i="2" s="1"/>
  <c r="AA30" i="2"/>
  <c r="AT30" i="2" s="1"/>
  <c r="AB30" i="2"/>
  <c r="AU30" i="2" s="1"/>
  <c r="AC30" i="2"/>
  <c r="AD30" i="2"/>
  <c r="AE30" i="2"/>
  <c r="AF30" i="2"/>
  <c r="AG30" i="2"/>
  <c r="AH30" i="2"/>
  <c r="AI30" i="2"/>
  <c r="AJ30" i="2"/>
  <c r="AK30" i="2"/>
  <c r="AL30" i="2"/>
  <c r="T31" i="2"/>
  <c r="AM31" i="2" s="1"/>
  <c r="U31" i="2"/>
  <c r="AN31" i="2" s="1"/>
  <c r="V31" i="2"/>
  <c r="AO31" i="2" s="1"/>
  <c r="W31" i="2"/>
  <c r="AP31" i="2" s="1"/>
  <c r="X31" i="2"/>
  <c r="AQ31" i="2" s="1"/>
  <c r="Y31" i="2"/>
  <c r="AR31" i="2" s="1"/>
  <c r="Z31" i="2"/>
  <c r="AS31" i="2" s="1"/>
  <c r="AA31" i="2"/>
  <c r="AT31" i="2" s="1"/>
  <c r="AB31" i="2"/>
  <c r="AU31" i="2" s="1"/>
  <c r="AC31" i="2"/>
  <c r="AD31" i="2"/>
  <c r="AE31" i="2"/>
  <c r="AF31" i="2"/>
  <c r="AG31" i="2"/>
  <c r="AH31" i="2"/>
  <c r="AI31" i="2"/>
  <c r="AJ31" i="2"/>
  <c r="AK31" i="2"/>
  <c r="AL31" i="2"/>
  <c r="T32" i="2"/>
  <c r="AM32" i="2" s="1"/>
  <c r="U32" i="2"/>
  <c r="AN32" i="2" s="1"/>
  <c r="V32" i="2"/>
  <c r="AO32" i="2" s="1"/>
  <c r="W32" i="2"/>
  <c r="AP32" i="2" s="1"/>
  <c r="X32" i="2"/>
  <c r="AQ32" i="2" s="1"/>
  <c r="Y32" i="2"/>
  <c r="AR32" i="2" s="1"/>
  <c r="Z32" i="2"/>
  <c r="AS32" i="2" s="1"/>
  <c r="AA32" i="2"/>
  <c r="AT32" i="2" s="1"/>
  <c r="AB32" i="2"/>
  <c r="AU32" i="2" s="1"/>
  <c r="AC32" i="2"/>
  <c r="AD32" i="2"/>
  <c r="AE32" i="2"/>
  <c r="AF32" i="2"/>
  <c r="AG32" i="2"/>
  <c r="AH32" i="2"/>
  <c r="AI32" i="2"/>
  <c r="AJ32" i="2"/>
  <c r="AK32" i="2"/>
  <c r="AL32" i="2"/>
  <c r="T33" i="2"/>
  <c r="AM33" i="2" s="1"/>
  <c r="U33" i="2"/>
  <c r="AN33" i="2" s="1"/>
  <c r="V33" i="2"/>
  <c r="AO33" i="2" s="1"/>
  <c r="W33" i="2"/>
  <c r="AP33" i="2" s="1"/>
  <c r="X33" i="2"/>
  <c r="AQ33" i="2" s="1"/>
  <c r="Y33" i="2"/>
  <c r="AR33" i="2" s="1"/>
  <c r="Z33" i="2"/>
  <c r="AS33" i="2" s="1"/>
  <c r="AA33" i="2"/>
  <c r="AT33" i="2" s="1"/>
  <c r="AB33" i="2"/>
  <c r="AU33" i="2" s="1"/>
  <c r="AC33" i="2"/>
  <c r="AD33" i="2"/>
  <c r="AE33" i="2"/>
  <c r="AF33" i="2"/>
  <c r="AG33" i="2"/>
  <c r="AH33" i="2"/>
  <c r="AI33" i="2"/>
  <c r="AJ33" i="2"/>
  <c r="AK33" i="2"/>
  <c r="AL33" i="2"/>
  <c r="T34" i="2"/>
  <c r="AM34" i="2" s="1"/>
  <c r="U34" i="2"/>
  <c r="AN34" i="2" s="1"/>
  <c r="V34" i="2"/>
  <c r="AO34" i="2" s="1"/>
  <c r="W34" i="2"/>
  <c r="AP34" i="2" s="1"/>
  <c r="X34" i="2"/>
  <c r="AQ34" i="2" s="1"/>
  <c r="Y34" i="2"/>
  <c r="AR34" i="2" s="1"/>
  <c r="Z34" i="2"/>
  <c r="AS34" i="2" s="1"/>
  <c r="AA34" i="2"/>
  <c r="AT34" i="2" s="1"/>
  <c r="AB34" i="2"/>
  <c r="AU34" i="2" s="1"/>
  <c r="AC34" i="2"/>
  <c r="AD34" i="2"/>
  <c r="AE34" i="2"/>
  <c r="AF34" i="2"/>
  <c r="AG34" i="2"/>
  <c r="AH34" i="2"/>
  <c r="AI34" i="2"/>
  <c r="AJ34" i="2"/>
  <c r="AK34" i="2"/>
  <c r="AL34" i="2"/>
  <c r="T35" i="2"/>
  <c r="AM35" i="2" s="1"/>
  <c r="U35" i="2"/>
  <c r="AN35" i="2" s="1"/>
  <c r="V35" i="2"/>
  <c r="AO35" i="2" s="1"/>
  <c r="W35" i="2"/>
  <c r="AP35" i="2" s="1"/>
  <c r="X35" i="2"/>
  <c r="AQ35" i="2" s="1"/>
  <c r="Y35" i="2"/>
  <c r="AR35" i="2" s="1"/>
  <c r="Z35" i="2"/>
  <c r="AS35" i="2" s="1"/>
  <c r="AA35" i="2"/>
  <c r="AT35" i="2" s="1"/>
  <c r="AB35" i="2"/>
  <c r="AU35" i="2" s="1"/>
  <c r="AC35" i="2"/>
  <c r="AD35" i="2"/>
  <c r="AE35" i="2"/>
  <c r="AF35" i="2"/>
  <c r="AG35" i="2"/>
  <c r="AH35" i="2"/>
  <c r="AI35" i="2"/>
  <c r="AJ35" i="2"/>
  <c r="AK35" i="2"/>
  <c r="AL35" i="2"/>
  <c r="T36" i="2"/>
  <c r="AM36" i="2" s="1"/>
  <c r="U36" i="2"/>
  <c r="AN36" i="2" s="1"/>
  <c r="V36" i="2"/>
  <c r="AO36" i="2" s="1"/>
  <c r="W36" i="2"/>
  <c r="AP36" i="2" s="1"/>
  <c r="X36" i="2"/>
  <c r="AQ36" i="2" s="1"/>
  <c r="Y36" i="2"/>
  <c r="AR36" i="2" s="1"/>
  <c r="Z36" i="2"/>
  <c r="AS36" i="2" s="1"/>
  <c r="AA36" i="2"/>
  <c r="AT36" i="2" s="1"/>
  <c r="AB36" i="2"/>
  <c r="AU36" i="2" s="1"/>
  <c r="AC36" i="2"/>
  <c r="AD36" i="2"/>
  <c r="AE36" i="2"/>
  <c r="AF36" i="2"/>
  <c r="AG36" i="2"/>
  <c r="AH36" i="2"/>
  <c r="AI36" i="2"/>
  <c r="AJ36" i="2"/>
  <c r="AK36" i="2"/>
  <c r="AL36" i="2"/>
  <c r="T37" i="2"/>
  <c r="AM37" i="2" s="1"/>
  <c r="U37" i="2"/>
  <c r="AN37" i="2" s="1"/>
  <c r="V37" i="2"/>
  <c r="AO37" i="2" s="1"/>
  <c r="W37" i="2"/>
  <c r="AP37" i="2" s="1"/>
  <c r="X37" i="2"/>
  <c r="AQ37" i="2" s="1"/>
  <c r="Y37" i="2"/>
  <c r="AR37" i="2" s="1"/>
  <c r="Z37" i="2"/>
  <c r="AS37" i="2" s="1"/>
  <c r="AA37" i="2"/>
  <c r="AT37" i="2" s="1"/>
  <c r="AB37" i="2"/>
  <c r="AU37" i="2" s="1"/>
  <c r="AC37" i="2"/>
  <c r="AD37" i="2"/>
  <c r="AE37" i="2"/>
  <c r="AF37" i="2"/>
  <c r="AG37" i="2"/>
  <c r="AH37" i="2"/>
  <c r="AI37" i="2"/>
  <c r="AJ37" i="2"/>
  <c r="AK37" i="2"/>
  <c r="AL37" i="2"/>
  <c r="T38" i="2"/>
  <c r="AM38" i="2" s="1"/>
  <c r="U38" i="2"/>
  <c r="AN38" i="2" s="1"/>
  <c r="V38" i="2"/>
  <c r="AO38" i="2" s="1"/>
  <c r="W38" i="2"/>
  <c r="AP38" i="2" s="1"/>
  <c r="X38" i="2"/>
  <c r="AQ38" i="2" s="1"/>
  <c r="Y38" i="2"/>
  <c r="AR38" i="2" s="1"/>
  <c r="Z38" i="2"/>
  <c r="AS38" i="2" s="1"/>
  <c r="AA38" i="2"/>
  <c r="AT38" i="2" s="1"/>
  <c r="AB38" i="2"/>
  <c r="AU38" i="2" s="1"/>
  <c r="AC38" i="2"/>
  <c r="AD38" i="2"/>
  <c r="AE38" i="2"/>
  <c r="AF38" i="2"/>
  <c r="AG38" i="2"/>
  <c r="AH38" i="2"/>
  <c r="AI38" i="2"/>
  <c r="AJ38" i="2"/>
  <c r="AK38" i="2"/>
  <c r="AL38" i="2"/>
  <c r="T39" i="2"/>
  <c r="AM39" i="2" s="1"/>
  <c r="U39" i="2"/>
  <c r="AN39" i="2" s="1"/>
  <c r="V39" i="2"/>
  <c r="AO39" i="2" s="1"/>
  <c r="W39" i="2"/>
  <c r="AP39" i="2" s="1"/>
  <c r="X39" i="2"/>
  <c r="AQ39" i="2" s="1"/>
  <c r="Y39" i="2"/>
  <c r="AR39" i="2" s="1"/>
  <c r="Z39" i="2"/>
  <c r="AS39" i="2" s="1"/>
  <c r="AA39" i="2"/>
  <c r="AT39" i="2" s="1"/>
  <c r="AB39" i="2"/>
  <c r="AU39" i="2" s="1"/>
  <c r="AC39" i="2"/>
  <c r="AD39" i="2"/>
  <c r="AE39" i="2"/>
  <c r="AF39" i="2"/>
  <c r="AG39" i="2"/>
  <c r="AH39" i="2"/>
  <c r="AI39" i="2"/>
  <c r="AJ39" i="2"/>
  <c r="AK39" i="2"/>
  <c r="AL39" i="2"/>
  <c r="T40" i="2"/>
  <c r="AM40" i="2" s="1"/>
  <c r="U40" i="2"/>
  <c r="AN40" i="2" s="1"/>
  <c r="V40" i="2"/>
  <c r="AO40" i="2" s="1"/>
  <c r="W40" i="2"/>
  <c r="AP40" i="2" s="1"/>
  <c r="X40" i="2"/>
  <c r="AQ40" i="2" s="1"/>
  <c r="Y40" i="2"/>
  <c r="AR40" i="2" s="1"/>
  <c r="Z40" i="2"/>
  <c r="AS40" i="2" s="1"/>
  <c r="AA40" i="2"/>
  <c r="AT40" i="2" s="1"/>
  <c r="AB40" i="2"/>
  <c r="AU40" i="2" s="1"/>
  <c r="AC40" i="2"/>
  <c r="AD40" i="2"/>
  <c r="AE40" i="2"/>
  <c r="AF40" i="2"/>
  <c r="AG40" i="2"/>
  <c r="AH40" i="2"/>
  <c r="AI40" i="2"/>
  <c r="AJ40" i="2"/>
  <c r="AK40" i="2"/>
  <c r="AL40" i="2"/>
  <c r="T41" i="2"/>
  <c r="AM41" i="2" s="1"/>
  <c r="U41" i="2"/>
  <c r="AN41" i="2" s="1"/>
  <c r="V41" i="2"/>
  <c r="AO41" i="2" s="1"/>
  <c r="W41" i="2"/>
  <c r="AP41" i="2" s="1"/>
  <c r="X41" i="2"/>
  <c r="AQ41" i="2" s="1"/>
  <c r="Y41" i="2"/>
  <c r="AR41" i="2" s="1"/>
  <c r="Z41" i="2"/>
  <c r="AS41" i="2" s="1"/>
  <c r="AA41" i="2"/>
  <c r="AT41" i="2" s="1"/>
  <c r="AB41" i="2"/>
  <c r="AU41" i="2" s="1"/>
  <c r="AC41" i="2"/>
  <c r="AD41" i="2"/>
  <c r="AE41" i="2"/>
  <c r="AF41" i="2"/>
  <c r="AG41" i="2"/>
  <c r="AH41" i="2"/>
  <c r="AI41" i="2"/>
  <c r="AJ41" i="2"/>
  <c r="AK41" i="2"/>
  <c r="AL41" i="2"/>
  <c r="T42" i="2"/>
  <c r="AM42" i="2" s="1"/>
  <c r="U42" i="2"/>
  <c r="AN42" i="2" s="1"/>
  <c r="V42" i="2"/>
  <c r="AO42" i="2" s="1"/>
  <c r="W42" i="2"/>
  <c r="AP42" i="2" s="1"/>
  <c r="X42" i="2"/>
  <c r="AQ42" i="2" s="1"/>
  <c r="Y42" i="2"/>
  <c r="AR42" i="2" s="1"/>
  <c r="Z42" i="2"/>
  <c r="AS42" i="2" s="1"/>
  <c r="AA42" i="2"/>
  <c r="AT42" i="2" s="1"/>
  <c r="AB42" i="2"/>
  <c r="AU42" i="2" s="1"/>
  <c r="AC42" i="2"/>
  <c r="AD42" i="2"/>
  <c r="AE42" i="2"/>
  <c r="AF42" i="2"/>
  <c r="AG42" i="2"/>
  <c r="AH42" i="2"/>
  <c r="AI42" i="2"/>
  <c r="AJ42" i="2"/>
  <c r="AK42" i="2"/>
  <c r="AL42" i="2"/>
  <c r="T43" i="2"/>
  <c r="AM43" i="2" s="1"/>
  <c r="U43" i="2"/>
  <c r="AN43" i="2" s="1"/>
  <c r="V43" i="2"/>
  <c r="AO43" i="2" s="1"/>
  <c r="W43" i="2"/>
  <c r="AP43" i="2" s="1"/>
  <c r="X43" i="2"/>
  <c r="AQ43" i="2" s="1"/>
  <c r="Y43" i="2"/>
  <c r="AR43" i="2" s="1"/>
  <c r="Z43" i="2"/>
  <c r="AS43" i="2" s="1"/>
  <c r="AA43" i="2"/>
  <c r="AT43" i="2" s="1"/>
  <c r="AB43" i="2"/>
  <c r="AU43" i="2" s="1"/>
  <c r="AC43" i="2"/>
  <c r="AD43" i="2"/>
  <c r="AE43" i="2"/>
  <c r="AF43" i="2"/>
  <c r="AG43" i="2"/>
  <c r="AH43" i="2"/>
  <c r="AI43" i="2"/>
  <c r="AJ43" i="2"/>
  <c r="AK43" i="2"/>
  <c r="AL43" i="2"/>
  <c r="T44" i="2"/>
  <c r="AM44" i="2" s="1"/>
  <c r="U44" i="2"/>
  <c r="AN44" i="2" s="1"/>
  <c r="V44" i="2"/>
  <c r="AO44" i="2" s="1"/>
  <c r="W44" i="2"/>
  <c r="AP44" i="2" s="1"/>
  <c r="X44" i="2"/>
  <c r="AQ44" i="2" s="1"/>
  <c r="Y44" i="2"/>
  <c r="AR44" i="2" s="1"/>
  <c r="Z44" i="2"/>
  <c r="AS44" i="2" s="1"/>
  <c r="AA44" i="2"/>
  <c r="AT44" i="2" s="1"/>
  <c r="AB44" i="2"/>
  <c r="AU44" i="2" s="1"/>
  <c r="AC44" i="2"/>
  <c r="AD44" i="2"/>
  <c r="AE44" i="2"/>
  <c r="AF44" i="2"/>
  <c r="AG44" i="2"/>
  <c r="AH44" i="2"/>
  <c r="AI44" i="2"/>
  <c r="AJ44" i="2"/>
  <c r="AK44" i="2"/>
  <c r="AL44" i="2"/>
  <c r="T45" i="2"/>
  <c r="AM45" i="2" s="1"/>
  <c r="U45" i="2"/>
  <c r="AN45" i="2" s="1"/>
  <c r="V45" i="2"/>
  <c r="AO45" i="2" s="1"/>
  <c r="W45" i="2"/>
  <c r="AP45" i="2" s="1"/>
  <c r="X45" i="2"/>
  <c r="AQ45" i="2" s="1"/>
  <c r="Y45" i="2"/>
  <c r="AR45" i="2" s="1"/>
  <c r="Z45" i="2"/>
  <c r="AS45" i="2" s="1"/>
  <c r="AA45" i="2"/>
  <c r="AT45" i="2" s="1"/>
  <c r="AB45" i="2"/>
  <c r="AU45" i="2" s="1"/>
  <c r="AC45" i="2"/>
  <c r="AD45" i="2"/>
  <c r="AE45" i="2"/>
  <c r="AF45" i="2"/>
  <c r="AG45" i="2"/>
  <c r="AH45" i="2"/>
  <c r="AI45" i="2"/>
  <c r="AJ45" i="2"/>
  <c r="AK45" i="2"/>
  <c r="AL45" i="2"/>
  <c r="T46" i="2"/>
  <c r="AM46" i="2" s="1"/>
  <c r="U46" i="2"/>
  <c r="AN46" i="2" s="1"/>
  <c r="V46" i="2"/>
  <c r="AO46" i="2" s="1"/>
  <c r="W46" i="2"/>
  <c r="AP46" i="2" s="1"/>
  <c r="X46" i="2"/>
  <c r="AQ46" i="2" s="1"/>
  <c r="Y46" i="2"/>
  <c r="AR46" i="2" s="1"/>
  <c r="Z46" i="2"/>
  <c r="AS46" i="2" s="1"/>
  <c r="AA46" i="2"/>
  <c r="AT46" i="2" s="1"/>
  <c r="AB46" i="2"/>
  <c r="AU46" i="2" s="1"/>
  <c r="AC46" i="2"/>
  <c r="AD46" i="2"/>
  <c r="AE46" i="2"/>
  <c r="AF46" i="2"/>
  <c r="AG46" i="2"/>
  <c r="AH46" i="2"/>
  <c r="AI46" i="2"/>
  <c r="AJ46" i="2"/>
  <c r="AK46" i="2"/>
  <c r="AL46" i="2"/>
  <c r="T47" i="2"/>
  <c r="AM47" i="2" s="1"/>
  <c r="U47" i="2"/>
  <c r="AN47" i="2" s="1"/>
  <c r="V47" i="2"/>
  <c r="AO47" i="2" s="1"/>
  <c r="W47" i="2"/>
  <c r="AP47" i="2" s="1"/>
  <c r="X47" i="2"/>
  <c r="AQ47" i="2" s="1"/>
  <c r="Y47" i="2"/>
  <c r="AR47" i="2" s="1"/>
  <c r="Z47" i="2"/>
  <c r="AS47" i="2" s="1"/>
  <c r="AA47" i="2"/>
  <c r="AT47" i="2" s="1"/>
  <c r="AB47" i="2"/>
  <c r="AU47" i="2" s="1"/>
  <c r="AC47" i="2"/>
  <c r="AD47" i="2"/>
  <c r="AE47" i="2"/>
  <c r="AF47" i="2"/>
  <c r="AG47" i="2"/>
  <c r="AH47" i="2"/>
  <c r="AI47" i="2"/>
  <c r="AJ47" i="2"/>
  <c r="AK47" i="2"/>
  <c r="AL47" i="2"/>
  <c r="T48" i="2"/>
  <c r="AM48" i="2" s="1"/>
  <c r="U48" i="2"/>
  <c r="AN48" i="2" s="1"/>
  <c r="V48" i="2"/>
  <c r="AO48" i="2" s="1"/>
  <c r="W48" i="2"/>
  <c r="AP48" i="2" s="1"/>
  <c r="X48" i="2"/>
  <c r="AQ48" i="2" s="1"/>
  <c r="Y48" i="2"/>
  <c r="AR48" i="2" s="1"/>
  <c r="Z48" i="2"/>
  <c r="AS48" i="2" s="1"/>
  <c r="AA48" i="2"/>
  <c r="AT48" i="2" s="1"/>
  <c r="AB48" i="2"/>
  <c r="AU48" i="2" s="1"/>
  <c r="AC48" i="2"/>
  <c r="AD48" i="2"/>
  <c r="AE48" i="2"/>
  <c r="AF48" i="2"/>
  <c r="AG48" i="2"/>
  <c r="AH48" i="2"/>
  <c r="AI48" i="2"/>
  <c r="AJ48" i="2"/>
  <c r="AK48" i="2"/>
  <c r="AL48" i="2"/>
  <c r="T49" i="2"/>
  <c r="AM49" i="2" s="1"/>
  <c r="U49" i="2"/>
  <c r="AN49" i="2" s="1"/>
  <c r="V49" i="2"/>
  <c r="AO49" i="2" s="1"/>
  <c r="W49" i="2"/>
  <c r="AP49" i="2" s="1"/>
  <c r="X49" i="2"/>
  <c r="AQ49" i="2" s="1"/>
  <c r="Y49" i="2"/>
  <c r="AR49" i="2" s="1"/>
  <c r="Z49" i="2"/>
  <c r="AS49" i="2" s="1"/>
  <c r="AA49" i="2"/>
  <c r="AT49" i="2" s="1"/>
  <c r="AB49" i="2"/>
  <c r="AU49" i="2" s="1"/>
  <c r="AC49" i="2"/>
  <c r="AD49" i="2"/>
  <c r="AE49" i="2"/>
  <c r="AF49" i="2"/>
  <c r="AG49" i="2"/>
  <c r="AH49" i="2"/>
  <c r="AI49" i="2"/>
  <c r="AJ49" i="2"/>
  <c r="AK49" i="2"/>
  <c r="AL49" i="2"/>
  <c r="T50" i="2"/>
  <c r="AM50" i="2" s="1"/>
  <c r="U50" i="2"/>
  <c r="AN50" i="2" s="1"/>
  <c r="V50" i="2"/>
  <c r="AO50" i="2" s="1"/>
  <c r="W50" i="2"/>
  <c r="AP50" i="2" s="1"/>
  <c r="X50" i="2"/>
  <c r="AQ50" i="2" s="1"/>
  <c r="Y50" i="2"/>
  <c r="AR50" i="2" s="1"/>
  <c r="Z50" i="2"/>
  <c r="AS50" i="2" s="1"/>
  <c r="AA50" i="2"/>
  <c r="AT50" i="2" s="1"/>
  <c r="AB50" i="2"/>
  <c r="AU50" i="2" s="1"/>
  <c r="AC50" i="2"/>
  <c r="AD50" i="2"/>
  <c r="AE50" i="2"/>
  <c r="AF50" i="2"/>
  <c r="AG50" i="2"/>
  <c r="AH50" i="2"/>
  <c r="AI50" i="2"/>
  <c r="AJ50" i="2"/>
  <c r="AK50" i="2"/>
  <c r="AL50" i="2"/>
  <c r="T51" i="2"/>
  <c r="AM51" i="2" s="1"/>
  <c r="U51" i="2"/>
  <c r="AN51" i="2" s="1"/>
  <c r="V51" i="2"/>
  <c r="AO51" i="2" s="1"/>
  <c r="W51" i="2"/>
  <c r="AP51" i="2" s="1"/>
  <c r="X51" i="2"/>
  <c r="AQ51" i="2" s="1"/>
  <c r="Y51" i="2"/>
  <c r="AR51" i="2" s="1"/>
  <c r="Z51" i="2"/>
  <c r="AS51" i="2" s="1"/>
  <c r="AA51" i="2"/>
  <c r="AT51" i="2" s="1"/>
  <c r="AB51" i="2"/>
  <c r="AU51" i="2" s="1"/>
  <c r="AC51" i="2"/>
  <c r="AD51" i="2"/>
  <c r="AE51" i="2"/>
  <c r="AF51" i="2"/>
  <c r="AG51" i="2"/>
  <c r="AH51" i="2"/>
  <c r="AI51" i="2"/>
  <c r="AJ51" i="2"/>
  <c r="AK51" i="2"/>
  <c r="AL51" i="2"/>
  <c r="T52" i="2"/>
  <c r="AM52" i="2" s="1"/>
  <c r="U52" i="2"/>
  <c r="AN52" i="2" s="1"/>
  <c r="V52" i="2"/>
  <c r="AO52" i="2" s="1"/>
  <c r="W52" i="2"/>
  <c r="AP52" i="2" s="1"/>
  <c r="X52" i="2"/>
  <c r="AQ52" i="2" s="1"/>
  <c r="Y52" i="2"/>
  <c r="AR52" i="2" s="1"/>
  <c r="Z52" i="2"/>
  <c r="AS52" i="2" s="1"/>
  <c r="AA52" i="2"/>
  <c r="AT52" i="2" s="1"/>
  <c r="AB52" i="2"/>
  <c r="AU52" i="2" s="1"/>
  <c r="AC52" i="2"/>
  <c r="AD52" i="2"/>
  <c r="AE52" i="2"/>
  <c r="AF52" i="2"/>
  <c r="AG52" i="2"/>
  <c r="AH52" i="2"/>
  <c r="AI52" i="2"/>
  <c r="AJ52" i="2"/>
  <c r="AK52" i="2"/>
  <c r="AL52" i="2"/>
  <c r="T53" i="2"/>
  <c r="AM53" i="2" s="1"/>
  <c r="U53" i="2"/>
  <c r="AN53" i="2" s="1"/>
  <c r="V53" i="2"/>
  <c r="AO53" i="2" s="1"/>
  <c r="W53" i="2"/>
  <c r="AP53" i="2" s="1"/>
  <c r="X53" i="2"/>
  <c r="AQ53" i="2" s="1"/>
  <c r="Y53" i="2"/>
  <c r="AR53" i="2" s="1"/>
  <c r="Z53" i="2"/>
  <c r="AS53" i="2" s="1"/>
  <c r="AA53" i="2"/>
  <c r="AT53" i="2" s="1"/>
  <c r="AB53" i="2"/>
  <c r="AU53" i="2" s="1"/>
  <c r="AC53" i="2"/>
  <c r="AD53" i="2"/>
  <c r="AE53" i="2"/>
  <c r="AF53" i="2"/>
  <c r="AG53" i="2"/>
  <c r="AH53" i="2"/>
  <c r="AI53" i="2"/>
  <c r="AJ53" i="2"/>
  <c r="AK53" i="2"/>
  <c r="AL53" i="2"/>
  <c r="T54" i="2"/>
  <c r="AM54" i="2" s="1"/>
  <c r="U54" i="2"/>
  <c r="AN54" i="2" s="1"/>
  <c r="V54" i="2"/>
  <c r="AO54" i="2" s="1"/>
  <c r="W54" i="2"/>
  <c r="AP54" i="2" s="1"/>
  <c r="X54" i="2"/>
  <c r="AQ54" i="2" s="1"/>
  <c r="Y54" i="2"/>
  <c r="AR54" i="2" s="1"/>
  <c r="Z54" i="2"/>
  <c r="AS54" i="2" s="1"/>
  <c r="AA54" i="2"/>
  <c r="AT54" i="2" s="1"/>
  <c r="AB54" i="2"/>
  <c r="AU54" i="2" s="1"/>
  <c r="AC54" i="2"/>
  <c r="AD54" i="2"/>
  <c r="AE54" i="2"/>
  <c r="AF54" i="2"/>
  <c r="AG54" i="2"/>
  <c r="AH54" i="2"/>
  <c r="AI54" i="2"/>
  <c r="AJ54" i="2"/>
  <c r="AK54" i="2"/>
  <c r="AL54" i="2"/>
  <c r="T55" i="2"/>
  <c r="AM55" i="2" s="1"/>
  <c r="U55" i="2"/>
  <c r="AN55" i="2" s="1"/>
  <c r="V55" i="2"/>
  <c r="AO55" i="2" s="1"/>
  <c r="W55" i="2"/>
  <c r="AP55" i="2" s="1"/>
  <c r="X55" i="2"/>
  <c r="AQ55" i="2" s="1"/>
  <c r="Y55" i="2"/>
  <c r="AR55" i="2" s="1"/>
  <c r="Z55" i="2"/>
  <c r="AS55" i="2" s="1"/>
  <c r="AA55" i="2"/>
  <c r="AT55" i="2" s="1"/>
  <c r="AB55" i="2"/>
  <c r="AU55" i="2" s="1"/>
  <c r="AC55" i="2"/>
  <c r="AD55" i="2"/>
  <c r="AE55" i="2"/>
  <c r="AF55" i="2"/>
  <c r="AG55" i="2"/>
  <c r="AH55" i="2"/>
  <c r="AI55" i="2"/>
  <c r="AJ55" i="2"/>
  <c r="AK55" i="2"/>
  <c r="AL55" i="2"/>
  <c r="T56" i="2"/>
  <c r="AM56" i="2" s="1"/>
  <c r="U56" i="2"/>
  <c r="AN56" i="2" s="1"/>
  <c r="V56" i="2"/>
  <c r="AO56" i="2" s="1"/>
  <c r="W56" i="2"/>
  <c r="AP56" i="2" s="1"/>
  <c r="X56" i="2"/>
  <c r="AQ56" i="2" s="1"/>
  <c r="Y56" i="2"/>
  <c r="AR56" i="2" s="1"/>
  <c r="Z56" i="2"/>
  <c r="AS56" i="2" s="1"/>
  <c r="AA56" i="2"/>
  <c r="AT56" i="2" s="1"/>
  <c r="AB56" i="2"/>
  <c r="AU56" i="2" s="1"/>
  <c r="AC56" i="2"/>
  <c r="AD56" i="2"/>
  <c r="AE56" i="2"/>
  <c r="AF56" i="2"/>
  <c r="AG56" i="2"/>
  <c r="AH56" i="2"/>
  <c r="AI56" i="2"/>
  <c r="AJ56" i="2"/>
  <c r="AK56" i="2"/>
  <c r="AL56" i="2"/>
  <c r="T57" i="2"/>
  <c r="AM57" i="2" s="1"/>
  <c r="U57" i="2"/>
  <c r="AN57" i="2" s="1"/>
  <c r="V57" i="2"/>
  <c r="AO57" i="2" s="1"/>
  <c r="W57" i="2"/>
  <c r="AP57" i="2" s="1"/>
  <c r="X57" i="2"/>
  <c r="AQ57" i="2" s="1"/>
  <c r="Y57" i="2"/>
  <c r="AR57" i="2" s="1"/>
  <c r="Z57" i="2"/>
  <c r="AS57" i="2" s="1"/>
  <c r="AA57" i="2"/>
  <c r="AT57" i="2" s="1"/>
  <c r="AB57" i="2"/>
  <c r="AU57" i="2" s="1"/>
  <c r="AC57" i="2"/>
  <c r="AD57" i="2"/>
  <c r="AE57" i="2"/>
  <c r="AF57" i="2"/>
  <c r="AG57" i="2"/>
  <c r="AH57" i="2"/>
  <c r="AI57" i="2"/>
  <c r="AJ57" i="2"/>
  <c r="AK57" i="2"/>
  <c r="AL57" i="2"/>
  <c r="T58" i="2"/>
  <c r="AM58" i="2" s="1"/>
  <c r="U58" i="2"/>
  <c r="AN58" i="2" s="1"/>
  <c r="V58" i="2"/>
  <c r="AO58" i="2" s="1"/>
  <c r="W58" i="2"/>
  <c r="AP58" i="2" s="1"/>
  <c r="X58" i="2"/>
  <c r="AQ58" i="2" s="1"/>
  <c r="Y58" i="2"/>
  <c r="AR58" i="2" s="1"/>
  <c r="Z58" i="2"/>
  <c r="AS58" i="2" s="1"/>
  <c r="AA58" i="2"/>
  <c r="AT58" i="2" s="1"/>
  <c r="AB58" i="2"/>
  <c r="AU58" i="2" s="1"/>
  <c r="AC58" i="2"/>
  <c r="AD58" i="2"/>
  <c r="AE58" i="2"/>
  <c r="AF58" i="2"/>
  <c r="AG58" i="2"/>
  <c r="AH58" i="2"/>
  <c r="AI58" i="2"/>
  <c r="AJ58" i="2"/>
  <c r="AK58" i="2"/>
  <c r="AL58" i="2"/>
  <c r="T59" i="2"/>
  <c r="AM59" i="2" s="1"/>
  <c r="U59" i="2"/>
  <c r="AN59" i="2" s="1"/>
  <c r="V59" i="2"/>
  <c r="AO59" i="2" s="1"/>
  <c r="W59" i="2"/>
  <c r="AP59" i="2" s="1"/>
  <c r="X59" i="2"/>
  <c r="AQ59" i="2" s="1"/>
  <c r="Y59" i="2"/>
  <c r="AR59" i="2" s="1"/>
  <c r="Z59" i="2"/>
  <c r="AS59" i="2" s="1"/>
  <c r="AA59" i="2"/>
  <c r="AT59" i="2" s="1"/>
  <c r="AB59" i="2"/>
  <c r="AU59" i="2" s="1"/>
  <c r="AC59" i="2"/>
  <c r="AD59" i="2"/>
  <c r="AE59" i="2"/>
  <c r="AF59" i="2"/>
  <c r="AG59" i="2"/>
  <c r="AH59" i="2"/>
  <c r="AI59" i="2"/>
  <c r="AJ59" i="2"/>
  <c r="AK59" i="2"/>
  <c r="AL59" i="2"/>
  <c r="T60" i="2"/>
  <c r="AM60" i="2" s="1"/>
  <c r="U60" i="2"/>
  <c r="AN60" i="2" s="1"/>
  <c r="V60" i="2"/>
  <c r="AO60" i="2" s="1"/>
  <c r="W60" i="2"/>
  <c r="AP60" i="2" s="1"/>
  <c r="X60" i="2"/>
  <c r="AQ60" i="2" s="1"/>
  <c r="Y60" i="2"/>
  <c r="AR60" i="2" s="1"/>
  <c r="Z60" i="2"/>
  <c r="AS60" i="2" s="1"/>
  <c r="AA60" i="2"/>
  <c r="AT60" i="2" s="1"/>
  <c r="AB60" i="2"/>
  <c r="AU60" i="2" s="1"/>
  <c r="AC60" i="2"/>
  <c r="AD60" i="2"/>
  <c r="AE60" i="2"/>
  <c r="AF60" i="2"/>
  <c r="AG60" i="2"/>
  <c r="AH60" i="2"/>
  <c r="AI60" i="2"/>
  <c r="AJ60" i="2"/>
  <c r="AK60" i="2"/>
  <c r="AL60" i="2"/>
  <c r="T61" i="2"/>
  <c r="AM61" i="2" s="1"/>
  <c r="U61" i="2"/>
  <c r="AN61" i="2" s="1"/>
  <c r="V61" i="2"/>
  <c r="AO61" i="2" s="1"/>
  <c r="W61" i="2"/>
  <c r="AP61" i="2" s="1"/>
  <c r="X61" i="2"/>
  <c r="AQ61" i="2" s="1"/>
  <c r="Y61" i="2"/>
  <c r="AR61" i="2" s="1"/>
  <c r="Z61" i="2"/>
  <c r="AS61" i="2" s="1"/>
  <c r="AA61" i="2"/>
  <c r="AT61" i="2" s="1"/>
  <c r="AB61" i="2"/>
  <c r="AU61" i="2" s="1"/>
  <c r="AC61" i="2"/>
  <c r="AD61" i="2"/>
  <c r="AE61" i="2"/>
  <c r="AF61" i="2"/>
  <c r="AG61" i="2"/>
  <c r="AH61" i="2"/>
  <c r="AI61" i="2"/>
  <c r="AJ61" i="2"/>
  <c r="AK61" i="2"/>
  <c r="AL61" i="2"/>
  <c r="T62" i="2"/>
  <c r="AM62" i="2" s="1"/>
  <c r="U62" i="2"/>
  <c r="AN62" i="2" s="1"/>
  <c r="V62" i="2"/>
  <c r="AO62" i="2" s="1"/>
  <c r="W62" i="2"/>
  <c r="AP62" i="2" s="1"/>
  <c r="X62" i="2"/>
  <c r="AQ62" i="2" s="1"/>
  <c r="Y62" i="2"/>
  <c r="AR62" i="2" s="1"/>
  <c r="Z62" i="2"/>
  <c r="AS62" i="2" s="1"/>
  <c r="AA62" i="2"/>
  <c r="AT62" i="2" s="1"/>
  <c r="AB62" i="2"/>
  <c r="AU62" i="2" s="1"/>
  <c r="AC62" i="2"/>
  <c r="AD62" i="2"/>
  <c r="AE62" i="2"/>
  <c r="AF62" i="2"/>
  <c r="AG62" i="2"/>
  <c r="AH62" i="2"/>
  <c r="AI62" i="2"/>
  <c r="AJ62" i="2"/>
  <c r="AK62" i="2"/>
  <c r="AL62" i="2"/>
  <c r="T63" i="2"/>
  <c r="AM63" i="2" s="1"/>
  <c r="U63" i="2"/>
  <c r="AN63" i="2" s="1"/>
  <c r="V63" i="2"/>
  <c r="AO63" i="2" s="1"/>
  <c r="W63" i="2"/>
  <c r="AP63" i="2" s="1"/>
  <c r="X63" i="2"/>
  <c r="AQ63" i="2" s="1"/>
  <c r="Y63" i="2"/>
  <c r="AR63" i="2" s="1"/>
  <c r="Z63" i="2"/>
  <c r="AS63" i="2" s="1"/>
  <c r="AA63" i="2"/>
  <c r="AT63" i="2" s="1"/>
  <c r="AB63" i="2"/>
  <c r="AU63" i="2" s="1"/>
  <c r="AC63" i="2"/>
  <c r="AD63" i="2"/>
  <c r="AE63" i="2"/>
  <c r="AF63" i="2"/>
  <c r="AG63" i="2"/>
  <c r="AH63" i="2"/>
  <c r="AI63" i="2"/>
  <c r="AJ63" i="2"/>
  <c r="AK63" i="2"/>
  <c r="AL63" i="2"/>
  <c r="T64" i="2"/>
  <c r="AM64" i="2" s="1"/>
  <c r="U64" i="2"/>
  <c r="AN64" i="2" s="1"/>
  <c r="V64" i="2"/>
  <c r="AO64" i="2" s="1"/>
  <c r="W64" i="2"/>
  <c r="AP64" i="2" s="1"/>
  <c r="X64" i="2"/>
  <c r="AQ64" i="2" s="1"/>
  <c r="Y64" i="2"/>
  <c r="AR64" i="2" s="1"/>
  <c r="Z64" i="2"/>
  <c r="AS64" i="2" s="1"/>
  <c r="AA64" i="2"/>
  <c r="AT64" i="2" s="1"/>
  <c r="AB64" i="2"/>
  <c r="AU64" i="2" s="1"/>
  <c r="AC64" i="2"/>
  <c r="AD64" i="2"/>
  <c r="AE64" i="2"/>
  <c r="AF64" i="2"/>
  <c r="AG64" i="2"/>
  <c r="AH64" i="2"/>
  <c r="AI64" i="2"/>
  <c r="AJ64" i="2"/>
  <c r="AK64" i="2"/>
  <c r="AL64" i="2"/>
  <c r="T65" i="2"/>
  <c r="AM65" i="2" s="1"/>
  <c r="U65" i="2"/>
  <c r="AN65" i="2" s="1"/>
  <c r="V65" i="2"/>
  <c r="AO65" i="2" s="1"/>
  <c r="W65" i="2"/>
  <c r="AP65" i="2" s="1"/>
  <c r="X65" i="2"/>
  <c r="AQ65" i="2" s="1"/>
  <c r="Y65" i="2"/>
  <c r="AR65" i="2" s="1"/>
  <c r="Z65" i="2"/>
  <c r="AS65" i="2" s="1"/>
  <c r="AA65" i="2"/>
  <c r="AT65" i="2" s="1"/>
  <c r="AB65" i="2"/>
  <c r="AU65" i="2" s="1"/>
  <c r="AC65" i="2"/>
  <c r="AD65" i="2"/>
  <c r="AE65" i="2"/>
  <c r="AF65" i="2"/>
  <c r="AG65" i="2"/>
  <c r="AH65" i="2"/>
  <c r="AI65" i="2"/>
  <c r="AJ65" i="2"/>
  <c r="AK65" i="2"/>
  <c r="AL65" i="2"/>
  <c r="T66" i="2"/>
  <c r="AM66" i="2" s="1"/>
  <c r="U66" i="2"/>
  <c r="AN66" i="2" s="1"/>
  <c r="V66" i="2"/>
  <c r="AO66" i="2" s="1"/>
  <c r="W66" i="2"/>
  <c r="AP66" i="2" s="1"/>
  <c r="X66" i="2"/>
  <c r="AQ66" i="2" s="1"/>
  <c r="Y66" i="2"/>
  <c r="AR66" i="2" s="1"/>
  <c r="Z66" i="2"/>
  <c r="AS66" i="2" s="1"/>
  <c r="AA66" i="2"/>
  <c r="AT66" i="2" s="1"/>
  <c r="AB66" i="2"/>
  <c r="AU66" i="2" s="1"/>
  <c r="AC66" i="2"/>
  <c r="AD66" i="2"/>
  <c r="AE66" i="2"/>
  <c r="AF66" i="2"/>
  <c r="AG66" i="2"/>
  <c r="AH66" i="2"/>
  <c r="AI66" i="2"/>
  <c r="AJ66" i="2"/>
  <c r="AK66" i="2"/>
  <c r="AL66" i="2"/>
  <c r="T67" i="2"/>
  <c r="AM67" i="2" s="1"/>
  <c r="U67" i="2"/>
  <c r="AN67" i="2" s="1"/>
  <c r="V67" i="2"/>
  <c r="AO67" i="2" s="1"/>
  <c r="W67" i="2"/>
  <c r="AP67" i="2" s="1"/>
  <c r="X67" i="2"/>
  <c r="AQ67" i="2" s="1"/>
  <c r="Y67" i="2"/>
  <c r="AR67" i="2" s="1"/>
  <c r="Z67" i="2"/>
  <c r="AS67" i="2" s="1"/>
  <c r="AA67" i="2"/>
  <c r="AT67" i="2" s="1"/>
  <c r="AB67" i="2"/>
  <c r="AU67" i="2" s="1"/>
  <c r="AC67" i="2"/>
  <c r="AD67" i="2"/>
  <c r="AE67" i="2"/>
  <c r="AF67" i="2"/>
  <c r="AG67" i="2"/>
  <c r="AH67" i="2"/>
  <c r="AI67" i="2"/>
  <c r="AJ67" i="2"/>
  <c r="AK67" i="2"/>
  <c r="AL67" i="2"/>
  <c r="T68" i="2"/>
  <c r="AM68" i="2" s="1"/>
  <c r="U68" i="2"/>
  <c r="AN68" i="2" s="1"/>
  <c r="V68" i="2"/>
  <c r="AO68" i="2" s="1"/>
  <c r="W68" i="2"/>
  <c r="AP68" i="2" s="1"/>
  <c r="X68" i="2"/>
  <c r="AQ68" i="2" s="1"/>
  <c r="Y68" i="2"/>
  <c r="AR68" i="2" s="1"/>
  <c r="Z68" i="2"/>
  <c r="AS68" i="2" s="1"/>
  <c r="AA68" i="2"/>
  <c r="AT68" i="2" s="1"/>
  <c r="AB68" i="2"/>
  <c r="AU68" i="2" s="1"/>
  <c r="AC68" i="2"/>
  <c r="AD68" i="2"/>
  <c r="AE68" i="2"/>
  <c r="AF68" i="2"/>
  <c r="AG68" i="2"/>
  <c r="AH68" i="2"/>
  <c r="AI68" i="2"/>
  <c r="AJ68" i="2"/>
  <c r="AK68" i="2"/>
  <c r="AL68" i="2"/>
  <c r="T69" i="2"/>
  <c r="AM69" i="2" s="1"/>
  <c r="U69" i="2"/>
  <c r="AN69" i="2" s="1"/>
  <c r="V69" i="2"/>
  <c r="AO69" i="2" s="1"/>
  <c r="W69" i="2"/>
  <c r="AP69" i="2" s="1"/>
  <c r="X69" i="2"/>
  <c r="AQ69" i="2" s="1"/>
  <c r="Y69" i="2"/>
  <c r="AR69" i="2" s="1"/>
  <c r="Z69" i="2"/>
  <c r="AS69" i="2" s="1"/>
  <c r="AA69" i="2"/>
  <c r="AT69" i="2" s="1"/>
  <c r="AB69" i="2"/>
  <c r="AU69" i="2" s="1"/>
  <c r="AC69" i="2"/>
  <c r="AD69" i="2"/>
  <c r="AE69" i="2"/>
  <c r="AF69" i="2"/>
  <c r="AG69" i="2"/>
  <c r="AH69" i="2"/>
  <c r="AI69" i="2"/>
  <c r="AJ69" i="2"/>
  <c r="AK69" i="2"/>
  <c r="AL69" i="2"/>
  <c r="T70" i="2"/>
  <c r="AM70" i="2" s="1"/>
  <c r="U70" i="2"/>
  <c r="AN70" i="2" s="1"/>
  <c r="V70" i="2"/>
  <c r="AO70" i="2" s="1"/>
  <c r="W70" i="2"/>
  <c r="AP70" i="2" s="1"/>
  <c r="X70" i="2"/>
  <c r="AQ70" i="2" s="1"/>
  <c r="Y70" i="2"/>
  <c r="AR70" i="2" s="1"/>
  <c r="Z70" i="2"/>
  <c r="AS70" i="2" s="1"/>
  <c r="AA70" i="2"/>
  <c r="AT70" i="2" s="1"/>
  <c r="AB70" i="2"/>
  <c r="AU70" i="2" s="1"/>
  <c r="AC70" i="2"/>
  <c r="AD70" i="2"/>
  <c r="AE70" i="2"/>
  <c r="AF70" i="2"/>
  <c r="AG70" i="2"/>
  <c r="AH70" i="2"/>
  <c r="AI70" i="2"/>
  <c r="AJ70" i="2"/>
  <c r="AK70" i="2"/>
  <c r="AL70" i="2"/>
  <c r="T71" i="2"/>
  <c r="AM71" i="2" s="1"/>
  <c r="U71" i="2"/>
  <c r="AN71" i="2" s="1"/>
  <c r="V71" i="2"/>
  <c r="AO71" i="2" s="1"/>
  <c r="W71" i="2"/>
  <c r="AP71" i="2" s="1"/>
  <c r="X71" i="2"/>
  <c r="AQ71" i="2" s="1"/>
  <c r="Y71" i="2"/>
  <c r="AR71" i="2" s="1"/>
  <c r="Z71" i="2"/>
  <c r="AS71" i="2" s="1"/>
  <c r="AA71" i="2"/>
  <c r="AT71" i="2" s="1"/>
  <c r="AB71" i="2"/>
  <c r="AU71" i="2" s="1"/>
  <c r="AC71" i="2"/>
  <c r="AD71" i="2"/>
  <c r="AE71" i="2"/>
  <c r="AF71" i="2"/>
  <c r="AG71" i="2"/>
  <c r="AH71" i="2"/>
  <c r="AI71" i="2"/>
  <c r="AJ71" i="2"/>
  <c r="AK71" i="2"/>
  <c r="AL71" i="2"/>
  <c r="T72" i="2"/>
  <c r="AM72" i="2" s="1"/>
  <c r="U72" i="2"/>
  <c r="AN72" i="2" s="1"/>
  <c r="V72" i="2"/>
  <c r="AO72" i="2" s="1"/>
  <c r="W72" i="2"/>
  <c r="AP72" i="2" s="1"/>
  <c r="X72" i="2"/>
  <c r="AQ72" i="2" s="1"/>
  <c r="Y72" i="2"/>
  <c r="AR72" i="2" s="1"/>
  <c r="Z72" i="2"/>
  <c r="AS72" i="2" s="1"/>
  <c r="AA72" i="2"/>
  <c r="AT72" i="2" s="1"/>
  <c r="AB72" i="2"/>
  <c r="AU72" i="2" s="1"/>
  <c r="AC72" i="2"/>
  <c r="AD72" i="2"/>
  <c r="AE72" i="2"/>
  <c r="AF72" i="2"/>
  <c r="AG72" i="2"/>
  <c r="AH72" i="2"/>
  <c r="AI72" i="2"/>
  <c r="AJ72" i="2"/>
  <c r="AK72" i="2"/>
  <c r="AL72" i="2"/>
  <c r="T73" i="2"/>
  <c r="AM73" i="2" s="1"/>
  <c r="U73" i="2"/>
  <c r="AN73" i="2" s="1"/>
  <c r="V73" i="2"/>
  <c r="AO73" i="2" s="1"/>
  <c r="W73" i="2"/>
  <c r="AP73" i="2" s="1"/>
  <c r="X73" i="2"/>
  <c r="AQ73" i="2" s="1"/>
  <c r="Y73" i="2"/>
  <c r="AR73" i="2" s="1"/>
  <c r="Z73" i="2"/>
  <c r="AS73" i="2" s="1"/>
  <c r="AA73" i="2"/>
  <c r="AT73" i="2" s="1"/>
  <c r="AB73" i="2"/>
  <c r="AU73" i="2" s="1"/>
  <c r="AC73" i="2"/>
  <c r="AD73" i="2"/>
  <c r="AE73" i="2"/>
  <c r="AF73" i="2"/>
  <c r="AG73" i="2"/>
  <c r="AH73" i="2"/>
  <c r="AI73" i="2"/>
  <c r="AJ73" i="2"/>
  <c r="AK73" i="2"/>
  <c r="AL73" i="2"/>
  <c r="T74" i="2"/>
  <c r="AM74" i="2" s="1"/>
  <c r="U74" i="2"/>
  <c r="AN74" i="2" s="1"/>
  <c r="V74" i="2"/>
  <c r="AO74" i="2" s="1"/>
  <c r="W74" i="2"/>
  <c r="AP74" i="2" s="1"/>
  <c r="X74" i="2"/>
  <c r="AQ74" i="2" s="1"/>
  <c r="Y74" i="2"/>
  <c r="AR74" i="2" s="1"/>
  <c r="Z74" i="2"/>
  <c r="AS74" i="2" s="1"/>
  <c r="AA74" i="2"/>
  <c r="AT74" i="2" s="1"/>
  <c r="AB74" i="2"/>
  <c r="AU74" i="2" s="1"/>
  <c r="AC74" i="2"/>
  <c r="AD74" i="2"/>
  <c r="AE74" i="2"/>
  <c r="AF74" i="2"/>
  <c r="AG74" i="2"/>
  <c r="AH74" i="2"/>
  <c r="AI74" i="2"/>
  <c r="AJ74" i="2"/>
  <c r="AK74" i="2"/>
  <c r="AL74" i="2"/>
  <c r="T75" i="2"/>
  <c r="AM75" i="2" s="1"/>
  <c r="U75" i="2"/>
  <c r="AN75" i="2" s="1"/>
  <c r="V75" i="2"/>
  <c r="AO75" i="2" s="1"/>
  <c r="W75" i="2"/>
  <c r="AP75" i="2" s="1"/>
  <c r="X75" i="2"/>
  <c r="AQ75" i="2" s="1"/>
  <c r="Y75" i="2"/>
  <c r="AR75" i="2" s="1"/>
  <c r="Z75" i="2"/>
  <c r="AS75" i="2" s="1"/>
  <c r="AA75" i="2"/>
  <c r="AT75" i="2" s="1"/>
  <c r="AB75" i="2"/>
  <c r="AU75" i="2" s="1"/>
  <c r="AC75" i="2"/>
  <c r="AD75" i="2"/>
  <c r="AE75" i="2"/>
  <c r="AF75" i="2"/>
  <c r="AG75" i="2"/>
  <c r="AH75" i="2"/>
  <c r="AI75" i="2"/>
  <c r="AJ75" i="2"/>
  <c r="AK75" i="2"/>
  <c r="AL75" i="2"/>
  <c r="T76" i="2"/>
  <c r="AM76" i="2" s="1"/>
  <c r="U76" i="2"/>
  <c r="AN76" i="2" s="1"/>
  <c r="V76" i="2"/>
  <c r="AO76" i="2" s="1"/>
  <c r="W76" i="2"/>
  <c r="AP76" i="2" s="1"/>
  <c r="X76" i="2"/>
  <c r="AQ76" i="2" s="1"/>
  <c r="Y76" i="2"/>
  <c r="AR76" i="2" s="1"/>
  <c r="Z76" i="2"/>
  <c r="AS76" i="2" s="1"/>
  <c r="AA76" i="2"/>
  <c r="AT76" i="2" s="1"/>
  <c r="AB76" i="2"/>
  <c r="AU76" i="2" s="1"/>
  <c r="AC76" i="2"/>
  <c r="AD76" i="2"/>
  <c r="AE76" i="2"/>
  <c r="AF76" i="2"/>
  <c r="AG76" i="2"/>
  <c r="AH76" i="2"/>
  <c r="AI76" i="2"/>
  <c r="AJ76" i="2"/>
  <c r="AK76" i="2"/>
  <c r="AL76" i="2"/>
  <c r="T77" i="2"/>
  <c r="AM77" i="2" s="1"/>
  <c r="U77" i="2"/>
  <c r="AN77" i="2" s="1"/>
  <c r="V77" i="2"/>
  <c r="AO77" i="2" s="1"/>
  <c r="W77" i="2"/>
  <c r="AP77" i="2" s="1"/>
  <c r="X77" i="2"/>
  <c r="AQ77" i="2" s="1"/>
  <c r="Y77" i="2"/>
  <c r="AR77" i="2" s="1"/>
  <c r="Z77" i="2"/>
  <c r="AS77" i="2" s="1"/>
  <c r="AA77" i="2"/>
  <c r="AT77" i="2" s="1"/>
  <c r="AB77" i="2"/>
  <c r="AU77" i="2" s="1"/>
  <c r="AC77" i="2"/>
  <c r="AD77" i="2"/>
  <c r="AE77" i="2"/>
  <c r="AF77" i="2"/>
  <c r="AG77" i="2"/>
  <c r="AH77" i="2"/>
  <c r="AI77" i="2"/>
  <c r="AJ77" i="2"/>
  <c r="AK77" i="2"/>
  <c r="AL77" i="2"/>
  <c r="T78" i="2"/>
  <c r="AM78" i="2" s="1"/>
  <c r="U78" i="2"/>
  <c r="AN78" i="2" s="1"/>
  <c r="V78" i="2"/>
  <c r="AO78" i="2" s="1"/>
  <c r="W78" i="2"/>
  <c r="AP78" i="2" s="1"/>
  <c r="X78" i="2"/>
  <c r="AQ78" i="2" s="1"/>
  <c r="Y78" i="2"/>
  <c r="AR78" i="2" s="1"/>
  <c r="Z78" i="2"/>
  <c r="AS78" i="2" s="1"/>
  <c r="AA78" i="2"/>
  <c r="AT78" i="2" s="1"/>
  <c r="AB78" i="2"/>
  <c r="AU78" i="2" s="1"/>
  <c r="AC78" i="2"/>
  <c r="AD78" i="2"/>
  <c r="AE78" i="2"/>
  <c r="AF78" i="2"/>
  <c r="AG78" i="2"/>
  <c r="AH78" i="2"/>
  <c r="AI78" i="2"/>
  <c r="AJ78" i="2"/>
  <c r="AK78" i="2"/>
  <c r="AL78" i="2"/>
  <c r="T79" i="2"/>
  <c r="AM79" i="2" s="1"/>
  <c r="U79" i="2"/>
  <c r="AN79" i="2" s="1"/>
  <c r="V79" i="2"/>
  <c r="AO79" i="2" s="1"/>
  <c r="W79" i="2"/>
  <c r="AP79" i="2" s="1"/>
  <c r="X79" i="2"/>
  <c r="AQ79" i="2" s="1"/>
  <c r="Y79" i="2"/>
  <c r="AR79" i="2" s="1"/>
  <c r="Z79" i="2"/>
  <c r="AS79" i="2" s="1"/>
  <c r="AA79" i="2"/>
  <c r="AT79" i="2" s="1"/>
  <c r="AB79" i="2"/>
  <c r="AU79" i="2" s="1"/>
  <c r="AC79" i="2"/>
  <c r="AD79" i="2"/>
  <c r="AE79" i="2"/>
  <c r="AF79" i="2"/>
  <c r="AG79" i="2"/>
  <c r="AH79" i="2"/>
  <c r="AI79" i="2"/>
  <c r="AJ79" i="2"/>
  <c r="AK79" i="2"/>
  <c r="AL79" i="2"/>
  <c r="T80" i="2"/>
  <c r="AM80" i="2" s="1"/>
  <c r="U80" i="2"/>
  <c r="AN80" i="2" s="1"/>
  <c r="V80" i="2"/>
  <c r="AO80" i="2" s="1"/>
  <c r="W80" i="2"/>
  <c r="AP80" i="2" s="1"/>
  <c r="X80" i="2"/>
  <c r="AQ80" i="2" s="1"/>
  <c r="Y80" i="2"/>
  <c r="AR80" i="2" s="1"/>
  <c r="Z80" i="2"/>
  <c r="AS80" i="2" s="1"/>
  <c r="AA80" i="2"/>
  <c r="AT80" i="2" s="1"/>
  <c r="AB80" i="2"/>
  <c r="AU80" i="2" s="1"/>
  <c r="AC80" i="2"/>
  <c r="AD80" i="2"/>
  <c r="AE80" i="2"/>
  <c r="AF80" i="2"/>
  <c r="AG80" i="2"/>
  <c r="AH80" i="2"/>
  <c r="AI80" i="2"/>
  <c r="AJ80" i="2"/>
  <c r="AK80" i="2"/>
  <c r="AL80" i="2"/>
  <c r="T81" i="2"/>
  <c r="AM81" i="2" s="1"/>
  <c r="U81" i="2"/>
  <c r="AN81" i="2" s="1"/>
  <c r="V81" i="2"/>
  <c r="AO81" i="2" s="1"/>
  <c r="W81" i="2"/>
  <c r="AP81" i="2" s="1"/>
  <c r="X81" i="2"/>
  <c r="AQ81" i="2" s="1"/>
  <c r="Y81" i="2"/>
  <c r="AR81" i="2" s="1"/>
  <c r="Z81" i="2"/>
  <c r="AS81" i="2" s="1"/>
  <c r="AA81" i="2"/>
  <c r="AT81" i="2" s="1"/>
  <c r="AB81" i="2"/>
  <c r="AU81" i="2" s="1"/>
  <c r="AC81" i="2"/>
  <c r="AD81" i="2"/>
  <c r="AE81" i="2"/>
  <c r="AF81" i="2"/>
  <c r="AG81" i="2"/>
  <c r="AH81" i="2"/>
  <c r="AI81" i="2"/>
  <c r="AJ81" i="2"/>
  <c r="AK81" i="2"/>
  <c r="AL81" i="2"/>
  <c r="T82" i="2"/>
  <c r="AM82" i="2" s="1"/>
  <c r="U82" i="2"/>
  <c r="AN82" i="2" s="1"/>
  <c r="V82" i="2"/>
  <c r="AO82" i="2" s="1"/>
  <c r="W82" i="2"/>
  <c r="AP82" i="2" s="1"/>
  <c r="X82" i="2"/>
  <c r="AQ82" i="2" s="1"/>
  <c r="Y82" i="2"/>
  <c r="AR82" i="2" s="1"/>
  <c r="Z82" i="2"/>
  <c r="AS82" i="2" s="1"/>
  <c r="AA82" i="2"/>
  <c r="AT82" i="2" s="1"/>
  <c r="AB82" i="2"/>
  <c r="AU82" i="2" s="1"/>
  <c r="AC82" i="2"/>
  <c r="AD82" i="2"/>
  <c r="AE82" i="2"/>
  <c r="AF82" i="2"/>
  <c r="AG82" i="2"/>
  <c r="AH82" i="2"/>
  <c r="AI82" i="2"/>
  <c r="AJ82" i="2"/>
  <c r="AK82" i="2"/>
  <c r="AL82" i="2"/>
  <c r="T83" i="2"/>
  <c r="AM83" i="2" s="1"/>
  <c r="U83" i="2"/>
  <c r="AN83" i="2" s="1"/>
  <c r="V83" i="2"/>
  <c r="AO83" i="2" s="1"/>
  <c r="W83" i="2"/>
  <c r="AP83" i="2" s="1"/>
  <c r="X83" i="2"/>
  <c r="AQ83" i="2" s="1"/>
  <c r="Y83" i="2"/>
  <c r="AR83" i="2" s="1"/>
  <c r="Z83" i="2"/>
  <c r="AS83" i="2" s="1"/>
  <c r="AA83" i="2"/>
  <c r="AT83" i="2" s="1"/>
  <c r="AB83" i="2"/>
  <c r="AU83" i="2" s="1"/>
  <c r="AC83" i="2"/>
  <c r="AD83" i="2"/>
  <c r="AE83" i="2"/>
  <c r="AF83" i="2"/>
  <c r="AG83" i="2"/>
  <c r="AH83" i="2"/>
  <c r="AI83" i="2"/>
  <c r="AJ83" i="2"/>
  <c r="AK83" i="2"/>
  <c r="AL83" i="2"/>
  <c r="T84" i="2"/>
  <c r="AM84" i="2" s="1"/>
  <c r="U84" i="2"/>
  <c r="AN84" i="2" s="1"/>
  <c r="V84" i="2"/>
  <c r="AO84" i="2" s="1"/>
  <c r="W84" i="2"/>
  <c r="AP84" i="2" s="1"/>
  <c r="X84" i="2"/>
  <c r="AQ84" i="2" s="1"/>
  <c r="Y84" i="2"/>
  <c r="AR84" i="2" s="1"/>
  <c r="Z84" i="2"/>
  <c r="AS84" i="2" s="1"/>
  <c r="AA84" i="2"/>
  <c r="AT84" i="2" s="1"/>
  <c r="AB84" i="2"/>
  <c r="AU84" i="2" s="1"/>
  <c r="AC84" i="2"/>
  <c r="AD84" i="2"/>
  <c r="AE84" i="2"/>
  <c r="AF84" i="2"/>
  <c r="AG84" i="2"/>
  <c r="AH84" i="2"/>
  <c r="AI84" i="2"/>
  <c r="AJ84" i="2"/>
  <c r="AK84" i="2"/>
  <c r="AL84" i="2"/>
  <c r="T85" i="2"/>
  <c r="AM85" i="2" s="1"/>
  <c r="U85" i="2"/>
  <c r="AN85" i="2" s="1"/>
  <c r="V85" i="2"/>
  <c r="AO85" i="2" s="1"/>
  <c r="W85" i="2"/>
  <c r="AP85" i="2" s="1"/>
  <c r="X85" i="2"/>
  <c r="AQ85" i="2" s="1"/>
  <c r="Y85" i="2"/>
  <c r="AR85" i="2" s="1"/>
  <c r="Z85" i="2"/>
  <c r="AS85" i="2" s="1"/>
  <c r="AA85" i="2"/>
  <c r="AT85" i="2" s="1"/>
  <c r="AB85" i="2"/>
  <c r="AU85" i="2" s="1"/>
  <c r="AC85" i="2"/>
  <c r="AD85" i="2"/>
  <c r="AE85" i="2"/>
  <c r="AF85" i="2"/>
  <c r="AG85" i="2"/>
  <c r="AH85" i="2"/>
  <c r="AI85" i="2"/>
  <c r="AJ85" i="2"/>
  <c r="AK85" i="2"/>
  <c r="AL85" i="2"/>
  <c r="T86" i="2"/>
  <c r="AM86" i="2" s="1"/>
  <c r="U86" i="2"/>
  <c r="AN86" i="2" s="1"/>
  <c r="V86" i="2"/>
  <c r="AO86" i="2" s="1"/>
  <c r="W86" i="2"/>
  <c r="AP86" i="2" s="1"/>
  <c r="X86" i="2"/>
  <c r="AQ86" i="2" s="1"/>
  <c r="Y86" i="2"/>
  <c r="AR86" i="2" s="1"/>
  <c r="Z86" i="2"/>
  <c r="AS86" i="2" s="1"/>
  <c r="AA86" i="2"/>
  <c r="AT86" i="2" s="1"/>
  <c r="AB86" i="2"/>
  <c r="AU86" i="2" s="1"/>
  <c r="AC86" i="2"/>
  <c r="AD86" i="2"/>
  <c r="AE86" i="2"/>
  <c r="AF86" i="2"/>
  <c r="AG86" i="2"/>
  <c r="AH86" i="2"/>
  <c r="AI86" i="2"/>
  <c r="AJ86" i="2"/>
  <c r="AK86" i="2"/>
  <c r="AL86" i="2"/>
  <c r="T87" i="2"/>
  <c r="AM87" i="2" s="1"/>
  <c r="U87" i="2"/>
  <c r="AN87" i="2" s="1"/>
  <c r="V87" i="2"/>
  <c r="AO87" i="2" s="1"/>
  <c r="W87" i="2"/>
  <c r="AP87" i="2" s="1"/>
  <c r="X87" i="2"/>
  <c r="AQ87" i="2" s="1"/>
  <c r="Y87" i="2"/>
  <c r="AR87" i="2" s="1"/>
  <c r="Z87" i="2"/>
  <c r="AS87" i="2" s="1"/>
  <c r="AA87" i="2"/>
  <c r="AT87" i="2" s="1"/>
  <c r="AB87" i="2"/>
  <c r="AU87" i="2" s="1"/>
  <c r="AC87" i="2"/>
  <c r="AD87" i="2"/>
  <c r="AE87" i="2"/>
  <c r="AF87" i="2"/>
  <c r="AG87" i="2"/>
  <c r="AH87" i="2"/>
  <c r="AI87" i="2"/>
  <c r="AJ87" i="2"/>
  <c r="AK87" i="2"/>
  <c r="AL87" i="2"/>
  <c r="AL7" i="2"/>
  <c r="AK7" i="2"/>
  <c r="AJ7" i="2"/>
  <c r="AI7" i="2"/>
  <c r="AH7" i="2"/>
  <c r="AG7" i="2"/>
  <c r="AF7" i="2"/>
  <c r="AE7" i="2"/>
  <c r="AD7" i="2"/>
  <c r="AC7" i="2"/>
  <c r="AA7" i="2"/>
  <c r="AT7" i="2" s="1"/>
  <c r="Z7" i="2"/>
  <c r="AS7" i="2" s="1"/>
  <c r="Y7" i="2"/>
  <c r="AR7" i="2" s="1"/>
  <c r="X7" i="2"/>
  <c r="AQ7" i="2" s="1"/>
  <c r="W7" i="2"/>
  <c r="AP7" i="2" s="1"/>
  <c r="V7" i="2"/>
  <c r="AO7" i="2" s="1"/>
  <c r="U7" i="2"/>
  <c r="AN7" i="2" s="1"/>
  <c r="T7" i="2"/>
  <c r="AM7" i="2" s="1"/>
  <c r="Q38" i="2"/>
  <c r="Q39" i="2"/>
  <c r="Q69" i="2"/>
  <c r="Q70" i="2"/>
  <c r="Q7" i="2"/>
  <c r="Q87" i="2"/>
  <c r="S9" i="2"/>
  <c r="A9" i="2"/>
  <c r="B9" i="2"/>
  <c r="C9" i="2"/>
  <c r="D9" i="2"/>
  <c r="E9" i="2"/>
  <c r="F9" i="2"/>
  <c r="G9" i="2"/>
  <c r="H9" i="2"/>
  <c r="I9" i="2"/>
  <c r="J9" i="2"/>
  <c r="A10" i="2"/>
  <c r="B10" i="2"/>
  <c r="C10" i="2"/>
  <c r="D10" i="2"/>
  <c r="E10" i="2"/>
  <c r="F10" i="2"/>
  <c r="G10" i="2"/>
  <c r="H10" i="2"/>
  <c r="I10" i="2"/>
  <c r="J10" i="2"/>
  <c r="A11" i="2"/>
  <c r="B11" i="2"/>
  <c r="C11" i="2"/>
  <c r="D11" i="2"/>
  <c r="E11" i="2"/>
  <c r="F11" i="2"/>
  <c r="G11" i="2"/>
  <c r="H11" i="2"/>
  <c r="I11" i="2"/>
  <c r="J11" i="2"/>
  <c r="A12" i="2"/>
  <c r="B12" i="2"/>
  <c r="C12" i="2"/>
  <c r="D12" i="2"/>
  <c r="E12" i="2"/>
  <c r="F12" i="2"/>
  <c r="G12" i="2"/>
  <c r="H12" i="2"/>
  <c r="I12" i="2"/>
  <c r="J12" i="2"/>
  <c r="A13" i="2"/>
  <c r="B13" i="2"/>
  <c r="C13" i="2"/>
  <c r="D13" i="2"/>
  <c r="E13" i="2"/>
  <c r="F13" i="2"/>
  <c r="G13" i="2"/>
  <c r="H13" i="2"/>
  <c r="I13" i="2"/>
  <c r="J13" i="2"/>
  <c r="A14" i="2"/>
  <c r="B14" i="2"/>
  <c r="C14" i="2"/>
  <c r="D14" i="2"/>
  <c r="E14" i="2"/>
  <c r="F14" i="2"/>
  <c r="G14" i="2"/>
  <c r="H14" i="2"/>
  <c r="I14" i="2"/>
  <c r="J14" i="2"/>
  <c r="A15" i="2"/>
  <c r="B15" i="2"/>
  <c r="C15" i="2"/>
  <c r="D15" i="2"/>
  <c r="E15" i="2"/>
  <c r="F15" i="2"/>
  <c r="G15" i="2"/>
  <c r="H15" i="2"/>
  <c r="I15" i="2"/>
  <c r="J15" i="2"/>
  <c r="A16" i="2"/>
  <c r="B16" i="2"/>
  <c r="C16" i="2"/>
  <c r="D16" i="2"/>
  <c r="E16" i="2"/>
  <c r="F16" i="2"/>
  <c r="G16" i="2"/>
  <c r="H16" i="2"/>
  <c r="I16" i="2"/>
  <c r="J16" i="2"/>
  <c r="A17" i="2"/>
  <c r="B17" i="2"/>
  <c r="C17" i="2"/>
  <c r="D17" i="2"/>
  <c r="E17" i="2"/>
  <c r="F17" i="2"/>
  <c r="G17" i="2"/>
  <c r="H17" i="2"/>
  <c r="I17" i="2"/>
  <c r="J17" i="2"/>
  <c r="A18" i="2"/>
  <c r="B18" i="2"/>
  <c r="C18" i="2"/>
  <c r="D18" i="2"/>
  <c r="E18" i="2"/>
  <c r="F18" i="2"/>
  <c r="G18" i="2"/>
  <c r="H18" i="2"/>
  <c r="I18" i="2"/>
  <c r="J18" i="2"/>
  <c r="A19" i="2"/>
  <c r="B19" i="2"/>
  <c r="C19" i="2"/>
  <c r="D19" i="2"/>
  <c r="E19" i="2"/>
  <c r="F19" i="2"/>
  <c r="G19" i="2"/>
  <c r="H19" i="2"/>
  <c r="I19" i="2"/>
  <c r="J19" i="2"/>
  <c r="A20" i="2"/>
  <c r="B20" i="2"/>
  <c r="C20" i="2"/>
  <c r="D20" i="2"/>
  <c r="E20" i="2"/>
  <c r="F20" i="2"/>
  <c r="G20" i="2"/>
  <c r="H20" i="2"/>
  <c r="I20" i="2"/>
  <c r="J20" i="2"/>
  <c r="A21" i="2"/>
  <c r="B21" i="2"/>
  <c r="C21" i="2"/>
  <c r="D21" i="2"/>
  <c r="E21" i="2"/>
  <c r="F21" i="2"/>
  <c r="G21" i="2"/>
  <c r="H21" i="2"/>
  <c r="I21" i="2"/>
  <c r="J21" i="2"/>
  <c r="A22" i="2"/>
  <c r="B22" i="2"/>
  <c r="C22" i="2"/>
  <c r="D22" i="2"/>
  <c r="E22" i="2"/>
  <c r="F22" i="2"/>
  <c r="G22" i="2"/>
  <c r="H22" i="2"/>
  <c r="I22" i="2"/>
  <c r="J22" i="2"/>
  <c r="A23" i="2"/>
  <c r="B23" i="2"/>
  <c r="C23" i="2"/>
  <c r="D23" i="2"/>
  <c r="E23" i="2"/>
  <c r="F23" i="2"/>
  <c r="G23" i="2"/>
  <c r="H23" i="2"/>
  <c r="I23" i="2"/>
  <c r="J23" i="2"/>
  <c r="A24" i="2"/>
  <c r="B24" i="2"/>
  <c r="C24" i="2"/>
  <c r="D24" i="2"/>
  <c r="E24" i="2"/>
  <c r="F24" i="2"/>
  <c r="G24" i="2"/>
  <c r="H24" i="2"/>
  <c r="I24" i="2"/>
  <c r="J24" i="2"/>
  <c r="A25" i="2"/>
  <c r="B25" i="2"/>
  <c r="C25" i="2"/>
  <c r="D25" i="2"/>
  <c r="E25" i="2"/>
  <c r="F25" i="2"/>
  <c r="G25" i="2"/>
  <c r="H25" i="2"/>
  <c r="I25" i="2"/>
  <c r="J25" i="2"/>
  <c r="A26" i="2"/>
  <c r="B26" i="2"/>
  <c r="C26" i="2"/>
  <c r="D26" i="2"/>
  <c r="E26" i="2"/>
  <c r="F26" i="2"/>
  <c r="G26" i="2"/>
  <c r="H26" i="2"/>
  <c r="I26" i="2"/>
  <c r="J26" i="2"/>
  <c r="A27" i="2"/>
  <c r="B27" i="2"/>
  <c r="C27" i="2"/>
  <c r="D27" i="2"/>
  <c r="E27" i="2"/>
  <c r="F27" i="2"/>
  <c r="G27" i="2"/>
  <c r="H27" i="2"/>
  <c r="I27" i="2"/>
  <c r="J27" i="2"/>
  <c r="A28" i="2"/>
  <c r="B28" i="2"/>
  <c r="C28" i="2"/>
  <c r="D28" i="2"/>
  <c r="E28" i="2"/>
  <c r="F28" i="2"/>
  <c r="G28" i="2"/>
  <c r="H28" i="2"/>
  <c r="I28" i="2"/>
  <c r="J28" i="2"/>
  <c r="A29" i="2"/>
  <c r="B29" i="2"/>
  <c r="C29" i="2"/>
  <c r="D29" i="2"/>
  <c r="E29" i="2"/>
  <c r="F29" i="2"/>
  <c r="G29" i="2"/>
  <c r="H29" i="2"/>
  <c r="I29" i="2"/>
  <c r="J29" i="2"/>
  <c r="A30" i="2"/>
  <c r="B30" i="2"/>
  <c r="C30" i="2"/>
  <c r="D30" i="2"/>
  <c r="E30" i="2"/>
  <c r="F30" i="2"/>
  <c r="G30" i="2"/>
  <c r="H30" i="2"/>
  <c r="I30" i="2"/>
  <c r="J30" i="2"/>
  <c r="A31" i="2"/>
  <c r="B31" i="2"/>
  <c r="C31" i="2"/>
  <c r="D31" i="2"/>
  <c r="E31" i="2"/>
  <c r="F31" i="2"/>
  <c r="G31" i="2"/>
  <c r="H31" i="2"/>
  <c r="I31" i="2"/>
  <c r="J31" i="2"/>
  <c r="A32" i="2"/>
  <c r="B32" i="2"/>
  <c r="C32" i="2"/>
  <c r="D32" i="2"/>
  <c r="E32" i="2"/>
  <c r="F32" i="2"/>
  <c r="G32" i="2"/>
  <c r="H32" i="2"/>
  <c r="I32" i="2"/>
  <c r="J32" i="2"/>
  <c r="A33" i="2"/>
  <c r="B33" i="2"/>
  <c r="C33" i="2"/>
  <c r="D33" i="2"/>
  <c r="E33" i="2"/>
  <c r="F33" i="2"/>
  <c r="G33" i="2"/>
  <c r="H33" i="2"/>
  <c r="I33" i="2"/>
  <c r="J33" i="2"/>
  <c r="A34" i="2"/>
  <c r="B34" i="2"/>
  <c r="C34" i="2"/>
  <c r="D34" i="2"/>
  <c r="E34" i="2"/>
  <c r="F34" i="2"/>
  <c r="G34" i="2"/>
  <c r="H34" i="2"/>
  <c r="I34" i="2"/>
  <c r="J34" i="2"/>
  <c r="A35" i="2"/>
  <c r="B35" i="2"/>
  <c r="C35" i="2"/>
  <c r="D35" i="2"/>
  <c r="E35" i="2"/>
  <c r="F35" i="2"/>
  <c r="G35" i="2"/>
  <c r="H35" i="2"/>
  <c r="I35" i="2"/>
  <c r="J35" i="2"/>
  <c r="A36" i="2"/>
  <c r="B36" i="2"/>
  <c r="C36" i="2"/>
  <c r="D36" i="2"/>
  <c r="E36" i="2"/>
  <c r="F36" i="2"/>
  <c r="G36" i="2"/>
  <c r="H36" i="2"/>
  <c r="I36" i="2"/>
  <c r="J36" i="2"/>
  <c r="A37" i="2"/>
  <c r="B37" i="2"/>
  <c r="C37" i="2"/>
  <c r="D37" i="2"/>
  <c r="E37" i="2"/>
  <c r="F37" i="2"/>
  <c r="G37" i="2"/>
  <c r="H37" i="2"/>
  <c r="I37" i="2"/>
  <c r="J37" i="2"/>
  <c r="A38" i="2"/>
  <c r="B38" i="2"/>
  <c r="C38" i="2"/>
  <c r="D38" i="2"/>
  <c r="E38" i="2"/>
  <c r="F38" i="2"/>
  <c r="G38" i="2"/>
  <c r="H38" i="2"/>
  <c r="I38" i="2"/>
  <c r="J38" i="2"/>
  <c r="A39" i="2"/>
  <c r="B39" i="2"/>
  <c r="C39" i="2"/>
  <c r="D39" i="2"/>
  <c r="E39" i="2"/>
  <c r="F39" i="2"/>
  <c r="G39" i="2"/>
  <c r="H39" i="2"/>
  <c r="I39" i="2"/>
  <c r="J39" i="2"/>
  <c r="A40" i="2"/>
  <c r="B40" i="2"/>
  <c r="C40" i="2"/>
  <c r="D40" i="2"/>
  <c r="E40" i="2"/>
  <c r="F40" i="2"/>
  <c r="G40" i="2"/>
  <c r="H40" i="2"/>
  <c r="I40" i="2"/>
  <c r="J40" i="2"/>
  <c r="A41" i="2"/>
  <c r="B41" i="2"/>
  <c r="C41" i="2"/>
  <c r="D41" i="2"/>
  <c r="E41" i="2"/>
  <c r="F41" i="2"/>
  <c r="G41" i="2"/>
  <c r="H41" i="2"/>
  <c r="I41" i="2"/>
  <c r="J41" i="2"/>
  <c r="A42" i="2"/>
  <c r="B42" i="2"/>
  <c r="C42" i="2"/>
  <c r="D42" i="2"/>
  <c r="E42" i="2"/>
  <c r="F42" i="2"/>
  <c r="G42" i="2"/>
  <c r="H42" i="2"/>
  <c r="I42" i="2"/>
  <c r="J42" i="2"/>
  <c r="A43" i="2"/>
  <c r="B43" i="2"/>
  <c r="C43" i="2"/>
  <c r="D43" i="2"/>
  <c r="E43" i="2"/>
  <c r="F43" i="2"/>
  <c r="G43" i="2"/>
  <c r="H43" i="2"/>
  <c r="I43" i="2"/>
  <c r="J43" i="2"/>
  <c r="A44" i="2"/>
  <c r="B44" i="2"/>
  <c r="C44" i="2"/>
  <c r="D44" i="2"/>
  <c r="E44" i="2"/>
  <c r="F44" i="2"/>
  <c r="G44" i="2"/>
  <c r="H44" i="2"/>
  <c r="I44" i="2"/>
  <c r="J44" i="2"/>
  <c r="A45" i="2"/>
  <c r="B45" i="2"/>
  <c r="C45" i="2"/>
  <c r="D45" i="2"/>
  <c r="E45" i="2"/>
  <c r="F45" i="2"/>
  <c r="G45" i="2"/>
  <c r="H45" i="2"/>
  <c r="I45" i="2"/>
  <c r="J45" i="2"/>
  <c r="A46" i="2"/>
  <c r="B46" i="2"/>
  <c r="C46" i="2"/>
  <c r="D46" i="2"/>
  <c r="E46" i="2"/>
  <c r="F46" i="2"/>
  <c r="G46" i="2"/>
  <c r="H46" i="2"/>
  <c r="I46" i="2"/>
  <c r="J46" i="2"/>
  <c r="A47" i="2"/>
  <c r="B47" i="2"/>
  <c r="C47" i="2"/>
  <c r="D47" i="2"/>
  <c r="E47" i="2"/>
  <c r="F47" i="2"/>
  <c r="G47" i="2"/>
  <c r="H47" i="2"/>
  <c r="I47" i="2"/>
  <c r="J47" i="2"/>
  <c r="A48" i="2"/>
  <c r="B48" i="2"/>
  <c r="C48" i="2"/>
  <c r="D48" i="2"/>
  <c r="E48" i="2"/>
  <c r="F48" i="2"/>
  <c r="G48" i="2"/>
  <c r="H48" i="2"/>
  <c r="I48" i="2"/>
  <c r="J48" i="2"/>
  <c r="A49" i="2"/>
  <c r="B49" i="2"/>
  <c r="C49" i="2"/>
  <c r="D49" i="2"/>
  <c r="E49" i="2"/>
  <c r="F49" i="2"/>
  <c r="G49" i="2"/>
  <c r="H49" i="2"/>
  <c r="I49" i="2"/>
  <c r="J49" i="2"/>
  <c r="A50" i="2"/>
  <c r="B50" i="2"/>
  <c r="C50" i="2"/>
  <c r="D50" i="2"/>
  <c r="E50" i="2"/>
  <c r="F50" i="2"/>
  <c r="G50" i="2"/>
  <c r="H50" i="2"/>
  <c r="I50" i="2"/>
  <c r="J50" i="2"/>
  <c r="A51" i="2"/>
  <c r="B51" i="2"/>
  <c r="C51" i="2"/>
  <c r="D51" i="2"/>
  <c r="E51" i="2"/>
  <c r="F51" i="2"/>
  <c r="G51" i="2"/>
  <c r="H51" i="2"/>
  <c r="I51" i="2"/>
  <c r="J51" i="2"/>
  <c r="A52" i="2"/>
  <c r="B52" i="2"/>
  <c r="C52" i="2"/>
  <c r="D52" i="2"/>
  <c r="E52" i="2"/>
  <c r="F52" i="2"/>
  <c r="G52" i="2"/>
  <c r="H52" i="2"/>
  <c r="I52" i="2"/>
  <c r="J52" i="2"/>
  <c r="A53" i="2"/>
  <c r="B53" i="2"/>
  <c r="C53" i="2"/>
  <c r="D53" i="2"/>
  <c r="E53" i="2"/>
  <c r="F53" i="2"/>
  <c r="G53" i="2"/>
  <c r="H53" i="2"/>
  <c r="I53" i="2"/>
  <c r="J53" i="2"/>
  <c r="A54" i="2"/>
  <c r="B54" i="2"/>
  <c r="C54" i="2"/>
  <c r="D54" i="2"/>
  <c r="E54" i="2"/>
  <c r="F54" i="2"/>
  <c r="G54" i="2"/>
  <c r="H54" i="2"/>
  <c r="I54" i="2"/>
  <c r="J54" i="2"/>
  <c r="A55" i="2"/>
  <c r="B55" i="2"/>
  <c r="C55" i="2"/>
  <c r="D55" i="2"/>
  <c r="E55" i="2"/>
  <c r="F55" i="2"/>
  <c r="G55" i="2"/>
  <c r="H55" i="2"/>
  <c r="I55" i="2"/>
  <c r="J55" i="2"/>
  <c r="A56" i="2"/>
  <c r="B56" i="2"/>
  <c r="C56" i="2"/>
  <c r="D56" i="2"/>
  <c r="E56" i="2"/>
  <c r="F56" i="2"/>
  <c r="G56" i="2"/>
  <c r="H56" i="2"/>
  <c r="I56" i="2"/>
  <c r="J56" i="2"/>
  <c r="A57" i="2"/>
  <c r="B57" i="2"/>
  <c r="C57" i="2"/>
  <c r="D57" i="2"/>
  <c r="E57" i="2"/>
  <c r="F57" i="2"/>
  <c r="G57" i="2"/>
  <c r="H57" i="2"/>
  <c r="I57" i="2"/>
  <c r="J57" i="2"/>
  <c r="A58" i="2"/>
  <c r="B58" i="2"/>
  <c r="C58" i="2"/>
  <c r="D58" i="2"/>
  <c r="E58" i="2"/>
  <c r="F58" i="2"/>
  <c r="G58" i="2"/>
  <c r="H58" i="2"/>
  <c r="I58" i="2"/>
  <c r="J58" i="2"/>
  <c r="A59" i="2"/>
  <c r="B59" i="2"/>
  <c r="C59" i="2"/>
  <c r="D59" i="2"/>
  <c r="E59" i="2"/>
  <c r="F59" i="2"/>
  <c r="G59" i="2"/>
  <c r="H59" i="2"/>
  <c r="I59" i="2"/>
  <c r="J59" i="2"/>
  <c r="A60" i="2"/>
  <c r="B60" i="2"/>
  <c r="C60" i="2"/>
  <c r="D60" i="2"/>
  <c r="E60" i="2"/>
  <c r="F60" i="2"/>
  <c r="G60" i="2"/>
  <c r="H60" i="2"/>
  <c r="I60" i="2"/>
  <c r="J60" i="2"/>
  <c r="A61" i="2"/>
  <c r="B61" i="2"/>
  <c r="C61" i="2"/>
  <c r="D61" i="2"/>
  <c r="E61" i="2"/>
  <c r="F61" i="2"/>
  <c r="G61" i="2"/>
  <c r="H61" i="2"/>
  <c r="I61" i="2"/>
  <c r="J61" i="2"/>
  <c r="A62" i="2"/>
  <c r="B62" i="2"/>
  <c r="C62" i="2"/>
  <c r="D62" i="2"/>
  <c r="E62" i="2"/>
  <c r="F62" i="2"/>
  <c r="G62" i="2"/>
  <c r="H62" i="2"/>
  <c r="I62" i="2"/>
  <c r="J62" i="2"/>
  <c r="A63" i="2"/>
  <c r="B63" i="2"/>
  <c r="C63" i="2"/>
  <c r="D63" i="2"/>
  <c r="E63" i="2"/>
  <c r="F63" i="2"/>
  <c r="G63" i="2"/>
  <c r="H63" i="2"/>
  <c r="I63" i="2"/>
  <c r="J63" i="2"/>
  <c r="A64" i="2"/>
  <c r="B64" i="2"/>
  <c r="C64" i="2"/>
  <c r="D64" i="2"/>
  <c r="E64" i="2"/>
  <c r="F64" i="2"/>
  <c r="G64" i="2"/>
  <c r="H64" i="2"/>
  <c r="I64" i="2"/>
  <c r="J64" i="2"/>
  <c r="A65" i="2"/>
  <c r="B65" i="2"/>
  <c r="C65" i="2"/>
  <c r="D65" i="2"/>
  <c r="E65" i="2"/>
  <c r="F65" i="2"/>
  <c r="G65" i="2"/>
  <c r="H65" i="2"/>
  <c r="I65" i="2"/>
  <c r="J65" i="2"/>
  <c r="A66" i="2"/>
  <c r="B66" i="2"/>
  <c r="C66" i="2"/>
  <c r="D66" i="2"/>
  <c r="E66" i="2"/>
  <c r="F66" i="2"/>
  <c r="G66" i="2"/>
  <c r="H66" i="2"/>
  <c r="I66" i="2"/>
  <c r="J66" i="2"/>
  <c r="A67" i="2"/>
  <c r="B67" i="2"/>
  <c r="C67" i="2"/>
  <c r="D67" i="2"/>
  <c r="E67" i="2"/>
  <c r="F67" i="2"/>
  <c r="G67" i="2"/>
  <c r="H67" i="2"/>
  <c r="I67" i="2"/>
  <c r="J67" i="2"/>
  <c r="A68" i="2"/>
  <c r="B68" i="2"/>
  <c r="C68" i="2"/>
  <c r="D68" i="2"/>
  <c r="E68" i="2"/>
  <c r="F68" i="2"/>
  <c r="G68" i="2"/>
  <c r="H68" i="2"/>
  <c r="I68" i="2"/>
  <c r="J68" i="2"/>
  <c r="A69" i="2"/>
  <c r="B69" i="2"/>
  <c r="C69" i="2"/>
  <c r="D69" i="2"/>
  <c r="E69" i="2"/>
  <c r="F69" i="2"/>
  <c r="G69" i="2"/>
  <c r="H69" i="2"/>
  <c r="I69" i="2"/>
  <c r="J69" i="2"/>
  <c r="A70" i="2"/>
  <c r="B70" i="2"/>
  <c r="C70" i="2"/>
  <c r="D70" i="2"/>
  <c r="E70" i="2"/>
  <c r="F70" i="2"/>
  <c r="G70" i="2"/>
  <c r="H70" i="2"/>
  <c r="I70" i="2"/>
  <c r="J70" i="2"/>
  <c r="A71" i="2"/>
  <c r="B71" i="2"/>
  <c r="C71" i="2"/>
  <c r="D71" i="2"/>
  <c r="E71" i="2"/>
  <c r="F71" i="2"/>
  <c r="G71" i="2"/>
  <c r="H71" i="2"/>
  <c r="I71" i="2"/>
  <c r="J71" i="2"/>
  <c r="A72" i="2"/>
  <c r="B72" i="2"/>
  <c r="C72" i="2"/>
  <c r="D72" i="2"/>
  <c r="E72" i="2"/>
  <c r="F72" i="2"/>
  <c r="G72" i="2"/>
  <c r="H72" i="2"/>
  <c r="I72" i="2"/>
  <c r="J72" i="2"/>
  <c r="A73" i="2"/>
  <c r="B73" i="2"/>
  <c r="C73" i="2"/>
  <c r="D73" i="2"/>
  <c r="E73" i="2"/>
  <c r="F73" i="2"/>
  <c r="G73" i="2"/>
  <c r="H73" i="2"/>
  <c r="I73" i="2"/>
  <c r="J73" i="2"/>
  <c r="A74" i="2"/>
  <c r="B74" i="2"/>
  <c r="C74" i="2"/>
  <c r="D74" i="2"/>
  <c r="E74" i="2"/>
  <c r="F74" i="2"/>
  <c r="G74" i="2"/>
  <c r="H74" i="2"/>
  <c r="I74" i="2"/>
  <c r="J74" i="2"/>
  <c r="A75" i="2"/>
  <c r="B75" i="2"/>
  <c r="C75" i="2"/>
  <c r="D75" i="2"/>
  <c r="E75" i="2"/>
  <c r="F75" i="2"/>
  <c r="G75" i="2"/>
  <c r="H75" i="2"/>
  <c r="I75" i="2"/>
  <c r="J75" i="2"/>
  <c r="A76" i="2"/>
  <c r="B76" i="2"/>
  <c r="C76" i="2"/>
  <c r="D76" i="2"/>
  <c r="E76" i="2"/>
  <c r="F76" i="2"/>
  <c r="G76" i="2"/>
  <c r="H76" i="2"/>
  <c r="I76" i="2"/>
  <c r="J76" i="2"/>
  <c r="A77" i="2"/>
  <c r="B77" i="2"/>
  <c r="C77" i="2"/>
  <c r="D77" i="2"/>
  <c r="E77" i="2"/>
  <c r="F77" i="2"/>
  <c r="G77" i="2"/>
  <c r="H77" i="2"/>
  <c r="I77" i="2"/>
  <c r="J77" i="2"/>
  <c r="A78" i="2"/>
  <c r="B78" i="2"/>
  <c r="C78" i="2"/>
  <c r="D78" i="2"/>
  <c r="E78" i="2"/>
  <c r="F78" i="2"/>
  <c r="G78" i="2"/>
  <c r="H78" i="2"/>
  <c r="I78" i="2"/>
  <c r="J78" i="2"/>
  <c r="A79" i="2"/>
  <c r="B79" i="2"/>
  <c r="C79" i="2"/>
  <c r="D79" i="2"/>
  <c r="E79" i="2"/>
  <c r="F79" i="2"/>
  <c r="G79" i="2"/>
  <c r="H79" i="2"/>
  <c r="I79" i="2"/>
  <c r="J79" i="2"/>
  <c r="A80" i="2"/>
  <c r="B80" i="2"/>
  <c r="C80" i="2"/>
  <c r="D80" i="2"/>
  <c r="E80" i="2"/>
  <c r="F80" i="2"/>
  <c r="G80" i="2"/>
  <c r="H80" i="2"/>
  <c r="I80" i="2"/>
  <c r="J80" i="2"/>
  <c r="A81" i="2"/>
  <c r="B81" i="2"/>
  <c r="C81" i="2"/>
  <c r="D81" i="2"/>
  <c r="E81" i="2"/>
  <c r="F81" i="2"/>
  <c r="G81" i="2"/>
  <c r="H81" i="2"/>
  <c r="I81" i="2"/>
  <c r="J81" i="2"/>
  <c r="A82" i="2"/>
  <c r="B82" i="2"/>
  <c r="C82" i="2"/>
  <c r="D82" i="2"/>
  <c r="E82" i="2"/>
  <c r="F82" i="2"/>
  <c r="G82" i="2"/>
  <c r="H82" i="2"/>
  <c r="I82" i="2"/>
  <c r="J82" i="2"/>
  <c r="A83" i="2"/>
  <c r="B83" i="2"/>
  <c r="C83" i="2"/>
  <c r="D83" i="2"/>
  <c r="E83" i="2"/>
  <c r="F83" i="2"/>
  <c r="G83" i="2"/>
  <c r="H83" i="2"/>
  <c r="I83" i="2"/>
  <c r="J83" i="2"/>
  <c r="A84" i="2"/>
  <c r="B84" i="2"/>
  <c r="C84" i="2"/>
  <c r="D84" i="2"/>
  <c r="E84" i="2"/>
  <c r="F84" i="2"/>
  <c r="G84" i="2"/>
  <c r="H84" i="2"/>
  <c r="I84" i="2"/>
  <c r="J84" i="2"/>
  <c r="A85" i="2"/>
  <c r="B85" i="2"/>
  <c r="C85" i="2"/>
  <c r="D85" i="2"/>
  <c r="E85" i="2"/>
  <c r="F85" i="2"/>
  <c r="G85" i="2"/>
  <c r="H85" i="2"/>
  <c r="I85" i="2"/>
  <c r="J85" i="2"/>
  <c r="A86" i="2"/>
  <c r="B86" i="2"/>
  <c r="C86" i="2"/>
  <c r="D86" i="2"/>
  <c r="E86" i="2"/>
  <c r="F86" i="2"/>
  <c r="G86" i="2"/>
  <c r="H86" i="2"/>
  <c r="I86" i="2"/>
  <c r="J86" i="2"/>
  <c r="A87" i="2"/>
  <c r="B87" i="2"/>
  <c r="C87" i="2"/>
  <c r="D87" i="2"/>
  <c r="E87" i="2"/>
  <c r="F87" i="2"/>
  <c r="G87" i="2"/>
  <c r="H87" i="2"/>
  <c r="I87" i="2"/>
  <c r="J87" i="2"/>
  <c r="A7" i="2"/>
  <c r="B7" i="2"/>
  <c r="C7" i="2"/>
  <c r="D7" i="2"/>
  <c r="E7" i="2"/>
  <c r="F7" i="2"/>
  <c r="G7" i="2"/>
  <c r="H7" i="2"/>
  <c r="I7" i="2"/>
  <c r="J7" i="2"/>
  <c r="J8" i="2"/>
  <c r="I8" i="2"/>
  <c r="H8" i="2"/>
  <c r="G8" i="2"/>
  <c r="F8" i="2"/>
  <c r="E8" i="2"/>
  <c r="D8" i="2"/>
  <c r="C8" i="2"/>
  <c r="B8" i="2"/>
  <c r="A8" i="2"/>
  <c r="K3" i="4"/>
  <c r="N5" i="5" l="1"/>
  <c r="P5" i="5" s="1"/>
  <c r="N9" i="5"/>
  <c r="N4" i="5"/>
  <c r="I10" i="5"/>
  <c r="H8" i="5"/>
  <c r="G7" i="5"/>
  <c r="L5" i="5"/>
  <c r="L9" i="5"/>
  <c r="F5" i="5"/>
  <c r="C4" i="5"/>
  <c r="O5" i="5"/>
  <c r="O9" i="5"/>
  <c r="O4" i="5"/>
  <c r="I11" i="5"/>
  <c r="H9" i="5"/>
  <c r="G8" i="5"/>
  <c r="M6" i="5"/>
  <c r="M10" i="5"/>
  <c r="F6" i="5"/>
  <c r="N6" i="5"/>
  <c r="N10" i="5"/>
  <c r="M4" i="5"/>
  <c r="I12" i="5"/>
  <c r="H10" i="5"/>
  <c r="G9" i="5"/>
  <c r="L6" i="5"/>
  <c r="L10" i="5"/>
  <c r="F7" i="5"/>
  <c r="O6" i="5"/>
  <c r="O10" i="5"/>
  <c r="I5" i="5"/>
  <c r="I4" i="5"/>
  <c r="H11" i="5"/>
  <c r="G10" i="5"/>
  <c r="M7" i="5"/>
  <c r="M11" i="5"/>
  <c r="F8" i="5"/>
  <c r="N7" i="5"/>
  <c r="N11" i="5"/>
  <c r="I6" i="5"/>
  <c r="H4" i="5"/>
  <c r="H12" i="5"/>
  <c r="G11" i="5"/>
  <c r="L7" i="5"/>
  <c r="L11" i="5"/>
  <c r="F9" i="5"/>
  <c r="O7" i="5"/>
  <c r="O11" i="5"/>
  <c r="I7" i="5"/>
  <c r="K7" i="5" s="1"/>
  <c r="H5" i="5"/>
  <c r="J5" i="5" s="1"/>
  <c r="F4" i="5"/>
  <c r="G12" i="5"/>
  <c r="M8" i="5"/>
  <c r="M12" i="5"/>
  <c r="F10" i="5"/>
  <c r="N8" i="5"/>
  <c r="N12" i="5"/>
  <c r="P12" i="5" s="1"/>
  <c r="I8" i="5"/>
  <c r="K8" i="5" s="1"/>
  <c r="H6" i="5"/>
  <c r="J6" i="5" s="1"/>
  <c r="G5" i="5"/>
  <c r="G4" i="5"/>
  <c r="L8" i="5"/>
  <c r="L12" i="5"/>
  <c r="F11" i="5"/>
  <c r="O8" i="5"/>
  <c r="O12" i="5"/>
  <c r="Q12" i="5" s="1"/>
  <c r="I9" i="5"/>
  <c r="K9" i="5" s="1"/>
  <c r="H7" i="5"/>
  <c r="J7" i="5" s="1"/>
  <c r="G6" i="5"/>
  <c r="M5" i="5"/>
  <c r="M9" i="5"/>
  <c r="L4" i="5"/>
  <c r="F12" i="5"/>
  <c r="R7" i="2"/>
  <c r="Q79" i="2"/>
  <c r="R79" i="2" s="1"/>
  <c r="Q76" i="2"/>
  <c r="BN76" i="2" s="1"/>
  <c r="K2" i="4"/>
  <c r="BN70" i="2"/>
  <c r="BN69" i="2"/>
  <c r="BN7" i="2"/>
  <c r="BN39" i="2"/>
  <c r="BN38" i="2"/>
  <c r="BN87" i="2"/>
  <c r="BP6" i="2"/>
  <c r="BO8" i="2"/>
  <c r="BO39" i="2"/>
  <c r="BO89" i="2"/>
  <c r="BO88" i="2"/>
  <c r="BO87" i="2"/>
  <c r="BO38" i="2"/>
  <c r="BO69" i="2"/>
  <c r="BO7" i="2"/>
  <c r="BO70" i="2"/>
  <c r="Q44" i="2"/>
  <c r="R44" i="2" s="1"/>
  <c r="Q80" i="2"/>
  <c r="BO80" i="2" s="1"/>
  <c r="C5" i="5"/>
  <c r="C6" i="5"/>
  <c r="C7" i="5"/>
  <c r="C8" i="5"/>
  <c r="C9" i="5"/>
  <c r="C12" i="5"/>
  <c r="C10" i="5"/>
  <c r="C11" i="5"/>
  <c r="R8" i="2"/>
  <c r="Q40" i="2"/>
  <c r="Q78" i="2"/>
  <c r="Q77" i="2"/>
  <c r="Q86" i="2"/>
  <c r="Q85" i="2"/>
  <c r="R85" i="2" s="1"/>
  <c r="Q71" i="2"/>
  <c r="R71" i="2" s="1"/>
  <c r="Q72" i="2"/>
  <c r="R72" i="2" s="1"/>
  <c r="Q84" i="2"/>
  <c r="Q45" i="2"/>
  <c r="L3" i="4"/>
  <c r="S10" i="2"/>
  <c r="Q83" i="2"/>
  <c r="R83" i="2" s="1"/>
  <c r="Q75" i="2"/>
  <c r="Q43" i="2"/>
  <c r="Q82" i="2"/>
  <c r="Q74" i="2"/>
  <c r="Q42" i="2"/>
  <c r="Q81" i="2"/>
  <c r="R81" i="2" s="1"/>
  <c r="Q73" i="2"/>
  <c r="Q41" i="2"/>
  <c r="R87" i="2"/>
  <c r="R39" i="2"/>
  <c r="R70" i="2"/>
  <c r="R38" i="2"/>
  <c r="R69" i="2"/>
  <c r="Q11" i="5" l="1"/>
  <c r="P7" i="5"/>
  <c r="G13" i="5"/>
  <c r="BN79" i="2"/>
  <c r="P9" i="5"/>
  <c r="BO79" i="2"/>
  <c r="H13" i="5"/>
  <c r="J4" i="5"/>
  <c r="BO76" i="2"/>
  <c r="L13" i="5"/>
  <c r="K6" i="5"/>
  <c r="I13" i="5"/>
  <c r="K13" i="5" s="1"/>
  <c r="K4" i="5"/>
  <c r="J10" i="5"/>
  <c r="P8" i="5"/>
  <c r="R76" i="2"/>
  <c r="Q7" i="5"/>
  <c r="P11" i="5"/>
  <c r="K5" i="5"/>
  <c r="K12" i="5"/>
  <c r="J9" i="5"/>
  <c r="F13" i="5"/>
  <c r="J11" i="5"/>
  <c r="Q10" i="5"/>
  <c r="M13" i="5"/>
  <c r="K11" i="5"/>
  <c r="Q6" i="5"/>
  <c r="P10" i="5"/>
  <c r="Q4" i="5"/>
  <c r="O13" i="5"/>
  <c r="J8" i="5"/>
  <c r="P6" i="5"/>
  <c r="Q9" i="5"/>
  <c r="K10" i="5"/>
  <c r="Q5" i="5"/>
  <c r="P4" i="5"/>
  <c r="N13" i="5"/>
  <c r="P13" i="5" s="1"/>
  <c r="J12" i="5"/>
  <c r="Q8" i="5"/>
  <c r="C13" i="5"/>
  <c r="R80" i="2"/>
  <c r="BN42" i="2"/>
  <c r="R9" i="2"/>
  <c r="BO78" i="2"/>
  <c r="BN74" i="2"/>
  <c r="R45" i="2"/>
  <c r="BN40" i="2"/>
  <c r="BO77" i="2"/>
  <c r="R82" i="2"/>
  <c r="R84" i="2"/>
  <c r="BN81" i="2"/>
  <c r="R43" i="2"/>
  <c r="BO72" i="2"/>
  <c r="R75" i="2"/>
  <c r="BO71" i="2"/>
  <c r="BO81" i="2"/>
  <c r="R40" i="2"/>
  <c r="R77" i="2"/>
  <c r="BO41" i="2"/>
  <c r="BO83" i="2"/>
  <c r="BN85" i="2"/>
  <c r="BN80" i="2"/>
  <c r="R73" i="2"/>
  <c r="R86" i="2"/>
  <c r="BO44" i="2"/>
  <c r="BN77" i="2"/>
  <c r="R41" i="2"/>
  <c r="BO86" i="2"/>
  <c r="BO75" i="2"/>
  <c r="BO73" i="2"/>
  <c r="BN72" i="2"/>
  <c r="BN78" i="2"/>
  <c r="BO42" i="2"/>
  <c r="R42" i="2"/>
  <c r="BN9" i="2"/>
  <c r="BQ6" i="2"/>
  <c r="BP8" i="2"/>
  <c r="BP9" i="2"/>
  <c r="BP43" i="2"/>
  <c r="BP42" i="2"/>
  <c r="BP38" i="2"/>
  <c r="BP75" i="2"/>
  <c r="BP74" i="2"/>
  <c r="BP40" i="2"/>
  <c r="BP45" i="2"/>
  <c r="BP73" i="2"/>
  <c r="BP69" i="2"/>
  <c r="BP82" i="2"/>
  <c r="BP81" i="2"/>
  <c r="BP89" i="2"/>
  <c r="BP80" i="2"/>
  <c r="BP88" i="2"/>
  <c r="BP39" i="2"/>
  <c r="BP41" i="2"/>
  <c r="BP70" i="2"/>
  <c r="BP44" i="2"/>
  <c r="BP84" i="2"/>
  <c r="BP83" i="2"/>
  <c r="BP72" i="2"/>
  <c r="BP78" i="2"/>
  <c r="BP87" i="2"/>
  <c r="BP85" i="2"/>
  <c r="BP79" i="2"/>
  <c r="BP71" i="2"/>
  <c r="BP76" i="2"/>
  <c r="BP7" i="2"/>
  <c r="BP77" i="2"/>
  <c r="BP86" i="2"/>
  <c r="R74" i="2"/>
  <c r="BN75" i="2"/>
  <c r="BN71" i="2"/>
  <c r="BO45" i="2"/>
  <c r="BN43" i="2"/>
  <c r="BN83" i="2"/>
  <c r="R78" i="2"/>
  <c r="BN41" i="2"/>
  <c r="BN86" i="2"/>
  <c r="BO85" i="2"/>
  <c r="BO40" i="2"/>
  <c r="BO43" i="2"/>
  <c r="BN84" i="2"/>
  <c r="BN82" i="2"/>
  <c r="BN73" i="2"/>
  <c r="BO74" i="2"/>
  <c r="BO9" i="2"/>
  <c r="BN44" i="2"/>
  <c r="BO84" i="2"/>
  <c r="BO82" i="2"/>
  <c r="BN45" i="2"/>
  <c r="Q46" i="2"/>
  <c r="M3" i="4"/>
  <c r="L2" i="4"/>
  <c r="S11" i="2"/>
  <c r="Q10" i="2"/>
  <c r="J13" i="5" l="1"/>
  <c r="Q13" i="5"/>
  <c r="R46" i="2"/>
  <c r="BN46" i="2"/>
  <c r="BN10" i="2"/>
  <c r="BP46" i="2"/>
  <c r="BP10" i="2"/>
  <c r="BO10" i="2"/>
  <c r="BR6" i="2"/>
  <c r="BQ8" i="2"/>
  <c r="BQ9" i="2"/>
  <c r="BQ10" i="2"/>
  <c r="BQ44" i="2"/>
  <c r="BQ39" i="2"/>
  <c r="BQ76" i="2"/>
  <c r="BQ42" i="2"/>
  <c r="BQ75" i="2"/>
  <c r="BQ74" i="2"/>
  <c r="BQ41" i="2"/>
  <c r="BQ46" i="2"/>
  <c r="BQ70" i="2"/>
  <c r="BQ83" i="2"/>
  <c r="BQ7" i="2"/>
  <c r="BQ82" i="2"/>
  <c r="BQ43" i="2"/>
  <c r="BQ81" i="2"/>
  <c r="BQ89" i="2"/>
  <c r="BQ40" i="2"/>
  <c r="BQ45" i="2"/>
  <c r="BQ38" i="2"/>
  <c r="BQ71" i="2"/>
  <c r="BQ69" i="2"/>
  <c r="BQ73" i="2"/>
  <c r="BQ77" i="2"/>
  <c r="BQ85" i="2"/>
  <c r="BQ84" i="2"/>
  <c r="BQ80" i="2"/>
  <c r="BQ72" i="2"/>
  <c r="BQ78" i="2"/>
  <c r="BQ87" i="2"/>
  <c r="BQ79" i="2"/>
  <c r="BQ88" i="2"/>
  <c r="BQ86" i="2"/>
  <c r="BO46" i="2"/>
  <c r="Q47" i="2"/>
  <c r="R10" i="2"/>
  <c r="N3" i="4"/>
  <c r="M2" i="4"/>
  <c r="S12" i="2"/>
  <c r="Q11" i="2"/>
  <c r="R47" i="2" l="1"/>
  <c r="R11" i="2"/>
  <c r="D5" i="5" s="1"/>
  <c r="E5" i="5" s="1"/>
  <c r="BS6" i="2"/>
  <c r="BR8" i="2"/>
  <c r="BR9" i="2"/>
  <c r="BR10" i="2"/>
  <c r="BR11" i="2"/>
  <c r="BR38" i="2"/>
  <c r="BR45" i="2"/>
  <c r="BR43" i="2"/>
  <c r="BR44" i="2"/>
  <c r="BR69" i="2"/>
  <c r="BR76" i="2"/>
  <c r="BR42" i="2"/>
  <c r="BR47" i="2"/>
  <c r="BR75" i="2"/>
  <c r="BR71" i="2"/>
  <c r="BR84" i="2"/>
  <c r="BR83" i="2"/>
  <c r="BR7" i="2"/>
  <c r="BR46" i="2"/>
  <c r="BR74" i="2"/>
  <c r="BR82" i="2"/>
  <c r="BR39" i="2"/>
  <c r="BR40" i="2"/>
  <c r="BR72" i="2"/>
  <c r="BR41" i="2"/>
  <c r="BR70" i="2"/>
  <c r="BR78" i="2"/>
  <c r="BR86" i="2"/>
  <c r="BR73" i="2"/>
  <c r="BR77" i="2"/>
  <c r="BR85" i="2"/>
  <c r="BR80" i="2"/>
  <c r="BR87" i="2"/>
  <c r="BR81" i="2"/>
  <c r="BR79" i="2"/>
  <c r="BR89" i="2"/>
  <c r="BR88" i="2"/>
  <c r="BN47" i="2"/>
  <c r="BQ47" i="2"/>
  <c r="BO11" i="2"/>
  <c r="BN11" i="2"/>
  <c r="BP47" i="2"/>
  <c r="BP11" i="2"/>
  <c r="BQ11" i="2"/>
  <c r="BO47" i="2"/>
  <c r="Q48" i="2"/>
  <c r="O3" i="4"/>
  <c r="N2" i="4"/>
  <c r="S13" i="2"/>
  <c r="Q12" i="2"/>
  <c r="BP12" i="2" s="1"/>
  <c r="BO12" i="2" l="1"/>
  <c r="BN48" i="2"/>
  <c r="BN12" i="2"/>
  <c r="BR48" i="2"/>
  <c r="BR12" i="2"/>
  <c r="BP48" i="2"/>
  <c r="BO48" i="2"/>
  <c r="BT6" i="2"/>
  <c r="BS9" i="2"/>
  <c r="BS12" i="2"/>
  <c r="BS8" i="2"/>
  <c r="BS10" i="2"/>
  <c r="BS11" i="2"/>
  <c r="BS39" i="2"/>
  <c r="BS38" i="2"/>
  <c r="BS46" i="2"/>
  <c r="BS41" i="2"/>
  <c r="BS70" i="2"/>
  <c r="BS43" i="2"/>
  <c r="BS44" i="2"/>
  <c r="BS69" i="2"/>
  <c r="BS48" i="2"/>
  <c r="BS72" i="2"/>
  <c r="BS73" i="2"/>
  <c r="BS77" i="2"/>
  <c r="BS85" i="2"/>
  <c r="BS84" i="2"/>
  <c r="BS83" i="2"/>
  <c r="BS7" i="2"/>
  <c r="BS45" i="2"/>
  <c r="BS40" i="2"/>
  <c r="BS76" i="2"/>
  <c r="BS71" i="2"/>
  <c r="BS75" i="2"/>
  <c r="BS79" i="2"/>
  <c r="BS87" i="2"/>
  <c r="BS42" i="2"/>
  <c r="BS47" i="2"/>
  <c r="BS78" i="2"/>
  <c r="BS86" i="2"/>
  <c r="BS82" i="2"/>
  <c r="BS88" i="2"/>
  <c r="BS74" i="2"/>
  <c r="BS80" i="2"/>
  <c r="BS81" i="2"/>
  <c r="BS89" i="2"/>
  <c r="BQ12" i="2"/>
  <c r="R48" i="2"/>
  <c r="BQ48" i="2"/>
  <c r="Q49" i="2"/>
  <c r="R12" i="2"/>
  <c r="P3" i="4"/>
  <c r="O2" i="4"/>
  <c r="S14" i="2"/>
  <c r="Q13" i="2"/>
  <c r="R49" i="2" l="1"/>
  <c r="BS49" i="2"/>
  <c r="BR49" i="2"/>
  <c r="R13" i="2"/>
  <c r="BQ49" i="2"/>
  <c r="BU6" i="2"/>
  <c r="BT10" i="2"/>
  <c r="BT11" i="2"/>
  <c r="BT9" i="2"/>
  <c r="BT12" i="2"/>
  <c r="BT13" i="2"/>
  <c r="BT8" i="2"/>
  <c r="BT40" i="2"/>
  <c r="BT39" i="2"/>
  <c r="BT47" i="2"/>
  <c r="BT38" i="2"/>
  <c r="BT46" i="2"/>
  <c r="BT71" i="2"/>
  <c r="BT41" i="2"/>
  <c r="BT70" i="2"/>
  <c r="BT43" i="2"/>
  <c r="BT44" i="2"/>
  <c r="BT49" i="2"/>
  <c r="BT69" i="2"/>
  <c r="BT42" i="2"/>
  <c r="BT78" i="2"/>
  <c r="BT86" i="2"/>
  <c r="BT73" i="2"/>
  <c r="BT77" i="2"/>
  <c r="BT85" i="2"/>
  <c r="BT84" i="2"/>
  <c r="BT45" i="2"/>
  <c r="BT48" i="2"/>
  <c r="BT72" i="2"/>
  <c r="BT76" i="2"/>
  <c r="BT80" i="2"/>
  <c r="BT88" i="2"/>
  <c r="BT75" i="2"/>
  <c r="BT79" i="2"/>
  <c r="BT87" i="2"/>
  <c r="BT89" i="2"/>
  <c r="BT82" i="2"/>
  <c r="BT74" i="2"/>
  <c r="BT83" i="2"/>
  <c r="BT81" i="2"/>
  <c r="BT7" i="2"/>
  <c r="BQ13" i="2"/>
  <c r="BP13" i="2"/>
  <c r="BP49" i="2"/>
  <c r="BR13" i="2"/>
  <c r="BO13" i="2"/>
  <c r="BO49" i="2"/>
  <c r="BS13" i="2"/>
  <c r="BN13" i="2"/>
  <c r="BN49" i="2"/>
  <c r="Q50" i="2"/>
  <c r="BR50" i="2" s="1"/>
  <c r="Q3" i="4"/>
  <c r="P2" i="4"/>
  <c r="S15" i="2"/>
  <c r="Q14" i="2"/>
  <c r="R50" i="2" l="1"/>
  <c r="BP50" i="2"/>
  <c r="BO50" i="2"/>
  <c r="BN14" i="2"/>
  <c r="BT14" i="2"/>
  <c r="BT50" i="2"/>
  <c r="BS50" i="2"/>
  <c r="BR14" i="2"/>
  <c r="BQ14" i="2"/>
  <c r="BP14" i="2"/>
  <c r="BS14" i="2"/>
  <c r="BQ50" i="2"/>
  <c r="BO14" i="2"/>
  <c r="BV6" i="2"/>
  <c r="BU11" i="2"/>
  <c r="BU14" i="2"/>
  <c r="BU8" i="2"/>
  <c r="BU41" i="2"/>
  <c r="BU40" i="2"/>
  <c r="BU48" i="2"/>
  <c r="BU39" i="2"/>
  <c r="BU13" i="2"/>
  <c r="BU72" i="2"/>
  <c r="BU10" i="2"/>
  <c r="BU46" i="2"/>
  <c r="BU71" i="2"/>
  <c r="BU12" i="2"/>
  <c r="BU70" i="2"/>
  <c r="BU45" i="2"/>
  <c r="BU50" i="2"/>
  <c r="BU47" i="2"/>
  <c r="BU75" i="2"/>
  <c r="BU79" i="2"/>
  <c r="BU87" i="2"/>
  <c r="BU42" i="2"/>
  <c r="BU78" i="2"/>
  <c r="BU86" i="2"/>
  <c r="BU73" i="2"/>
  <c r="BU77" i="2"/>
  <c r="BU85" i="2"/>
  <c r="BU43" i="2"/>
  <c r="BU49" i="2"/>
  <c r="BU9" i="2"/>
  <c r="BU38" i="2"/>
  <c r="BU74" i="2"/>
  <c r="BU81" i="2"/>
  <c r="BU89" i="2"/>
  <c r="BU44" i="2"/>
  <c r="BU69" i="2"/>
  <c r="BU76" i="2"/>
  <c r="BU80" i="2"/>
  <c r="BU84" i="2"/>
  <c r="BU88" i="2"/>
  <c r="BU82" i="2"/>
  <c r="BU83" i="2"/>
  <c r="BU7" i="2"/>
  <c r="BN50" i="2"/>
  <c r="Q51" i="2"/>
  <c r="R14" i="2"/>
  <c r="R3" i="4"/>
  <c r="Q2" i="4"/>
  <c r="S16" i="2"/>
  <c r="Q15" i="2"/>
  <c r="R15" i="2" l="1"/>
  <c r="BR15" i="2"/>
  <c r="R51" i="2"/>
  <c r="BT51" i="2"/>
  <c r="BU15" i="2"/>
  <c r="BO51" i="2"/>
  <c r="BW6" i="2"/>
  <c r="BV12" i="2"/>
  <c r="BV8" i="2"/>
  <c r="BV13" i="2"/>
  <c r="BV9" i="2"/>
  <c r="BV10" i="2"/>
  <c r="BV11" i="2"/>
  <c r="BV15" i="2"/>
  <c r="BV42" i="2"/>
  <c r="BV41" i="2"/>
  <c r="BV49" i="2"/>
  <c r="BV40" i="2"/>
  <c r="BV48" i="2"/>
  <c r="BV73" i="2"/>
  <c r="BV72" i="2"/>
  <c r="BV46" i="2"/>
  <c r="BV51" i="2"/>
  <c r="BV71" i="2"/>
  <c r="BV38" i="2"/>
  <c r="BV44" i="2"/>
  <c r="BV69" i="2"/>
  <c r="BV76" i="2"/>
  <c r="BV80" i="2"/>
  <c r="BV88" i="2"/>
  <c r="BV47" i="2"/>
  <c r="BV75" i="2"/>
  <c r="BV79" i="2"/>
  <c r="BV87" i="2"/>
  <c r="BV50" i="2"/>
  <c r="BV78" i="2"/>
  <c r="BV86" i="2"/>
  <c r="BV14" i="2"/>
  <c r="BV43" i="2"/>
  <c r="BV39" i="2"/>
  <c r="BV45" i="2"/>
  <c r="BV74" i="2"/>
  <c r="BV82" i="2"/>
  <c r="BV70" i="2"/>
  <c r="BV81" i="2"/>
  <c r="BV7" i="2"/>
  <c r="BV84" i="2"/>
  <c r="BV89" i="2"/>
  <c r="BV85" i="2"/>
  <c r="BV83" i="2"/>
  <c r="BV77" i="2"/>
  <c r="BN51" i="2"/>
  <c r="BT15" i="2"/>
  <c r="BQ15" i="2"/>
  <c r="BP15" i="2"/>
  <c r="BU51" i="2"/>
  <c r="BO15" i="2"/>
  <c r="BS51" i="2"/>
  <c r="BN15" i="2"/>
  <c r="BR51" i="2"/>
  <c r="BS15" i="2"/>
  <c r="BQ51" i="2"/>
  <c r="BP51" i="2"/>
  <c r="Q52" i="2"/>
  <c r="BN52" i="2" s="1"/>
  <c r="S3" i="4"/>
  <c r="R2" i="4"/>
  <c r="S17" i="2"/>
  <c r="Q16" i="2"/>
  <c r="R52" i="2" l="1"/>
  <c r="BV52" i="2"/>
  <c r="R16" i="2"/>
  <c r="BO52" i="2"/>
  <c r="BP16" i="2"/>
  <c r="BV16" i="2"/>
  <c r="BP52" i="2"/>
  <c r="BO16" i="2"/>
  <c r="BU16" i="2"/>
  <c r="BN16" i="2"/>
  <c r="BX6" i="2"/>
  <c r="BW13" i="2"/>
  <c r="BW14" i="2"/>
  <c r="BW9" i="2"/>
  <c r="BW10" i="2"/>
  <c r="BW8" i="2"/>
  <c r="BW11" i="2"/>
  <c r="BW15" i="2"/>
  <c r="BW16" i="2"/>
  <c r="BW43" i="2"/>
  <c r="BW42" i="2"/>
  <c r="BW50" i="2"/>
  <c r="BW41" i="2"/>
  <c r="BW45" i="2"/>
  <c r="BW74" i="2"/>
  <c r="BW48" i="2"/>
  <c r="BW73" i="2"/>
  <c r="BW72" i="2"/>
  <c r="BW12" i="2"/>
  <c r="BW39" i="2"/>
  <c r="BW40" i="2"/>
  <c r="BW47" i="2"/>
  <c r="BW52" i="2"/>
  <c r="BW70" i="2"/>
  <c r="BW81" i="2"/>
  <c r="BW89" i="2"/>
  <c r="BW44" i="2"/>
  <c r="BW69" i="2"/>
  <c r="BW76" i="2"/>
  <c r="BW80" i="2"/>
  <c r="BW88" i="2"/>
  <c r="BW75" i="2"/>
  <c r="BW79" i="2"/>
  <c r="BW87" i="2"/>
  <c r="BW46" i="2"/>
  <c r="BW49" i="2"/>
  <c r="BW38" i="2"/>
  <c r="BW83" i="2"/>
  <c r="BW7" i="2"/>
  <c r="BW51" i="2"/>
  <c r="BW71" i="2"/>
  <c r="BW82" i="2"/>
  <c r="BW77" i="2"/>
  <c r="BW86" i="2"/>
  <c r="BW84" i="2"/>
  <c r="BW78" i="2"/>
  <c r="BW85" i="2"/>
  <c r="BT16" i="2"/>
  <c r="BT52" i="2"/>
  <c r="BS16" i="2"/>
  <c r="BS52" i="2"/>
  <c r="BR16" i="2"/>
  <c r="BR52" i="2"/>
  <c r="BQ16" i="2"/>
  <c r="BQ52" i="2"/>
  <c r="BU52" i="2"/>
  <c r="Q53" i="2"/>
  <c r="T3" i="4"/>
  <c r="S2" i="4"/>
  <c r="S18" i="2"/>
  <c r="Q17" i="2"/>
  <c r="R17" i="2" l="1"/>
  <c r="BT17" i="2"/>
  <c r="BS17" i="2"/>
  <c r="BW17" i="2"/>
  <c r="BO17" i="2"/>
  <c r="BN17" i="2"/>
  <c r="R53" i="2"/>
  <c r="BU17" i="2"/>
  <c r="BU53" i="2"/>
  <c r="BT53" i="2"/>
  <c r="BY6" i="2"/>
  <c r="BY7" i="2" s="1"/>
  <c r="BX14" i="2"/>
  <c r="BX10" i="2"/>
  <c r="BX15" i="2"/>
  <c r="BX9" i="2"/>
  <c r="BX13" i="2"/>
  <c r="BX17" i="2"/>
  <c r="BX16" i="2"/>
  <c r="BX43" i="2"/>
  <c r="BX51" i="2"/>
  <c r="BX42" i="2"/>
  <c r="BX12" i="2"/>
  <c r="BX38" i="2"/>
  <c r="BX50" i="2"/>
  <c r="BX75" i="2"/>
  <c r="BX45" i="2"/>
  <c r="BX74" i="2"/>
  <c r="BX8" i="2"/>
  <c r="BX41" i="2"/>
  <c r="BX48" i="2"/>
  <c r="BX53" i="2"/>
  <c r="BX73" i="2"/>
  <c r="BX11" i="2"/>
  <c r="BX44" i="2"/>
  <c r="BX69" i="2"/>
  <c r="BX71" i="2"/>
  <c r="BX82" i="2"/>
  <c r="BX70" i="2"/>
  <c r="BX81" i="2"/>
  <c r="BX89" i="2"/>
  <c r="BX47" i="2"/>
  <c r="BX76" i="2"/>
  <c r="BX80" i="2"/>
  <c r="BX88" i="2"/>
  <c r="BX46" i="2"/>
  <c r="BX49" i="2"/>
  <c r="BX39" i="2"/>
  <c r="BX40" i="2"/>
  <c r="BX52" i="2"/>
  <c r="BX84" i="2"/>
  <c r="BX72" i="2"/>
  <c r="BX83" i="2"/>
  <c r="BX77" i="2"/>
  <c r="BX86" i="2"/>
  <c r="BX7" i="2"/>
  <c r="BX78" i="2"/>
  <c r="BX87" i="2"/>
  <c r="BX85" i="2"/>
  <c r="BX79" i="2"/>
  <c r="BS53" i="2"/>
  <c r="BR53" i="2"/>
  <c r="BQ53" i="2"/>
  <c r="BV17" i="2"/>
  <c r="BP53" i="2"/>
  <c r="BR17" i="2"/>
  <c r="BV53" i="2"/>
  <c r="BO53" i="2"/>
  <c r="BW53" i="2"/>
  <c r="BQ17" i="2"/>
  <c r="BN53" i="2"/>
  <c r="BP17" i="2"/>
  <c r="Q54" i="2"/>
  <c r="BN54" i="2" s="1"/>
  <c r="U3" i="4"/>
  <c r="T2" i="4"/>
  <c r="S19" i="2"/>
  <c r="Q18" i="2"/>
  <c r="BO54" i="2" l="1"/>
  <c r="BV54" i="2"/>
  <c r="BX54" i="2"/>
  <c r="R54" i="2"/>
  <c r="D4" i="5" s="1"/>
  <c r="E4" i="5" s="1"/>
  <c r="BU54" i="2"/>
  <c r="BT54" i="2"/>
  <c r="BS54" i="2"/>
  <c r="BW54" i="2"/>
  <c r="BR54" i="2"/>
  <c r="R18" i="2"/>
  <c r="BQ54" i="2"/>
  <c r="BP18" i="2"/>
  <c r="BO18" i="2"/>
  <c r="BV18" i="2"/>
  <c r="BN18" i="2"/>
  <c r="BU18" i="2"/>
  <c r="BT18" i="2"/>
  <c r="BS18" i="2"/>
  <c r="BZ6" i="2"/>
  <c r="BY15" i="2"/>
  <c r="BY18" i="2"/>
  <c r="BY14" i="2"/>
  <c r="BY10" i="2"/>
  <c r="BY12" i="2"/>
  <c r="BY44" i="2"/>
  <c r="BY52" i="2"/>
  <c r="BY16" i="2"/>
  <c r="BY39" i="2"/>
  <c r="BY13" i="2"/>
  <c r="BY38" i="2"/>
  <c r="BY40" i="2"/>
  <c r="BY47" i="2"/>
  <c r="BY76" i="2"/>
  <c r="BY17" i="2"/>
  <c r="BY50" i="2"/>
  <c r="BY75" i="2"/>
  <c r="BY45" i="2"/>
  <c r="BY74" i="2"/>
  <c r="BY8" i="2"/>
  <c r="BY9" i="2"/>
  <c r="BY42" i="2"/>
  <c r="BY49" i="2"/>
  <c r="BY54" i="2"/>
  <c r="BY70" i="2"/>
  <c r="BY11" i="2"/>
  <c r="BY51" i="2"/>
  <c r="BY72" i="2"/>
  <c r="BY83" i="2"/>
  <c r="BY71" i="2"/>
  <c r="BY82" i="2"/>
  <c r="BY69" i="2"/>
  <c r="BY81" i="2"/>
  <c r="BY89" i="2"/>
  <c r="BY53" i="2"/>
  <c r="BY43" i="2"/>
  <c r="BY46" i="2"/>
  <c r="BY77" i="2"/>
  <c r="BY85" i="2"/>
  <c r="BY41" i="2"/>
  <c r="BY48" i="2"/>
  <c r="BY84" i="2"/>
  <c r="BY79" i="2"/>
  <c r="BY86" i="2"/>
  <c r="BY88" i="2"/>
  <c r="BY80" i="2"/>
  <c r="BY78" i="2"/>
  <c r="BY87" i="2"/>
  <c r="BY73" i="2"/>
  <c r="BW18" i="2"/>
  <c r="BR18" i="2"/>
  <c r="BQ18" i="2"/>
  <c r="BP54" i="2"/>
  <c r="BX18" i="2"/>
  <c r="Q55" i="2"/>
  <c r="V3" i="4"/>
  <c r="U2" i="4"/>
  <c r="S20" i="2"/>
  <c r="Q19" i="2"/>
  <c r="R55" i="2" l="1"/>
  <c r="R19" i="2"/>
  <c r="BY55" i="2"/>
  <c r="BV19" i="2"/>
  <c r="BN19" i="2"/>
  <c r="BU55" i="2"/>
  <c r="BU19" i="2"/>
  <c r="BT55" i="2"/>
  <c r="CA6" i="2"/>
  <c r="BZ8" i="2"/>
  <c r="BZ16" i="2"/>
  <c r="BZ12" i="2"/>
  <c r="BZ17" i="2"/>
  <c r="BZ9" i="2"/>
  <c r="BZ13" i="2"/>
  <c r="BZ18" i="2"/>
  <c r="BZ14" i="2"/>
  <c r="BZ15" i="2"/>
  <c r="BZ38" i="2"/>
  <c r="BZ45" i="2"/>
  <c r="BZ53" i="2"/>
  <c r="BZ11" i="2"/>
  <c r="BZ39" i="2"/>
  <c r="BZ52" i="2"/>
  <c r="BZ69" i="2"/>
  <c r="BZ40" i="2"/>
  <c r="BZ47" i="2"/>
  <c r="BZ76" i="2"/>
  <c r="BZ10" i="2"/>
  <c r="BZ50" i="2"/>
  <c r="BZ19" i="2"/>
  <c r="BZ43" i="2"/>
  <c r="BZ46" i="2"/>
  <c r="BZ55" i="2"/>
  <c r="BZ71" i="2"/>
  <c r="BZ41" i="2"/>
  <c r="BZ48" i="2"/>
  <c r="BZ84" i="2"/>
  <c r="BZ51" i="2"/>
  <c r="BZ72" i="2"/>
  <c r="BZ83" i="2"/>
  <c r="BZ7" i="2"/>
  <c r="BZ42" i="2"/>
  <c r="BZ44" i="2"/>
  <c r="BZ54" i="2"/>
  <c r="BZ70" i="2"/>
  <c r="BZ82" i="2"/>
  <c r="BZ49" i="2"/>
  <c r="BZ78" i="2"/>
  <c r="BZ86" i="2"/>
  <c r="BZ74" i="2"/>
  <c r="BZ77" i="2"/>
  <c r="BZ85" i="2"/>
  <c r="BZ75" i="2"/>
  <c r="BZ79" i="2"/>
  <c r="BZ89" i="2"/>
  <c r="BZ88" i="2"/>
  <c r="BZ80" i="2"/>
  <c r="BZ87" i="2"/>
  <c r="BZ73" i="2"/>
  <c r="BZ81" i="2"/>
  <c r="BT19" i="2"/>
  <c r="BS55" i="2"/>
  <c r="BX19" i="2"/>
  <c r="BS19" i="2"/>
  <c r="BR55" i="2"/>
  <c r="BY19" i="2"/>
  <c r="BR19" i="2"/>
  <c r="BQ55" i="2"/>
  <c r="BX55" i="2"/>
  <c r="BQ19" i="2"/>
  <c r="BP55" i="2"/>
  <c r="BP19" i="2"/>
  <c r="BW55" i="2"/>
  <c r="BO55" i="2"/>
  <c r="BW19" i="2"/>
  <c r="BO19" i="2"/>
  <c r="BV55" i="2"/>
  <c r="BN55" i="2"/>
  <c r="Q56" i="2"/>
  <c r="BX56" i="2" s="1"/>
  <c r="W3" i="4"/>
  <c r="V2" i="4"/>
  <c r="S21" i="2"/>
  <c r="Q20" i="2"/>
  <c r="BV56" i="2" l="1"/>
  <c r="BT56" i="2"/>
  <c r="R20" i="2"/>
  <c r="BR20" i="2"/>
  <c r="BP20" i="2"/>
  <c r="BY20" i="2"/>
  <c r="BO20" i="2"/>
  <c r="BN20" i="2"/>
  <c r="R56" i="2"/>
  <c r="BX20" i="2"/>
  <c r="BS56" i="2"/>
  <c r="BW20" i="2"/>
  <c r="BZ20" i="2"/>
  <c r="BQ56" i="2"/>
  <c r="BV20" i="2"/>
  <c r="BP56" i="2"/>
  <c r="BS20" i="2"/>
  <c r="BN56" i="2"/>
  <c r="BY56" i="2"/>
  <c r="BQ20" i="2"/>
  <c r="BW56" i="2"/>
  <c r="BO56" i="2"/>
  <c r="BU56" i="2"/>
  <c r="BU20" i="2"/>
  <c r="CB6" i="2"/>
  <c r="CA9" i="2"/>
  <c r="CA17" i="2"/>
  <c r="CA8" i="2"/>
  <c r="CA13" i="2"/>
  <c r="CA18" i="2"/>
  <c r="CA11" i="2"/>
  <c r="CA16" i="2"/>
  <c r="CA14" i="2"/>
  <c r="CA39" i="2"/>
  <c r="CA15" i="2"/>
  <c r="CA38" i="2"/>
  <c r="CA46" i="2"/>
  <c r="CA20" i="2"/>
  <c r="CA19" i="2"/>
  <c r="CA42" i="2"/>
  <c r="CA44" i="2"/>
  <c r="CA49" i="2"/>
  <c r="CA54" i="2"/>
  <c r="CA70" i="2"/>
  <c r="CA52" i="2"/>
  <c r="CA69" i="2"/>
  <c r="CA40" i="2"/>
  <c r="CA47" i="2"/>
  <c r="CA10" i="2"/>
  <c r="CA51" i="2"/>
  <c r="CA56" i="2"/>
  <c r="CA74" i="2"/>
  <c r="CA77" i="2"/>
  <c r="CA85" i="2"/>
  <c r="CA12" i="2"/>
  <c r="CA41" i="2"/>
  <c r="CA48" i="2"/>
  <c r="CA84" i="2"/>
  <c r="CA55" i="2"/>
  <c r="CA71" i="2"/>
  <c r="CA72" i="2"/>
  <c r="CA83" i="2"/>
  <c r="CA7" i="2"/>
  <c r="CA50" i="2"/>
  <c r="CA53" i="2"/>
  <c r="CA73" i="2"/>
  <c r="CA43" i="2"/>
  <c r="CA79" i="2"/>
  <c r="CA87" i="2"/>
  <c r="CA45" i="2"/>
  <c r="CA78" i="2"/>
  <c r="CA86" i="2"/>
  <c r="CA81" i="2"/>
  <c r="CA75" i="2"/>
  <c r="CA82" i="2"/>
  <c r="CA89" i="2"/>
  <c r="CA88" i="2"/>
  <c r="CA80" i="2"/>
  <c r="CA76" i="2"/>
  <c r="BT20" i="2"/>
  <c r="BZ56" i="2"/>
  <c r="BR56" i="2"/>
  <c r="Q57" i="2"/>
  <c r="X3" i="4"/>
  <c r="W2" i="4"/>
  <c r="S22" i="2"/>
  <c r="Q21" i="2"/>
  <c r="BN21" i="2" l="1"/>
  <c r="R21" i="2"/>
  <c r="R57" i="2"/>
  <c r="CA21" i="2"/>
  <c r="BV21" i="2"/>
  <c r="BU21" i="2"/>
  <c r="BT21" i="2"/>
  <c r="BX57" i="2"/>
  <c r="BP57" i="2"/>
  <c r="BW57" i="2"/>
  <c r="BO57" i="2"/>
  <c r="BV57" i="2"/>
  <c r="BN57" i="2"/>
  <c r="BS21" i="2"/>
  <c r="BU57" i="2"/>
  <c r="BZ21" i="2"/>
  <c r="BR21" i="2"/>
  <c r="CC6" i="2"/>
  <c r="CB10" i="2"/>
  <c r="CB18" i="2"/>
  <c r="CB9" i="2"/>
  <c r="CB14" i="2"/>
  <c r="CB19" i="2"/>
  <c r="CB8" i="2"/>
  <c r="CB11" i="2"/>
  <c r="CB12" i="2"/>
  <c r="CB17" i="2"/>
  <c r="CB20" i="2"/>
  <c r="CB13" i="2"/>
  <c r="CB40" i="2"/>
  <c r="CB39" i="2"/>
  <c r="CB47" i="2"/>
  <c r="CB15" i="2"/>
  <c r="CB21" i="2"/>
  <c r="CB38" i="2"/>
  <c r="CB43" i="2"/>
  <c r="CB55" i="2"/>
  <c r="CB71" i="2"/>
  <c r="CB42" i="2"/>
  <c r="CB44" i="2"/>
  <c r="CB49" i="2"/>
  <c r="CB54" i="2"/>
  <c r="CB70" i="2"/>
  <c r="CB52" i="2"/>
  <c r="CB69" i="2"/>
  <c r="CB41" i="2"/>
  <c r="CB48" i="2"/>
  <c r="CB57" i="2"/>
  <c r="CB16" i="2"/>
  <c r="CB45" i="2"/>
  <c r="CB78" i="2"/>
  <c r="CB86" i="2"/>
  <c r="CB74" i="2"/>
  <c r="CB77" i="2"/>
  <c r="CB85" i="2"/>
  <c r="CB51" i="2"/>
  <c r="CB56" i="2"/>
  <c r="CB84" i="2"/>
  <c r="CB50" i="2"/>
  <c r="CB53" i="2"/>
  <c r="CB75" i="2"/>
  <c r="CB46" i="2"/>
  <c r="CB73" i="2"/>
  <c r="CB80" i="2"/>
  <c r="CB88" i="2"/>
  <c r="CB79" i="2"/>
  <c r="CB87" i="2"/>
  <c r="CB81" i="2"/>
  <c r="CB72" i="2"/>
  <c r="CB7" i="2"/>
  <c r="CB82" i="2"/>
  <c r="CB89" i="2"/>
  <c r="CB76" i="2"/>
  <c r="CB83" i="2"/>
  <c r="BT57" i="2"/>
  <c r="BY21" i="2"/>
  <c r="BQ21" i="2"/>
  <c r="CA57" i="2"/>
  <c r="BS57" i="2"/>
  <c r="BX21" i="2"/>
  <c r="BP21" i="2"/>
  <c r="BR57" i="2"/>
  <c r="BW21" i="2"/>
  <c r="BO21" i="2"/>
  <c r="BY57" i="2"/>
  <c r="BQ57" i="2"/>
  <c r="BZ57" i="2"/>
  <c r="Q58" i="2"/>
  <c r="Y3" i="4"/>
  <c r="X2" i="4"/>
  <c r="S23" i="2"/>
  <c r="Q22" i="2"/>
  <c r="R58" i="2" l="1"/>
  <c r="BV58" i="2"/>
  <c r="BU58" i="2"/>
  <c r="BS58" i="2"/>
  <c r="CA58" i="2"/>
  <c r="BR58" i="2"/>
  <c r="BN22" i="2"/>
  <c r="BZ58" i="2"/>
  <c r="BQ58" i="2"/>
  <c r="BY58" i="2"/>
  <c r="BP58" i="2"/>
  <c r="BX58" i="2"/>
  <c r="BO58" i="2"/>
  <c r="BT22" i="2"/>
  <c r="CB58" i="2"/>
  <c r="BW58" i="2"/>
  <c r="BN58" i="2"/>
  <c r="BX22" i="2"/>
  <c r="BP22" i="2"/>
  <c r="BW22" i="2"/>
  <c r="BO22" i="2"/>
  <c r="CB22" i="2"/>
  <c r="BV22" i="2"/>
  <c r="R22" i="2"/>
  <c r="CA22" i="2"/>
  <c r="BU22" i="2"/>
  <c r="BS22" i="2"/>
  <c r="BZ22" i="2"/>
  <c r="BR22" i="2"/>
  <c r="BY22" i="2"/>
  <c r="BQ22" i="2"/>
  <c r="CD6" i="2"/>
  <c r="CC11" i="2"/>
  <c r="CC19" i="2"/>
  <c r="CC9" i="2"/>
  <c r="CC10" i="2"/>
  <c r="CC12" i="2"/>
  <c r="CC13" i="2"/>
  <c r="CC8" i="2"/>
  <c r="CC16" i="2"/>
  <c r="CC17" i="2"/>
  <c r="CC20" i="2"/>
  <c r="CC15" i="2"/>
  <c r="CC21" i="2"/>
  <c r="CC41" i="2"/>
  <c r="CC14" i="2"/>
  <c r="CC22" i="2"/>
  <c r="CC40" i="2"/>
  <c r="CC48" i="2"/>
  <c r="CC39" i="2"/>
  <c r="CC46" i="2"/>
  <c r="CC51" i="2"/>
  <c r="CC56" i="2"/>
  <c r="CC72" i="2"/>
  <c r="CC38" i="2"/>
  <c r="CC43" i="2"/>
  <c r="CC55" i="2"/>
  <c r="CC71" i="2"/>
  <c r="CC42" i="2"/>
  <c r="CC44" i="2"/>
  <c r="CC49" i="2"/>
  <c r="CC54" i="2"/>
  <c r="CC70" i="2"/>
  <c r="CC18" i="2"/>
  <c r="CC53" i="2"/>
  <c r="CC58" i="2"/>
  <c r="CC79" i="2"/>
  <c r="CC87" i="2"/>
  <c r="CC45" i="2"/>
  <c r="CC78" i="2"/>
  <c r="CC86" i="2"/>
  <c r="CC57" i="2"/>
  <c r="CC74" i="2"/>
  <c r="CC77" i="2"/>
  <c r="CC85" i="2"/>
  <c r="CC47" i="2"/>
  <c r="CC50" i="2"/>
  <c r="CC75" i="2"/>
  <c r="CC81" i="2"/>
  <c r="CC89" i="2"/>
  <c r="CC52" i="2"/>
  <c r="CC73" i="2"/>
  <c r="CC80" i="2"/>
  <c r="CC76" i="2"/>
  <c r="CC83" i="2"/>
  <c r="CC84" i="2"/>
  <c r="CC7" i="2"/>
  <c r="CC82" i="2"/>
  <c r="CC88" i="2"/>
  <c r="CC69" i="2"/>
  <c r="BT58" i="2"/>
  <c r="Q59" i="2"/>
  <c r="Z3" i="4"/>
  <c r="Y2" i="4"/>
  <c r="S24" i="2"/>
  <c r="Q23" i="2"/>
  <c r="R59" i="2" l="1"/>
  <c r="R23" i="2"/>
  <c r="BT23" i="2"/>
  <c r="BT59" i="2"/>
  <c r="CA23" i="2"/>
  <c r="BS23" i="2"/>
  <c r="CA59" i="2"/>
  <c r="BS59" i="2"/>
  <c r="BZ23" i="2"/>
  <c r="BR23" i="2"/>
  <c r="BZ59" i="2"/>
  <c r="BR59" i="2"/>
  <c r="CE6" i="2"/>
  <c r="CD12" i="2"/>
  <c r="CD20" i="2"/>
  <c r="CD11" i="2"/>
  <c r="CD16" i="2"/>
  <c r="CD21" i="2"/>
  <c r="CD14" i="2"/>
  <c r="CD15" i="2"/>
  <c r="CD9" i="2"/>
  <c r="CD10" i="2"/>
  <c r="CD13" i="2"/>
  <c r="CD23" i="2"/>
  <c r="CD17" i="2"/>
  <c r="CD42" i="2"/>
  <c r="CD41" i="2"/>
  <c r="CD49" i="2"/>
  <c r="CD22" i="2"/>
  <c r="CD40" i="2"/>
  <c r="CD8" i="2"/>
  <c r="CD57" i="2"/>
  <c r="CD73" i="2"/>
  <c r="CD39" i="2"/>
  <c r="CD46" i="2"/>
  <c r="CD51" i="2"/>
  <c r="CD56" i="2"/>
  <c r="CD72" i="2"/>
  <c r="CD38" i="2"/>
  <c r="CD43" i="2"/>
  <c r="CD55" i="2"/>
  <c r="CD71" i="2"/>
  <c r="CD45" i="2"/>
  <c r="CD50" i="2"/>
  <c r="CD59" i="2"/>
  <c r="CD52" i="2"/>
  <c r="CD80" i="2"/>
  <c r="CD88" i="2"/>
  <c r="CD79" i="2"/>
  <c r="CD87" i="2"/>
  <c r="CD48" i="2"/>
  <c r="CD58" i="2"/>
  <c r="CD78" i="2"/>
  <c r="CD86" i="2"/>
  <c r="CD44" i="2"/>
  <c r="CD54" i="2"/>
  <c r="CD18" i="2"/>
  <c r="CD47" i="2"/>
  <c r="CD19" i="2"/>
  <c r="CD53" i="2"/>
  <c r="CD76" i="2"/>
  <c r="CD82" i="2"/>
  <c r="CD75" i="2"/>
  <c r="CD81" i="2"/>
  <c r="CD83" i="2"/>
  <c r="CD70" i="2"/>
  <c r="CD77" i="2"/>
  <c r="CD74" i="2"/>
  <c r="CD84" i="2"/>
  <c r="CD7" i="2"/>
  <c r="CD89" i="2"/>
  <c r="CD69" i="2"/>
  <c r="CD85" i="2"/>
  <c r="BY23" i="2"/>
  <c r="BQ23" i="2"/>
  <c r="BY59" i="2"/>
  <c r="BQ59" i="2"/>
  <c r="BX23" i="2"/>
  <c r="BP23" i="2"/>
  <c r="BX59" i="2"/>
  <c r="BP59" i="2"/>
  <c r="CC59" i="2"/>
  <c r="BW23" i="2"/>
  <c r="BO23" i="2"/>
  <c r="BW59" i="2"/>
  <c r="BO59" i="2"/>
  <c r="CC23" i="2"/>
  <c r="BV23" i="2"/>
  <c r="BN23" i="2"/>
  <c r="BV59" i="2"/>
  <c r="BN59" i="2"/>
  <c r="BU23" i="2"/>
  <c r="CB59" i="2"/>
  <c r="BU59" i="2"/>
  <c r="CB23" i="2"/>
  <c r="Q60" i="2"/>
  <c r="BY60" i="2" s="1"/>
  <c r="AA3" i="4"/>
  <c r="Z2" i="4"/>
  <c r="S25" i="2"/>
  <c r="Q24" i="2"/>
  <c r="BT24" i="2" s="1"/>
  <c r="BZ60" i="2" l="1"/>
  <c r="R24" i="2"/>
  <c r="BR24" i="2"/>
  <c r="CB24" i="2"/>
  <c r="BS24" i="2"/>
  <c r="CA24" i="2"/>
  <c r="BZ24" i="2"/>
  <c r="BQ24" i="2"/>
  <c r="BY24" i="2"/>
  <c r="BP24" i="2"/>
  <c r="BP60" i="2"/>
  <c r="BX24" i="2"/>
  <c r="BN24" i="2"/>
  <c r="CD24" i="2"/>
  <c r="BV24" i="2"/>
  <c r="BU24" i="2"/>
  <c r="BR60" i="2"/>
  <c r="CD60" i="2"/>
  <c r="BQ60" i="2"/>
  <c r="BX60" i="2"/>
  <c r="R60" i="2"/>
  <c r="CC60" i="2"/>
  <c r="BW60" i="2"/>
  <c r="BO60" i="2"/>
  <c r="BV60" i="2"/>
  <c r="BN60" i="2"/>
  <c r="BU60" i="2"/>
  <c r="CF6" i="2"/>
  <c r="CE13" i="2"/>
  <c r="CE21" i="2"/>
  <c r="CE8" i="2"/>
  <c r="CE16" i="2"/>
  <c r="CE17" i="2"/>
  <c r="CE18" i="2"/>
  <c r="CE11" i="2"/>
  <c r="CE12" i="2"/>
  <c r="CE14" i="2"/>
  <c r="CE15" i="2"/>
  <c r="CE19" i="2"/>
  <c r="CE43" i="2"/>
  <c r="CE42" i="2"/>
  <c r="CE50" i="2"/>
  <c r="CE23" i="2"/>
  <c r="CE24" i="2"/>
  <c r="CE41" i="2"/>
  <c r="CE10" i="2"/>
  <c r="CE48" i="2"/>
  <c r="CE53" i="2"/>
  <c r="CE58" i="2"/>
  <c r="CE74" i="2"/>
  <c r="CE20" i="2"/>
  <c r="CE22" i="2"/>
  <c r="CE57" i="2"/>
  <c r="CE73" i="2"/>
  <c r="CE39" i="2"/>
  <c r="CE46" i="2"/>
  <c r="CE51" i="2"/>
  <c r="CE56" i="2"/>
  <c r="CE72" i="2"/>
  <c r="CE60" i="2"/>
  <c r="CE75" i="2"/>
  <c r="CE81" i="2"/>
  <c r="CE89" i="2"/>
  <c r="CE52" i="2"/>
  <c r="CE80" i="2"/>
  <c r="CE88" i="2"/>
  <c r="CE45" i="2"/>
  <c r="CE59" i="2"/>
  <c r="CE79" i="2"/>
  <c r="CE87" i="2"/>
  <c r="CE55" i="2"/>
  <c r="CE44" i="2"/>
  <c r="CE54" i="2"/>
  <c r="CE9" i="2"/>
  <c r="CE47" i="2"/>
  <c r="CE69" i="2"/>
  <c r="CE83" i="2"/>
  <c r="CE7" i="2"/>
  <c r="CE38" i="2"/>
  <c r="CE40" i="2"/>
  <c r="CE49" i="2"/>
  <c r="CE76" i="2"/>
  <c r="CE82" i="2"/>
  <c r="CE85" i="2"/>
  <c r="CE70" i="2"/>
  <c r="CE77" i="2"/>
  <c r="CE86" i="2"/>
  <c r="CE84" i="2"/>
  <c r="CE71" i="2"/>
  <c r="CE78" i="2"/>
  <c r="CB60" i="2"/>
  <c r="BT60" i="2"/>
  <c r="CA60" i="2"/>
  <c r="BS60" i="2"/>
  <c r="BW24" i="2"/>
  <c r="BO24" i="2"/>
  <c r="CC24" i="2"/>
  <c r="Q61" i="2"/>
  <c r="BZ61" i="2" s="1"/>
  <c r="AB3" i="4"/>
  <c r="AA2" i="4"/>
  <c r="S26" i="2"/>
  <c r="Q25" i="2"/>
  <c r="CE25" i="2" s="1"/>
  <c r="CA61" i="2" l="1"/>
  <c r="R61" i="2"/>
  <c r="BT61" i="2"/>
  <c r="BY61" i="2"/>
  <c r="BS61" i="2"/>
  <c r="BR61" i="2"/>
  <c r="R25" i="2"/>
  <c r="BQ61" i="2"/>
  <c r="CD25" i="2"/>
  <c r="CB61" i="2"/>
  <c r="CB25" i="2"/>
  <c r="BT25" i="2"/>
  <c r="CA25" i="2"/>
  <c r="BS25" i="2"/>
  <c r="BZ25" i="2"/>
  <c r="BR25" i="2"/>
  <c r="CG6" i="2"/>
  <c r="CF14" i="2"/>
  <c r="CF22" i="2"/>
  <c r="CF13" i="2"/>
  <c r="CF18" i="2"/>
  <c r="CF23" i="2"/>
  <c r="CF19" i="2"/>
  <c r="CF20" i="2"/>
  <c r="CF16" i="2"/>
  <c r="CF17" i="2"/>
  <c r="CF12" i="2"/>
  <c r="CF8" i="2"/>
  <c r="CF10" i="2"/>
  <c r="CF24" i="2"/>
  <c r="CF43" i="2"/>
  <c r="CF51" i="2"/>
  <c r="CF9" i="2"/>
  <c r="CF38" i="2"/>
  <c r="CF11" i="2"/>
  <c r="CF45" i="2"/>
  <c r="CF59" i="2"/>
  <c r="CF75" i="2"/>
  <c r="CF15" i="2"/>
  <c r="CF21" i="2"/>
  <c r="CF48" i="2"/>
  <c r="CF53" i="2"/>
  <c r="CF58" i="2"/>
  <c r="CF74" i="2"/>
  <c r="CF25" i="2"/>
  <c r="CF57" i="2"/>
  <c r="CF73" i="2"/>
  <c r="CF47" i="2"/>
  <c r="CF52" i="2"/>
  <c r="CF61" i="2"/>
  <c r="CF69" i="2"/>
  <c r="CF40" i="2"/>
  <c r="CF49" i="2"/>
  <c r="CF76" i="2"/>
  <c r="CF82" i="2"/>
  <c r="CF81" i="2"/>
  <c r="CF89" i="2"/>
  <c r="CF41" i="2"/>
  <c r="CF60" i="2"/>
  <c r="CF80" i="2"/>
  <c r="CF88" i="2"/>
  <c r="CF42" i="2"/>
  <c r="CF56" i="2"/>
  <c r="CF55" i="2"/>
  <c r="CF44" i="2"/>
  <c r="CF54" i="2"/>
  <c r="CF70" i="2"/>
  <c r="CF50" i="2"/>
  <c r="CF84" i="2"/>
  <c r="CF39" i="2"/>
  <c r="CF46" i="2"/>
  <c r="CF83" i="2"/>
  <c r="CF85" i="2"/>
  <c r="CF79" i="2"/>
  <c r="CF72" i="2"/>
  <c r="CF77" i="2"/>
  <c r="CF86" i="2"/>
  <c r="CF7" i="2"/>
  <c r="CF71" i="2"/>
  <c r="CF78" i="2"/>
  <c r="CF87" i="2"/>
  <c r="BY25" i="2"/>
  <c r="BQ25" i="2"/>
  <c r="BX61" i="2"/>
  <c r="BP61" i="2"/>
  <c r="BX25" i="2"/>
  <c r="BP25" i="2"/>
  <c r="CE61" i="2"/>
  <c r="BW61" i="2"/>
  <c r="BO61" i="2"/>
  <c r="BW25" i="2"/>
  <c r="BO25" i="2"/>
  <c r="BV61" i="2"/>
  <c r="BN61" i="2"/>
  <c r="BV25" i="2"/>
  <c r="BN25" i="2"/>
  <c r="CC61" i="2"/>
  <c r="BU61" i="2"/>
  <c r="CC25" i="2"/>
  <c r="BU25" i="2"/>
  <c r="CD61" i="2"/>
  <c r="Q62" i="2"/>
  <c r="BX62" i="2" s="1"/>
  <c r="AC3" i="4"/>
  <c r="AB2" i="4"/>
  <c r="S27" i="2"/>
  <c r="Q26" i="2"/>
  <c r="BW62" i="2" l="1"/>
  <c r="BS62" i="2"/>
  <c r="BR62" i="2"/>
  <c r="BP62" i="2"/>
  <c r="BO62" i="2"/>
  <c r="CA62" i="2"/>
  <c r="R26" i="2"/>
  <c r="BQ62" i="2"/>
  <c r="BZ62" i="2"/>
  <c r="CF62" i="2"/>
  <c r="CH6" i="2"/>
  <c r="CG15" i="2"/>
  <c r="CG23" i="2"/>
  <c r="CG10" i="2"/>
  <c r="CG21" i="2"/>
  <c r="CG22" i="2"/>
  <c r="CG24" i="2"/>
  <c r="CG18" i="2"/>
  <c r="CG19" i="2"/>
  <c r="CG11" i="2"/>
  <c r="CG16" i="2"/>
  <c r="CG12" i="2"/>
  <c r="CG9" i="2"/>
  <c r="CG25" i="2"/>
  <c r="CG13" i="2"/>
  <c r="CG26" i="2"/>
  <c r="CG44" i="2"/>
  <c r="CG52" i="2"/>
  <c r="CG14" i="2"/>
  <c r="CG39" i="2"/>
  <c r="CG41" i="2"/>
  <c r="CG50" i="2"/>
  <c r="CG60" i="2"/>
  <c r="CG76" i="2"/>
  <c r="CG45" i="2"/>
  <c r="CG59" i="2"/>
  <c r="CG75" i="2"/>
  <c r="CG17" i="2"/>
  <c r="CG20" i="2"/>
  <c r="CG48" i="2"/>
  <c r="CG53" i="2"/>
  <c r="CG58" i="2"/>
  <c r="CG74" i="2"/>
  <c r="CG54" i="2"/>
  <c r="CG62" i="2"/>
  <c r="CG70" i="2"/>
  <c r="CG38" i="2"/>
  <c r="CG46" i="2"/>
  <c r="CG73" i="2"/>
  <c r="CG83" i="2"/>
  <c r="CG7" i="2"/>
  <c r="CG40" i="2"/>
  <c r="CG49" i="2"/>
  <c r="CG82" i="2"/>
  <c r="CG61" i="2"/>
  <c r="CG81" i="2"/>
  <c r="CG89" i="2"/>
  <c r="CG8" i="2"/>
  <c r="CG51" i="2"/>
  <c r="CG57" i="2"/>
  <c r="CG42" i="2"/>
  <c r="CG56" i="2"/>
  <c r="CG55" i="2"/>
  <c r="CG71" i="2"/>
  <c r="CG72" i="2"/>
  <c r="CG47" i="2"/>
  <c r="CG69" i="2"/>
  <c r="CG77" i="2"/>
  <c r="CG85" i="2"/>
  <c r="CG43" i="2"/>
  <c r="CG84" i="2"/>
  <c r="CG78" i="2"/>
  <c r="CG87" i="2"/>
  <c r="CG79" i="2"/>
  <c r="CG86" i="2"/>
  <c r="CG80" i="2"/>
  <c r="CG88" i="2"/>
  <c r="BW26" i="2"/>
  <c r="BO26" i="2"/>
  <c r="CD26" i="2"/>
  <c r="BV26" i="2"/>
  <c r="BN26" i="2"/>
  <c r="BY62" i="2"/>
  <c r="CC26" i="2"/>
  <c r="BU26" i="2"/>
  <c r="CB26" i="2"/>
  <c r="BT26" i="2"/>
  <c r="CE26" i="2"/>
  <c r="CA26" i="2"/>
  <c r="BS26" i="2"/>
  <c r="R62" i="2"/>
  <c r="CE62" i="2"/>
  <c r="CD62" i="2"/>
  <c r="BV62" i="2"/>
  <c r="BN62" i="2"/>
  <c r="BZ26" i="2"/>
  <c r="BR26" i="2"/>
  <c r="CC62" i="2"/>
  <c r="BU62" i="2"/>
  <c r="BY26" i="2"/>
  <c r="BQ26" i="2"/>
  <c r="CB62" i="2"/>
  <c r="BT62" i="2"/>
  <c r="CF26" i="2"/>
  <c r="BX26" i="2"/>
  <c r="BP26" i="2"/>
  <c r="Q63" i="2"/>
  <c r="AD3" i="4"/>
  <c r="AC2" i="4"/>
  <c r="S28" i="2"/>
  <c r="Q27" i="2"/>
  <c r="R27" i="2" l="1"/>
  <c r="R63" i="2"/>
  <c r="CF63" i="2"/>
  <c r="BZ63" i="2"/>
  <c r="BR63" i="2"/>
  <c r="CB27" i="2"/>
  <c r="BT27" i="2"/>
  <c r="BY63" i="2"/>
  <c r="BQ63" i="2"/>
  <c r="CA27" i="2"/>
  <c r="BS27" i="2"/>
  <c r="CG63" i="2"/>
  <c r="BX63" i="2"/>
  <c r="BP63" i="2"/>
  <c r="BZ27" i="2"/>
  <c r="BR27" i="2"/>
  <c r="CG27" i="2"/>
  <c r="CE63" i="2"/>
  <c r="BW63" i="2"/>
  <c r="BO63" i="2"/>
  <c r="CF27" i="2"/>
  <c r="BY27" i="2"/>
  <c r="BQ27" i="2"/>
  <c r="CD63" i="2"/>
  <c r="BV63" i="2"/>
  <c r="BN63" i="2"/>
  <c r="BX27" i="2"/>
  <c r="BP27" i="2"/>
  <c r="CC63" i="2"/>
  <c r="BU63" i="2"/>
  <c r="CE27" i="2"/>
  <c r="BW27" i="2"/>
  <c r="BO27" i="2"/>
  <c r="CB63" i="2"/>
  <c r="BT63" i="2"/>
  <c r="CD27" i="2"/>
  <c r="BV27" i="2"/>
  <c r="BN27" i="2"/>
  <c r="CA63" i="2"/>
  <c r="BS63" i="2"/>
  <c r="CC27" i="2"/>
  <c r="BU27" i="2"/>
  <c r="CI6" i="2"/>
  <c r="CH8" i="2"/>
  <c r="CH16" i="2"/>
  <c r="CH15" i="2"/>
  <c r="CH20" i="2"/>
  <c r="CH23" i="2"/>
  <c r="CH21" i="2"/>
  <c r="CH11" i="2"/>
  <c r="CH14" i="2"/>
  <c r="CH12" i="2"/>
  <c r="CH19" i="2"/>
  <c r="CH38" i="2"/>
  <c r="CH13" i="2"/>
  <c r="CH45" i="2"/>
  <c r="CH53" i="2"/>
  <c r="CH26" i="2"/>
  <c r="CH18" i="2"/>
  <c r="CH27" i="2"/>
  <c r="CH9" i="2"/>
  <c r="CH47" i="2"/>
  <c r="CH61" i="2"/>
  <c r="CH69" i="2"/>
  <c r="CH24" i="2"/>
  <c r="CH41" i="2"/>
  <c r="CH50" i="2"/>
  <c r="CH60" i="2"/>
  <c r="CH76" i="2"/>
  <c r="CH22" i="2"/>
  <c r="CH59" i="2"/>
  <c r="CH17" i="2"/>
  <c r="CH40" i="2"/>
  <c r="CH44" i="2"/>
  <c r="CH49" i="2"/>
  <c r="CH55" i="2"/>
  <c r="CH63" i="2"/>
  <c r="CH71" i="2"/>
  <c r="CH39" i="2"/>
  <c r="CH43" i="2"/>
  <c r="CH84" i="2"/>
  <c r="CH46" i="2"/>
  <c r="CH73" i="2"/>
  <c r="CH75" i="2"/>
  <c r="CH83" i="2"/>
  <c r="CH7" i="2"/>
  <c r="CH52" i="2"/>
  <c r="CH62" i="2"/>
  <c r="CH82" i="2"/>
  <c r="CH25" i="2"/>
  <c r="CH48" i="2"/>
  <c r="CH58" i="2"/>
  <c r="CH51" i="2"/>
  <c r="CH57" i="2"/>
  <c r="CH42" i="2"/>
  <c r="CH56" i="2"/>
  <c r="CH10" i="2"/>
  <c r="CH54" i="2"/>
  <c r="CH70" i="2"/>
  <c r="CH72" i="2"/>
  <c r="CH78" i="2"/>
  <c r="CH86" i="2"/>
  <c r="CH77" i="2"/>
  <c r="CH85" i="2"/>
  <c r="CH87" i="2"/>
  <c r="CH81" i="2"/>
  <c r="CH79" i="2"/>
  <c r="CH74" i="2"/>
  <c r="CH89" i="2"/>
  <c r="CH80" i="2"/>
  <c r="CH88" i="2"/>
  <c r="Q64" i="2"/>
  <c r="AE3" i="4"/>
  <c r="AD2" i="4"/>
  <c r="S29" i="2"/>
  <c r="Q28" i="2"/>
  <c r="CA28" i="2" s="1"/>
  <c r="BR28" i="2" l="1"/>
  <c r="BZ28" i="2"/>
  <c r="BV28" i="2"/>
  <c r="BN28" i="2"/>
  <c r="CD28" i="2"/>
  <c r="CH28" i="2"/>
  <c r="CC28" i="2"/>
  <c r="R64" i="2"/>
  <c r="CH64" i="2"/>
  <c r="BQ28" i="2"/>
  <c r="BU28" i="2"/>
  <c r="BS28" i="2"/>
  <c r="CC64" i="2"/>
  <c r="CD64" i="2"/>
  <c r="BV64" i="2"/>
  <c r="BN64" i="2"/>
  <c r="BU64" i="2"/>
  <c r="CB28" i="2"/>
  <c r="BT28" i="2"/>
  <c r="CB64" i="2"/>
  <c r="BT64" i="2"/>
  <c r="CA64" i="2"/>
  <c r="BS64" i="2"/>
  <c r="BZ64" i="2"/>
  <c r="BR64" i="2"/>
  <c r="BY28" i="2"/>
  <c r="BY64" i="2"/>
  <c r="BQ64" i="2"/>
  <c r="R28" i="2"/>
  <c r="CG28" i="2"/>
  <c r="CF28" i="2"/>
  <c r="BX28" i="2"/>
  <c r="BP28" i="2"/>
  <c r="CF64" i="2"/>
  <c r="BX64" i="2"/>
  <c r="BP64" i="2"/>
  <c r="CJ6" i="2"/>
  <c r="CI9" i="2"/>
  <c r="CI17" i="2"/>
  <c r="CI12" i="2"/>
  <c r="CI26" i="2"/>
  <c r="CI8" i="2"/>
  <c r="CI10" i="2"/>
  <c r="CI15" i="2"/>
  <c r="CI19" i="2"/>
  <c r="CI24" i="2"/>
  <c r="CI25" i="2"/>
  <c r="CI11" i="2"/>
  <c r="CI16" i="2"/>
  <c r="CI18" i="2"/>
  <c r="CI22" i="2"/>
  <c r="CI39" i="2"/>
  <c r="CI38" i="2"/>
  <c r="CI46" i="2"/>
  <c r="CI13" i="2"/>
  <c r="CI28" i="2"/>
  <c r="CI27" i="2"/>
  <c r="CI52" i="2"/>
  <c r="CI54" i="2"/>
  <c r="CI62" i="2"/>
  <c r="CI70" i="2"/>
  <c r="CI23" i="2"/>
  <c r="CI47" i="2"/>
  <c r="CI61" i="2"/>
  <c r="CI69" i="2"/>
  <c r="CI21" i="2"/>
  <c r="CI41" i="2"/>
  <c r="CI45" i="2"/>
  <c r="CI50" i="2"/>
  <c r="CI60" i="2"/>
  <c r="CI20" i="2"/>
  <c r="CI42" i="2"/>
  <c r="CI56" i="2"/>
  <c r="CI64" i="2"/>
  <c r="CI77" i="2"/>
  <c r="CI85" i="2"/>
  <c r="CI43" i="2"/>
  <c r="CI76" i="2"/>
  <c r="CI84" i="2"/>
  <c r="CI40" i="2"/>
  <c r="CI49" i="2"/>
  <c r="CI63" i="2"/>
  <c r="CI73" i="2"/>
  <c r="CI75" i="2"/>
  <c r="CI83" i="2"/>
  <c r="CI7" i="2"/>
  <c r="CI59" i="2"/>
  <c r="CI48" i="2"/>
  <c r="CI58" i="2"/>
  <c r="CI14" i="2"/>
  <c r="CI51" i="2"/>
  <c r="CI57" i="2"/>
  <c r="CI74" i="2"/>
  <c r="CI44" i="2"/>
  <c r="CI55" i="2"/>
  <c r="CI71" i="2"/>
  <c r="CI79" i="2"/>
  <c r="CI87" i="2"/>
  <c r="CI53" i="2"/>
  <c r="CI72" i="2"/>
  <c r="CI78" i="2"/>
  <c r="CI86" i="2"/>
  <c r="CI80" i="2"/>
  <c r="CI88" i="2"/>
  <c r="CI81" i="2"/>
  <c r="CI82" i="2"/>
  <c r="CI89" i="2"/>
  <c r="CE28" i="2"/>
  <c r="BW28" i="2"/>
  <c r="BO28" i="2"/>
  <c r="CE64" i="2"/>
  <c r="BW64" i="2"/>
  <c r="BO64" i="2"/>
  <c r="CG64" i="2"/>
  <c r="Q65" i="2"/>
  <c r="AF3" i="4"/>
  <c r="AE2" i="4"/>
  <c r="S30" i="2"/>
  <c r="Q29" i="2"/>
  <c r="BW29" i="2" s="1"/>
  <c r="CF29" i="2" l="1"/>
  <c r="CE29" i="2"/>
  <c r="CD29" i="2"/>
  <c r="BV29" i="2"/>
  <c r="BU29" i="2"/>
  <c r="BN29" i="2"/>
  <c r="CC29" i="2"/>
  <c r="BT29" i="2"/>
  <c r="CB29" i="2"/>
  <c r="BR29" i="2"/>
  <c r="BZ29" i="2"/>
  <c r="BQ29" i="2"/>
  <c r="BY29" i="2"/>
  <c r="BP29" i="2"/>
  <c r="R65" i="2"/>
  <c r="D8" i="5" s="1"/>
  <c r="E8" i="5" s="1"/>
  <c r="CG29" i="2"/>
  <c r="BX29" i="2"/>
  <c r="BO29" i="2"/>
  <c r="CH65" i="2"/>
  <c r="CC65" i="2"/>
  <c r="BU65" i="2"/>
  <c r="CB65" i="2"/>
  <c r="BT65" i="2"/>
  <c r="CA65" i="2"/>
  <c r="BS65" i="2"/>
  <c r="BZ65" i="2"/>
  <c r="BR65" i="2"/>
  <c r="CG65" i="2"/>
  <c r="BY65" i="2"/>
  <c r="BQ65" i="2"/>
  <c r="CI65" i="2"/>
  <c r="CF65" i="2"/>
  <c r="BX65" i="2"/>
  <c r="BP65" i="2"/>
  <c r="CE65" i="2"/>
  <c r="BW65" i="2"/>
  <c r="BO65" i="2"/>
  <c r="R29" i="2"/>
  <c r="CH29" i="2"/>
  <c r="CI29" i="2"/>
  <c r="CK6" i="2"/>
  <c r="CJ10" i="2"/>
  <c r="CJ18" i="2"/>
  <c r="CJ17" i="2"/>
  <c r="CJ22" i="2"/>
  <c r="CJ9" i="2"/>
  <c r="CJ14" i="2"/>
  <c r="CJ26" i="2"/>
  <c r="CJ27" i="2"/>
  <c r="CJ8" i="2"/>
  <c r="CJ15" i="2"/>
  <c r="CJ19" i="2"/>
  <c r="CJ13" i="2"/>
  <c r="CJ11" i="2"/>
  <c r="CJ40" i="2"/>
  <c r="CJ12" i="2"/>
  <c r="CJ39" i="2"/>
  <c r="CJ47" i="2"/>
  <c r="CJ38" i="2"/>
  <c r="CJ20" i="2"/>
  <c r="CJ25" i="2"/>
  <c r="CJ29" i="2"/>
  <c r="CJ44" i="2"/>
  <c r="CJ49" i="2"/>
  <c r="CJ55" i="2"/>
  <c r="CJ63" i="2"/>
  <c r="CJ71" i="2"/>
  <c r="CJ52" i="2"/>
  <c r="CJ54" i="2"/>
  <c r="CJ62" i="2"/>
  <c r="CJ70" i="2"/>
  <c r="CJ23" i="2"/>
  <c r="CJ24" i="2"/>
  <c r="CJ61" i="2"/>
  <c r="CJ69" i="2"/>
  <c r="CJ16" i="2"/>
  <c r="CJ43" i="2"/>
  <c r="CJ46" i="2"/>
  <c r="CJ51" i="2"/>
  <c r="CJ57" i="2"/>
  <c r="CJ65" i="2"/>
  <c r="CJ53" i="2"/>
  <c r="CJ72" i="2"/>
  <c r="CJ78" i="2"/>
  <c r="CJ86" i="2"/>
  <c r="CJ77" i="2"/>
  <c r="CJ85" i="2"/>
  <c r="CJ64" i="2"/>
  <c r="CJ76" i="2"/>
  <c r="CJ84" i="2"/>
  <c r="CJ21" i="2"/>
  <c r="CJ41" i="2"/>
  <c r="CJ45" i="2"/>
  <c r="CJ60" i="2"/>
  <c r="CJ28" i="2"/>
  <c r="CJ59" i="2"/>
  <c r="CJ48" i="2"/>
  <c r="CJ58" i="2"/>
  <c r="CJ42" i="2"/>
  <c r="CJ56" i="2"/>
  <c r="CJ74" i="2"/>
  <c r="CJ80" i="2"/>
  <c r="CJ88" i="2"/>
  <c r="CJ50" i="2"/>
  <c r="CJ79" i="2"/>
  <c r="CJ87" i="2"/>
  <c r="CJ73" i="2"/>
  <c r="CJ89" i="2"/>
  <c r="CJ75" i="2"/>
  <c r="CJ83" i="2"/>
  <c r="CJ81" i="2"/>
  <c r="CJ7" i="2"/>
  <c r="CJ82" i="2"/>
  <c r="CA29" i="2"/>
  <c r="BS29" i="2"/>
  <c r="CD65" i="2"/>
  <c r="BV65" i="2"/>
  <c r="BN65" i="2"/>
  <c r="Q66" i="2"/>
  <c r="BT66" i="2" s="1"/>
  <c r="AG3" i="4"/>
  <c r="AF2" i="4"/>
  <c r="S31" i="2"/>
  <c r="Q30" i="2"/>
  <c r="BV30" i="2" s="1"/>
  <c r="CF30" i="2" l="1"/>
  <c r="CE30" i="2"/>
  <c r="CI30" i="2"/>
  <c r="CA30" i="2"/>
  <c r="BR30" i="2"/>
  <c r="BW30" i="2"/>
  <c r="CG66" i="2"/>
  <c r="R66" i="2"/>
  <c r="CJ66" i="2"/>
  <c r="CF66" i="2"/>
  <c r="BS66" i="2"/>
  <c r="CA66" i="2"/>
  <c r="R30" i="2"/>
  <c r="CJ30" i="2"/>
  <c r="BY66" i="2"/>
  <c r="BZ30" i="2"/>
  <c r="BQ30" i="2"/>
  <c r="BX66" i="2"/>
  <c r="CH30" i="2"/>
  <c r="BY30" i="2"/>
  <c r="BP30" i="2"/>
  <c r="BU66" i="2"/>
  <c r="CG30" i="2"/>
  <c r="BX30" i="2"/>
  <c r="BO30" i="2"/>
  <c r="CC66" i="2"/>
  <c r="BQ66" i="2"/>
  <c r="CD30" i="2"/>
  <c r="BT30" i="2"/>
  <c r="CB66" i="2"/>
  <c r="BP66" i="2"/>
  <c r="CB30" i="2"/>
  <c r="BS30" i="2"/>
  <c r="CH66" i="2"/>
  <c r="BZ66" i="2"/>
  <c r="BR66" i="2"/>
  <c r="CL6" i="2"/>
  <c r="CK11" i="2"/>
  <c r="CK19" i="2"/>
  <c r="CK9" i="2"/>
  <c r="CK14" i="2"/>
  <c r="CK24" i="2"/>
  <c r="CK8" i="2"/>
  <c r="CK10" i="2"/>
  <c r="CK15" i="2"/>
  <c r="CK20" i="2"/>
  <c r="CK27" i="2"/>
  <c r="CK28" i="2"/>
  <c r="CK29" i="2"/>
  <c r="CK41" i="2"/>
  <c r="CK40" i="2"/>
  <c r="CK48" i="2"/>
  <c r="CK12" i="2"/>
  <c r="CK39" i="2"/>
  <c r="CK17" i="2"/>
  <c r="CK21" i="2"/>
  <c r="CK18" i="2"/>
  <c r="CK42" i="2"/>
  <c r="CK56" i="2"/>
  <c r="CK64" i="2"/>
  <c r="CK72" i="2"/>
  <c r="CK13" i="2"/>
  <c r="CK44" i="2"/>
  <c r="CK49" i="2"/>
  <c r="CK55" i="2"/>
  <c r="CK63" i="2"/>
  <c r="CK71" i="2"/>
  <c r="CK47" i="2"/>
  <c r="CK52" i="2"/>
  <c r="CK54" i="2"/>
  <c r="CK62" i="2"/>
  <c r="CK70" i="2"/>
  <c r="CK58" i="2"/>
  <c r="CK66" i="2"/>
  <c r="CK30" i="2"/>
  <c r="CK50" i="2"/>
  <c r="CK79" i="2"/>
  <c r="CK87" i="2"/>
  <c r="CK16" i="2"/>
  <c r="CK26" i="2"/>
  <c r="CK38" i="2"/>
  <c r="CK53" i="2"/>
  <c r="CK78" i="2"/>
  <c r="CK86" i="2"/>
  <c r="CK43" i="2"/>
  <c r="CK46" i="2"/>
  <c r="CK65" i="2"/>
  <c r="CK77" i="2"/>
  <c r="CK85" i="2"/>
  <c r="CK23" i="2"/>
  <c r="CK61" i="2"/>
  <c r="CK25" i="2"/>
  <c r="CK45" i="2"/>
  <c r="CK60" i="2"/>
  <c r="CK59" i="2"/>
  <c r="CK51" i="2"/>
  <c r="CK57" i="2"/>
  <c r="CK81" i="2"/>
  <c r="CK89" i="2"/>
  <c r="CK22" i="2"/>
  <c r="CK69" i="2"/>
  <c r="CK74" i="2"/>
  <c r="CK80" i="2"/>
  <c r="CK82" i="2"/>
  <c r="CK73" i="2"/>
  <c r="CK76" i="2"/>
  <c r="CK88" i="2"/>
  <c r="CK75" i="2"/>
  <c r="CK83" i="2"/>
  <c r="CK84" i="2"/>
  <c r="CK7" i="2"/>
  <c r="CE66" i="2"/>
  <c r="BW66" i="2"/>
  <c r="BO66" i="2"/>
  <c r="BN30" i="2"/>
  <c r="CD66" i="2"/>
  <c r="BV66" i="2"/>
  <c r="BN66" i="2"/>
  <c r="CC30" i="2"/>
  <c r="BU30" i="2"/>
  <c r="CI66" i="2"/>
  <c r="Q67" i="2"/>
  <c r="BX67" i="2" s="1"/>
  <c r="AH3" i="4"/>
  <c r="AG2" i="4"/>
  <c r="S32" i="2"/>
  <c r="Q31" i="2"/>
  <c r="BY67" i="2" l="1"/>
  <c r="BW67" i="2"/>
  <c r="BQ67" i="2"/>
  <c r="CF67" i="2"/>
  <c r="CK67" i="2"/>
  <c r="CB67" i="2"/>
  <c r="CD67" i="2"/>
  <c r="BO67" i="2"/>
  <c r="R67" i="2"/>
  <c r="D10" i="5" s="1"/>
  <c r="E10" i="5" s="1"/>
  <c r="CG67" i="2"/>
  <c r="BT67" i="2"/>
  <c r="R31" i="2"/>
  <c r="CE67" i="2"/>
  <c r="BP67" i="2"/>
  <c r="CI31" i="2"/>
  <c r="CA31" i="2"/>
  <c r="BS31" i="2"/>
  <c r="CH31" i="2"/>
  <c r="BZ31" i="2"/>
  <c r="BR31" i="2"/>
  <c r="CG31" i="2"/>
  <c r="BY31" i="2"/>
  <c r="BQ31" i="2"/>
  <c r="CK31" i="2"/>
  <c r="CF31" i="2"/>
  <c r="BX31" i="2"/>
  <c r="BP31" i="2"/>
  <c r="BV67" i="2"/>
  <c r="BN67" i="2"/>
  <c r="CE31" i="2"/>
  <c r="BW31" i="2"/>
  <c r="BO31" i="2"/>
  <c r="CC67" i="2"/>
  <c r="BU67" i="2"/>
  <c r="CD31" i="2"/>
  <c r="BV31" i="2"/>
  <c r="BN31" i="2"/>
  <c r="CM6" i="2"/>
  <c r="CL12" i="2"/>
  <c r="CL20" i="2"/>
  <c r="CL19" i="2"/>
  <c r="CL25" i="2"/>
  <c r="CL9" i="2"/>
  <c r="CL8" i="2"/>
  <c r="CL13" i="2"/>
  <c r="CL18" i="2"/>
  <c r="CL22" i="2"/>
  <c r="CL29" i="2"/>
  <c r="CL14" i="2"/>
  <c r="CL10" i="2"/>
  <c r="CL17" i="2"/>
  <c r="CL30" i="2"/>
  <c r="CL42" i="2"/>
  <c r="CL11" i="2"/>
  <c r="CL27" i="2"/>
  <c r="CL28" i="2"/>
  <c r="CL41" i="2"/>
  <c r="CL49" i="2"/>
  <c r="CL40" i="2"/>
  <c r="CL16" i="2"/>
  <c r="CL23" i="2"/>
  <c r="CL43" i="2"/>
  <c r="CL46" i="2"/>
  <c r="CL51" i="2"/>
  <c r="CL57" i="2"/>
  <c r="CL65" i="2"/>
  <c r="CL73" i="2"/>
  <c r="CL31" i="2"/>
  <c r="CL56" i="2"/>
  <c r="CL64" i="2"/>
  <c r="CL72" i="2"/>
  <c r="CL15" i="2"/>
  <c r="CL44" i="2"/>
  <c r="CL55" i="2"/>
  <c r="CL63" i="2"/>
  <c r="CL71" i="2"/>
  <c r="CL26" i="2"/>
  <c r="CL38" i="2"/>
  <c r="CL48" i="2"/>
  <c r="CL53" i="2"/>
  <c r="CL59" i="2"/>
  <c r="CL67" i="2"/>
  <c r="CL69" i="2"/>
  <c r="CL74" i="2"/>
  <c r="CL80" i="2"/>
  <c r="CL88" i="2"/>
  <c r="CL39" i="2"/>
  <c r="CL50" i="2"/>
  <c r="CL79" i="2"/>
  <c r="CL87" i="2"/>
  <c r="CL66" i="2"/>
  <c r="CL78" i="2"/>
  <c r="CL86" i="2"/>
  <c r="CL52" i="2"/>
  <c r="CL62" i="2"/>
  <c r="CL21" i="2"/>
  <c r="CL61" i="2"/>
  <c r="CL45" i="2"/>
  <c r="CL60" i="2"/>
  <c r="CL75" i="2"/>
  <c r="CL58" i="2"/>
  <c r="CL82" i="2"/>
  <c r="CL24" i="2"/>
  <c r="CL47" i="2"/>
  <c r="CL54" i="2"/>
  <c r="CL70" i="2"/>
  <c r="CL81" i="2"/>
  <c r="CL7" i="2"/>
  <c r="CL89" i="2"/>
  <c r="CL76" i="2"/>
  <c r="CL85" i="2"/>
  <c r="CL83" i="2"/>
  <c r="CL77" i="2"/>
  <c r="CL84" i="2"/>
  <c r="CC31" i="2"/>
  <c r="BU31" i="2"/>
  <c r="CI67" i="2"/>
  <c r="CA67" i="2"/>
  <c r="BS67" i="2"/>
  <c r="CJ67" i="2"/>
  <c r="CB31" i="2"/>
  <c r="BT31" i="2"/>
  <c r="CH67" i="2"/>
  <c r="BZ67" i="2"/>
  <c r="BR67" i="2"/>
  <c r="CJ31" i="2"/>
  <c r="Q68" i="2"/>
  <c r="AI3" i="4"/>
  <c r="AH2" i="4"/>
  <c r="S33" i="2"/>
  <c r="Q32" i="2"/>
  <c r="CD68" i="2" l="1"/>
  <c r="R32" i="2"/>
  <c r="R68" i="2"/>
  <c r="D9" i="5" s="1"/>
  <c r="E9" i="5" s="1"/>
  <c r="CK68" i="2"/>
  <c r="CG68" i="2"/>
  <c r="BY68" i="2"/>
  <c r="BP68" i="2"/>
  <c r="CE32" i="2"/>
  <c r="BW32" i="2"/>
  <c r="BO32" i="2"/>
  <c r="CF68" i="2"/>
  <c r="BX68" i="2"/>
  <c r="BU68" i="2"/>
  <c r="BO68" i="2"/>
  <c r="CL32" i="2"/>
  <c r="CD32" i="2"/>
  <c r="BV32" i="2"/>
  <c r="BN32" i="2"/>
  <c r="CE68" i="2"/>
  <c r="BW68" i="2"/>
  <c r="BT68" i="2"/>
  <c r="BN68" i="2"/>
  <c r="CC32" i="2"/>
  <c r="BU32" i="2"/>
  <c r="CN6" i="2"/>
  <c r="CM13" i="2"/>
  <c r="CM21" i="2"/>
  <c r="CM11" i="2"/>
  <c r="CM16" i="2"/>
  <c r="CM26" i="2"/>
  <c r="CM9" i="2"/>
  <c r="CM10" i="2"/>
  <c r="CM25" i="2"/>
  <c r="CM8" i="2"/>
  <c r="CM18" i="2"/>
  <c r="CM14" i="2"/>
  <c r="CM12" i="2"/>
  <c r="CM23" i="2"/>
  <c r="CM43" i="2"/>
  <c r="CM19" i="2"/>
  <c r="CM29" i="2"/>
  <c r="CM30" i="2"/>
  <c r="CM42" i="2"/>
  <c r="CM50" i="2"/>
  <c r="CM27" i="2"/>
  <c r="CM28" i="2"/>
  <c r="CM41" i="2"/>
  <c r="CM22" i="2"/>
  <c r="CM24" i="2"/>
  <c r="CM32" i="2"/>
  <c r="CM40" i="2"/>
  <c r="CM58" i="2"/>
  <c r="CM66" i="2"/>
  <c r="CM74" i="2"/>
  <c r="CM46" i="2"/>
  <c r="CM51" i="2"/>
  <c r="CM57" i="2"/>
  <c r="CM65" i="2"/>
  <c r="CM73" i="2"/>
  <c r="CM31" i="2"/>
  <c r="CM49" i="2"/>
  <c r="CM56" i="2"/>
  <c r="CM64" i="2"/>
  <c r="CM72" i="2"/>
  <c r="CM15" i="2"/>
  <c r="CM39" i="2"/>
  <c r="CM45" i="2"/>
  <c r="CM60" i="2"/>
  <c r="CM68" i="2"/>
  <c r="CM20" i="2"/>
  <c r="CM47" i="2"/>
  <c r="CM54" i="2"/>
  <c r="CM70" i="2"/>
  <c r="CM81" i="2"/>
  <c r="CM89" i="2"/>
  <c r="CM69" i="2"/>
  <c r="CM80" i="2"/>
  <c r="CM88" i="2"/>
  <c r="CM17" i="2"/>
  <c r="CM38" i="2"/>
  <c r="CM53" i="2"/>
  <c r="CM67" i="2"/>
  <c r="CM79" i="2"/>
  <c r="CM87" i="2"/>
  <c r="CM52" i="2"/>
  <c r="CM62" i="2"/>
  <c r="CM61" i="2"/>
  <c r="CM48" i="2"/>
  <c r="CM59" i="2"/>
  <c r="CM75" i="2"/>
  <c r="CM83" i="2"/>
  <c r="CM7" i="2"/>
  <c r="CM44" i="2"/>
  <c r="CM55" i="2"/>
  <c r="CM71" i="2"/>
  <c r="CM82" i="2"/>
  <c r="CM63" i="2"/>
  <c r="CM84" i="2"/>
  <c r="CM78" i="2"/>
  <c r="CM76" i="2"/>
  <c r="CM85" i="2"/>
  <c r="CM77" i="2"/>
  <c r="CM86" i="2"/>
  <c r="CJ32" i="2"/>
  <c r="CB32" i="2"/>
  <c r="BT32" i="2"/>
  <c r="CK32" i="2"/>
  <c r="CC68" i="2"/>
  <c r="CL68" i="2"/>
  <c r="CI32" i="2"/>
  <c r="CA32" i="2"/>
  <c r="BS32" i="2"/>
  <c r="CJ68" i="2"/>
  <c r="CB68" i="2"/>
  <c r="BR68" i="2"/>
  <c r="CH32" i="2"/>
  <c r="BZ32" i="2"/>
  <c r="BR32" i="2"/>
  <c r="CI68" i="2"/>
  <c r="CA68" i="2"/>
  <c r="BS68" i="2"/>
  <c r="CG32" i="2"/>
  <c r="BY32" i="2"/>
  <c r="BQ32" i="2"/>
  <c r="CH68" i="2"/>
  <c r="BZ68" i="2"/>
  <c r="BV68" i="2"/>
  <c r="BQ68" i="2"/>
  <c r="CF32" i="2"/>
  <c r="BX32" i="2"/>
  <c r="BP32" i="2"/>
  <c r="D6" i="5"/>
  <c r="E6" i="5" s="1"/>
  <c r="D7" i="5"/>
  <c r="E7" i="5" s="1"/>
  <c r="AJ3" i="4"/>
  <c r="AI2" i="4"/>
  <c r="S34" i="2"/>
  <c r="Q33" i="2"/>
  <c r="BT33" i="2" s="1"/>
  <c r="R33" i="2" l="1"/>
  <c r="BS33" i="2"/>
  <c r="CJ33" i="2"/>
  <c r="CB33" i="2"/>
  <c r="CI33" i="2"/>
  <c r="CA33" i="2"/>
  <c r="CD33" i="2"/>
  <c r="BV33" i="2"/>
  <c r="BN33" i="2"/>
  <c r="CK33" i="2"/>
  <c r="CC33" i="2"/>
  <c r="BU33" i="2"/>
  <c r="CH33" i="2"/>
  <c r="BZ33" i="2"/>
  <c r="BR33" i="2"/>
  <c r="CG33" i="2"/>
  <c r="BY33" i="2"/>
  <c r="BQ33" i="2"/>
  <c r="CM33" i="2"/>
  <c r="CO6" i="2"/>
  <c r="CN14" i="2"/>
  <c r="CN22" i="2"/>
  <c r="CN8" i="2"/>
  <c r="CN21" i="2"/>
  <c r="CN11" i="2"/>
  <c r="CN12" i="2"/>
  <c r="CN13" i="2"/>
  <c r="CN15" i="2"/>
  <c r="CN27" i="2"/>
  <c r="CN9" i="2"/>
  <c r="CN10" i="2"/>
  <c r="CN17" i="2"/>
  <c r="CN20" i="2"/>
  <c r="CN18" i="2"/>
  <c r="CN16" i="2"/>
  <c r="CN25" i="2"/>
  <c r="CN32" i="2"/>
  <c r="CN43" i="2"/>
  <c r="CN51" i="2"/>
  <c r="CN19" i="2"/>
  <c r="CN29" i="2"/>
  <c r="CN30" i="2"/>
  <c r="CN38" i="2"/>
  <c r="CN48" i="2"/>
  <c r="CN53" i="2"/>
  <c r="CN59" i="2"/>
  <c r="CN67" i="2"/>
  <c r="CN75" i="2"/>
  <c r="CN40" i="2"/>
  <c r="CN42" i="2"/>
  <c r="CN58" i="2"/>
  <c r="CN66" i="2"/>
  <c r="CN74" i="2"/>
  <c r="CN46" i="2"/>
  <c r="CN57" i="2"/>
  <c r="CN65" i="2"/>
  <c r="CN73" i="2"/>
  <c r="CN50" i="2"/>
  <c r="CN61" i="2"/>
  <c r="CN69" i="2"/>
  <c r="CN24" i="2"/>
  <c r="CN44" i="2"/>
  <c r="CN55" i="2"/>
  <c r="CN71" i="2"/>
  <c r="CN82" i="2"/>
  <c r="CN47" i="2"/>
  <c r="CN54" i="2"/>
  <c r="CN70" i="2"/>
  <c r="CN72" i="2"/>
  <c r="CN81" i="2"/>
  <c r="CN89" i="2"/>
  <c r="CN26" i="2"/>
  <c r="CN39" i="2"/>
  <c r="CN68" i="2"/>
  <c r="CN80" i="2"/>
  <c r="CN88" i="2"/>
  <c r="CN49" i="2"/>
  <c r="CN23" i="2"/>
  <c r="CN41" i="2"/>
  <c r="CN28" i="2"/>
  <c r="CN33" i="2"/>
  <c r="CN52" i="2"/>
  <c r="CN62" i="2"/>
  <c r="CN45" i="2"/>
  <c r="CN60" i="2"/>
  <c r="CN76" i="2"/>
  <c r="CN84" i="2"/>
  <c r="CN31" i="2"/>
  <c r="CN56" i="2"/>
  <c r="CN83" i="2"/>
  <c r="CN63" i="2"/>
  <c r="CN7" i="2"/>
  <c r="CN78" i="2"/>
  <c r="CN87" i="2"/>
  <c r="CN64" i="2"/>
  <c r="CN85" i="2"/>
  <c r="CN79" i="2"/>
  <c r="CN77" i="2"/>
  <c r="CN86" i="2"/>
  <c r="CF33" i="2"/>
  <c r="BX33" i="2"/>
  <c r="BP33" i="2"/>
  <c r="CE33" i="2"/>
  <c r="BW33" i="2"/>
  <c r="BO33" i="2"/>
  <c r="CL33" i="2"/>
  <c r="AK3" i="4"/>
  <c r="AJ2" i="4"/>
  <c r="S35" i="2"/>
  <c r="Q34" i="2"/>
  <c r="BY34" i="2" s="1"/>
  <c r="CH34" i="2" l="1"/>
  <c r="CG34" i="2"/>
  <c r="R34" i="2"/>
  <c r="BZ34" i="2"/>
  <c r="CM34" i="2"/>
  <c r="BR34" i="2"/>
  <c r="CP6" i="2"/>
  <c r="CO15" i="2"/>
  <c r="CO23" i="2"/>
  <c r="CO13" i="2"/>
  <c r="CO18" i="2"/>
  <c r="CO14" i="2"/>
  <c r="CO16" i="2"/>
  <c r="CO17" i="2"/>
  <c r="CO28" i="2"/>
  <c r="CO11" i="2"/>
  <c r="CO12" i="2"/>
  <c r="CO9" i="2"/>
  <c r="CO8" i="2"/>
  <c r="CO10" i="2"/>
  <c r="CO20" i="2"/>
  <c r="CO21" i="2"/>
  <c r="CO24" i="2"/>
  <c r="CO25" i="2"/>
  <c r="CO32" i="2"/>
  <c r="CO44" i="2"/>
  <c r="CO52" i="2"/>
  <c r="CO26" i="2"/>
  <c r="CO31" i="2"/>
  <c r="CO39" i="2"/>
  <c r="CO38" i="2"/>
  <c r="CO45" i="2"/>
  <c r="CO60" i="2"/>
  <c r="CO68" i="2"/>
  <c r="CO27" i="2"/>
  <c r="CO29" i="2"/>
  <c r="CO43" i="2"/>
  <c r="CO48" i="2"/>
  <c r="CO53" i="2"/>
  <c r="CO59" i="2"/>
  <c r="CO67" i="2"/>
  <c r="CO75" i="2"/>
  <c r="CO40" i="2"/>
  <c r="CO42" i="2"/>
  <c r="CO51" i="2"/>
  <c r="CO58" i="2"/>
  <c r="CO66" i="2"/>
  <c r="CO74" i="2"/>
  <c r="CO33" i="2"/>
  <c r="CO47" i="2"/>
  <c r="CO54" i="2"/>
  <c r="CO62" i="2"/>
  <c r="CO70" i="2"/>
  <c r="CO22" i="2"/>
  <c r="CO56" i="2"/>
  <c r="CO83" i="2"/>
  <c r="CO7" i="2"/>
  <c r="CO30" i="2"/>
  <c r="CO55" i="2"/>
  <c r="CO71" i="2"/>
  <c r="CO82" i="2"/>
  <c r="CO50" i="2"/>
  <c r="CO69" i="2"/>
  <c r="CO72" i="2"/>
  <c r="CO81" i="2"/>
  <c r="CO89" i="2"/>
  <c r="CO46" i="2"/>
  <c r="CO34" i="2"/>
  <c r="CO49" i="2"/>
  <c r="CO41" i="2"/>
  <c r="CO63" i="2"/>
  <c r="CO73" i="2"/>
  <c r="CO19" i="2"/>
  <c r="CO61" i="2"/>
  <c r="CO77" i="2"/>
  <c r="CO85" i="2"/>
  <c r="CO57" i="2"/>
  <c r="CO76" i="2"/>
  <c r="CO84" i="2"/>
  <c r="CO65" i="2"/>
  <c r="CO86" i="2"/>
  <c r="CO80" i="2"/>
  <c r="CO88" i="2"/>
  <c r="CO78" i="2"/>
  <c r="CO87" i="2"/>
  <c r="CO64" i="2"/>
  <c r="CO79" i="2"/>
  <c r="BQ34" i="2"/>
  <c r="CF34" i="2"/>
  <c r="BX34" i="2"/>
  <c r="BP34" i="2"/>
  <c r="CE34" i="2"/>
  <c r="BW34" i="2"/>
  <c r="BO34" i="2"/>
  <c r="CL34" i="2"/>
  <c r="CD34" i="2"/>
  <c r="BV34" i="2"/>
  <c r="BN34" i="2"/>
  <c r="CK34" i="2"/>
  <c r="CC34" i="2"/>
  <c r="BU34" i="2"/>
  <c r="CJ34" i="2"/>
  <c r="CB34" i="2"/>
  <c r="BT34" i="2"/>
  <c r="CN34" i="2"/>
  <c r="CI34" i="2"/>
  <c r="CA34" i="2"/>
  <c r="BS34" i="2"/>
  <c r="AL3" i="4"/>
  <c r="AK2" i="4"/>
  <c r="S36" i="2"/>
  <c r="Q35" i="2"/>
  <c r="CA35" i="2" s="1"/>
  <c r="CL35" i="2" l="1"/>
  <c r="CJ35" i="2"/>
  <c r="BS35" i="2"/>
  <c r="BR35" i="2"/>
  <c r="CD35" i="2"/>
  <c r="BV35" i="2"/>
  <c r="CB35" i="2"/>
  <c r="CM35" i="2"/>
  <c r="BT35" i="2"/>
  <c r="CE35" i="2"/>
  <c r="R35" i="2"/>
  <c r="D12" i="5" s="1"/>
  <c r="E12" i="5" s="1"/>
  <c r="CI35" i="2"/>
  <c r="BZ35" i="2"/>
  <c r="BQ35" i="2"/>
  <c r="CH35" i="2"/>
  <c r="BY35" i="2"/>
  <c r="BP35" i="2"/>
  <c r="CG35" i="2"/>
  <c r="BX35" i="2"/>
  <c r="BO35" i="2"/>
  <c r="CF35" i="2"/>
  <c r="BW35" i="2"/>
  <c r="BN35" i="2"/>
  <c r="CQ6" i="2"/>
  <c r="CP8" i="2"/>
  <c r="CP16" i="2"/>
  <c r="CP10" i="2"/>
  <c r="CP23" i="2"/>
  <c r="CP18" i="2"/>
  <c r="CP19" i="2"/>
  <c r="CP20" i="2"/>
  <c r="CP24" i="2"/>
  <c r="CP29" i="2"/>
  <c r="CP13" i="2"/>
  <c r="CP14" i="2"/>
  <c r="CP15" i="2"/>
  <c r="CP17" i="2"/>
  <c r="CP28" i="2"/>
  <c r="CP9" i="2"/>
  <c r="CP21" i="2"/>
  <c r="CP22" i="2"/>
  <c r="CP34" i="2"/>
  <c r="CP38" i="2"/>
  <c r="CP45" i="2"/>
  <c r="CP53" i="2"/>
  <c r="CP11" i="2"/>
  <c r="CP25" i="2"/>
  <c r="CP32" i="2"/>
  <c r="CP26" i="2"/>
  <c r="CP39" i="2"/>
  <c r="CP50" i="2"/>
  <c r="CP61" i="2"/>
  <c r="CP69" i="2"/>
  <c r="CP35" i="2"/>
  <c r="CP60" i="2"/>
  <c r="CP68" i="2"/>
  <c r="CP27" i="2"/>
  <c r="CP43" i="2"/>
  <c r="CP48" i="2"/>
  <c r="CP59" i="2"/>
  <c r="CP67" i="2"/>
  <c r="CP30" i="2"/>
  <c r="CP41" i="2"/>
  <c r="CP52" i="2"/>
  <c r="CP55" i="2"/>
  <c r="CP63" i="2"/>
  <c r="CP71" i="2"/>
  <c r="CP31" i="2"/>
  <c r="CP57" i="2"/>
  <c r="CP76" i="2"/>
  <c r="CP84" i="2"/>
  <c r="CP44" i="2"/>
  <c r="CP56" i="2"/>
  <c r="CP74" i="2"/>
  <c r="CP83" i="2"/>
  <c r="CP7" i="2"/>
  <c r="CP12" i="2"/>
  <c r="CP47" i="2"/>
  <c r="CP54" i="2"/>
  <c r="CP70" i="2"/>
  <c r="CP82" i="2"/>
  <c r="CP40" i="2"/>
  <c r="CP46" i="2"/>
  <c r="CP49" i="2"/>
  <c r="CP64" i="2"/>
  <c r="CP33" i="2"/>
  <c r="CP62" i="2"/>
  <c r="CP73" i="2"/>
  <c r="CP78" i="2"/>
  <c r="CP86" i="2"/>
  <c r="CP42" i="2"/>
  <c r="CP51" i="2"/>
  <c r="CP58" i="2"/>
  <c r="CP75" i="2"/>
  <c r="CP77" i="2"/>
  <c r="CP85" i="2"/>
  <c r="CP65" i="2"/>
  <c r="CP80" i="2"/>
  <c r="CP89" i="2"/>
  <c r="CP88" i="2"/>
  <c r="CP66" i="2"/>
  <c r="CP72" i="2"/>
  <c r="CP87" i="2"/>
  <c r="CP81" i="2"/>
  <c r="CP79" i="2"/>
  <c r="CK35" i="2"/>
  <c r="CC35" i="2"/>
  <c r="BU35" i="2"/>
  <c r="CO35" i="2"/>
  <c r="CN35" i="2"/>
  <c r="AM3" i="4"/>
  <c r="AL2" i="4"/>
  <c r="Q36" i="2"/>
  <c r="S37" i="2" l="1"/>
  <c r="R36" i="2"/>
  <c r="CK36" i="2"/>
  <c r="CC36" i="2"/>
  <c r="BU36" i="2"/>
  <c r="CP36" i="2"/>
  <c r="CJ36" i="2"/>
  <c r="CB36" i="2"/>
  <c r="BT36" i="2"/>
  <c r="CI36" i="2"/>
  <c r="CA36" i="2"/>
  <c r="BS36" i="2"/>
  <c r="CR6" i="2"/>
  <c r="CQ9" i="2"/>
  <c r="CQ17" i="2"/>
  <c r="CQ15" i="2"/>
  <c r="CQ20" i="2"/>
  <c r="CQ21" i="2"/>
  <c r="CQ22" i="2"/>
  <c r="CQ16" i="2"/>
  <c r="CQ18" i="2"/>
  <c r="CQ12" i="2"/>
  <c r="CQ23" i="2"/>
  <c r="CQ30" i="2"/>
  <c r="CQ13" i="2"/>
  <c r="CQ11" i="2"/>
  <c r="CQ24" i="2"/>
  <c r="CQ8" i="2"/>
  <c r="CQ26" i="2"/>
  <c r="CQ31" i="2"/>
  <c r="CQ39" i="2"/>
  <c r="CQ10" i="2"/>
  <c r="CQ34" i="2"/>
  <c r="CQ38" i="2"/>
  <c r="CQ46" i="2"/>
  <c r="CQ33" i="2"/>
  <c r="CQ47" i="2"/>
  <c r="CQ54" i="2"/>
  <c r="CQ62" i="2"/>
  <c r="CQ70" i="2"/>
  <c r="CQ32" i="2"/>
  <c r="CQ36" i="2"/>
  <c r="CQ45" i="2"/>
  <c r="CQ50" i="2"/>
  <c r="CQ61" i="2"/>
  <c r="CQ69" i="2"/>
  <c r="CQ29" i="2"/>
  <c r="CQ35" i="2"/>
  <c r="CQ53" i="2"/>
  <c r="CQ60" i="2"/>
  <c r="CQ68" i="2"/>
  <c r="CQ14" i="2"/>
  <c r="CQ19" i="2"/>
  <c r="CQ28" i="2"/>
  <c r="CQ44" i="2"/>
  <c r="CQ49" i="2"/>
  <c r="CQ56" i="2"/>
  <c r="CQ64" i="2"/>
  <c r="CQ42" i="2"/>
  <c r="CQ51" i="2"/>
  <c r="CQ58" i="2"/>
  <c r="CQ75" i="2"/>
  <c r="CQ77" i="2"/>
  <c r="CQ85" i="2"/>
  <c r="CQ57" i="2"/>
  <c r="CQ76" i="2"/>
  <c r="CQ84" i="2"/>
  <c r="CQ55" i="2"/>
  <c r="CQ71" i="2"/>
  <c r="CQ74" i="2"/>
  <c r="CQ83" i="2"/>
  <c r="CQ7" i="2"/>
  <c r="CQ43" i="2"/>
  <c r="CQ40" i="2"/>
  <c r="CQ25" i="2"/>
  <c r="CQ65" i="2"/>
  <c r="CQ41" i="2"/>
  <c r="CQ52" i="2"/>
  <c r="CQ63" i="2"/>
  <c r="CQ79" i="2"/>
  <c r="CQ87" i="2"/>
  <c r="CQ27" i="2"/>
  <c r="CQ48" i="2"/>
  <c r="CQ59" i="2"/>
  <c r="CQ73" i="2"/>
  <c r="CQ78" i="2"/>
  <c r="CQ86" i="2"/>
  <c r="CQ67" i="2"/>
  <c r="CQ82" i="2"/>
  <c r="CQ80" i="2"/>
  <c r="CQ89" i="2"/>
  <c r="CQ88" i="2"/>
  <c r="CQ66" i="2"/>
  <c r="CQ72" i="2"/>
  <c r="CQ81" i="2"/>
  <c r="CH36" i="2"/>
  <c r="BZ36" i="2"/>
  <c r="BR36" i="2"/>
  <c r="CO36" i="2"/>
  <c r="CG36" i="2"/>
  <c r="BY36" i="2"/>
  <c r="BQ36" i="2"/>
  <c r="CN36" i="2"/>
  <c r="CF36" i="2"/>
  <c r="BX36" i="2"/>
  <c r="BP36" i="2"/>
  <c r="CM36" i="2"/>
  <c r="CE36" i="2"/>
  <c r="BW36" i="2"/>
  <c r="BO36" i="2"/>
  <c r="CL36" i="2"/>
  <c r="CD36" i="2"/>
  <c r="BV36" i="2"/>
  <c r="BN36" i="2"/>
  <c r="Q37" i="2"/>
  <c r="AN3" i="4"/>
  <c r="AM2" i="4"/>
  <c r="BP37" i="2" l="1"/>
  <c r="CM37" i="2"/>
  <c r="CE37" i="2"/>
  <c r="BW37" i="2"/>
  <c r="BO37" i="2"/>
  <c r="CL37" i="2"/>
  <c r="CD37" i="2"/>
  <c r="BV37" i="2"/>
  <c r="BN37" i="2"/>
  <c r="CP37" i="2"/>
  <c r="CK37" i="2"/>
  <c r="CC37" i="2"/>
  <c r="BU37" i="2"/>
  <c r="CJ37" i="2"/>
  <c r="CB37" i="2"/>
  <c r="BT37" i="2"/>
  <c r="CI37" i="2"/>
  <c r="CA37" i="2"/>
  <c r="BS37" i="2"/>
  <c r="CH37" i="2"/>
  <c r="BZ37" i="2"/>
  <c r="BR37" i="2"/>
  <c r="CR10" i="2"/>
  <c r="CR18" i="2"/>
  <c r="CR12" i="2"/>
  <c r="CR23" i="2"/>
  <c r="CR26" i="2"/>
  <c r="CR31" i="2"/>
  <c r="CR17" i="2"/>
  <c r="CR13" i="2"/>
  <c r="CR19" i="2"/>
  <c r="CR9" i="2"/>
  <c r="CR40" i="2"/>
  <c r="CR8" i="2"/>
  <c r="CR20" i="2"/>
  <c r="CR21" i="2"/>
  <c r="CR22" i="2"/>
  <c r="CR24" i="2"/>
  <c r="CR39" i="2"/>
  <c r="CR47" i="2"/>
  <c r="CR34" i="2"/>
  <c r="CR38" i="2"/>
  <c r="CR15" i="2"/>
  <c r="CR27" i="2"/>
  <c r="CR16" i="2"/>
  <c r="CR33" i="2"/>
  <c r="CR41" i="2"/>
  <c r="CR52" i="2"/>
  <c r="CR55" i="2"/>
  <c r="CR63" i="2"/>
  <c r="CR71" i="2"/>
  <c r="CR11" i="2"/>
  <c r="CR37" i="2"/>
  <c r="CR54" i="2"/>
  <c r="CR62" i="2"/>
  <c r="CR70" i="2"/>
  <c r="CR32" i="2"/>
  <c r="CR36" i="2"/>
  <c r="CR45" i="2"/>
  <c r="CR50" i="2"/>
  <c r="CR61" i="2"/>
  <c r="CR69" i="2"/>
  <c r="CR25" i="2"/>
  <c r="CR57" i="2"/>
  <c r="CR65" i="2"/>
  <c r="CR48" i="2"/>
  <c r="CR59" i="2"/>
  <c r="CR73" i="2"/>
  <c r="CR78" i="2"/>
  <c r="CR86" i="2"/>
  <c r="CR42" i="2"/>
  <c r="CR51" i="2"/>
  <c r="CR58" i="2"/>
  <c r="CR75" i="2"/>
  <c r="CR77" i="2"/>
  <c r="CR85" i="2"/>
  <c r="CR30" i="2"/>
  <c r="CR44" i="2"/>
  <c r="CR56" i="2"/>
  <c r="CR76" i="2"/>
  <c r="CR84" i="2"/>
  <c r="CR29" i="2"/>
  <c r="CR35" i="2"/>
  <c r="CR53" i="2"/>
  <c r="CR43" i="2"/>
  <c r="CR46" i="2"/>
  <c r="CR66" i="2"/>
  <c r="CR72" i="2"/>
  <c r="CR14" i="2"/>
  <c r="CR28" i="2"/>
  <c r="CR49" i="2"/>
  <c r="CR64" i="2"/>
  <c r="CR80" i="2"/>
  <c r="CR88" i="2"/>
  <c r="CR60" i="2"/>
  <c r="CR79" i="2"/>
  <c r="CR67" i="2"/>
  <c r="CR82" i="2"/>
  <c r="CR7" i="2"/>
  <c r="CR68" i="2"/>
  <c r="CR89" i="2"/>
  <c r="CR83" i="2"/>
  <c r="CR87" i="2"/>
  <c r="CR74" i="2"/>
  <c r="CR81" i="2"/>
  <c r="CO37" i="2"/>
  <c r="CG37" i="2"/>
  <c r="BY37" i="2"/>
  <c r="BQ37" i="2"/>
  <c r="CQ37" i="2"/>
  <c r="CN37" i="2"/>
  <c r="CF37" i="2"/>
  <c r="BX37" i="2"/>
  <c r="R37" i="2"/>
  <c r="D11" i="5" s="1"/>
  <c r="E11" i="5" s="1"/>
  <c r="AO3" i="4"/>
  <c r="AN2" i="4"/>
  <c r="D13" i="5" l="1"/>
  <c r="E13" i="5" s="1"/>
  <c r="AO2" i="4"/>
  <c r="I66" i="4"/>
  <c r="J66" i="4" s="1"/>
  <c r="I65" i="4"/>
  <c r="J65" i="4" s="1"/>
  <c r="I71" i="4"/>
  <c r="J71" i="4" s="1"/>
  <c r="I70" i="4"/>
  <c r="J70" i="4" s="1"/>
  <c r="I69" i="4"/>
  <c r="J69" i="4" s="1"/>
  <c r="I68" i="4"/>
  <c r="J68" i="4" s="1"/>
  <c r="I67" i="4"/>
  <c r="J67" i="4" s="1"/>
  <c r="I57" i="4"/>
  <c r="J57" i="4" s="1"/>
  <c r="I58" i="4"/>
  <c r="J58" i="4" s="1"/>
  <c r="I59" i="4"/>
  <c r="J59" i="4" s="1"/>
  <c r="I56" i="4"/>
  <c r="J56" i="4" s="1"/>
  <c r="I54" i="4"/>
  <c r="J54" i="4" s="1"/>
  <c r="I63" i="4"/>
  <c r="J63" i="4" s="1"/>
  <c r="I51" i="4"/>
  <c r="J51" i="4" s="1"/>
  <c r="I49" i="4"/>
  <c r="J49" i="4" s="1"/>
  <c r="I47" i="4"/>
  <c r="J47" i="4" s="1"/>
  <c r="I14" i="4"/>
  <c r="J14" i="4" s="1"/>
  <c r="I15" i="4"/>
  <c r="J15" i="4" s="1"/>
  <c r="I44" i="4"/>
  <c r="J44" i="4" s="1"/>
  <c r="I60" i="4"/>
  <c r="J60" i="4" s="1"/>
  <c r="I8" i="4"/>
  <c r="J8" i="4" s="1"/>
  <c r="I43" i="4"/>
  <c r="J43" i="4" s="1"/>
  <c r="I11" i="4"/>
  <c r="J11" i="4" s="1"/>
  <c r="I50" i="4"/>
  <c r="J50" i="4" s="1"/>
  <c r="I41" i="4"/>
  <c r="J41" i="4" s="1"/>
  <c r="I46" i="4"/>
  <c r="J46" i="4" s="1"/>
  <c r="I12" i="4"/>
  <c r="J12" i="4" s="1"/>
  <c r="I19" i="4"/>
  <c r="J19" i="4" s="1"/>
  <c r="I20" i="4"/>
  <c r="J20" i="4" s="1"/>
  <c r="I48" i="4"/>
  <c r="J48" i="4" s="1"/>
  <c r="I61" i="4"/>
  <c r="J61" i="4" s="1"/>
  <c r="I5" i="4"/>
  <c r="J5" i="4" s="1"/>
  <c r="I9" i="4"/>
  <c r="J9" i="4" s="1"/>
  <c r="I45" i="4"/>
  <c r="J45" i="4" s="1"/>
  <c r="I10" i="4"/>
  <c r="J10" i="4" s="1"/>
  <c r="I7" i="4"/>
  <c r="J7" i="4" s="1"/>
  <c r="I52" i="4"/>
  <c r="J52" i="4" s="1"/>
  <c r="I18" i="4"/>
  <c r="J18" i="4" s="1"/>
  <c r="I17" i="4"/>
  <c r="J17" i="4" s="1"/>
  <c r="I40" i="4"/>
  <c r="J40" i="4" s="1"/>
  <c r="I62" i="4"/>
  <c r="J62" i="4" s="1"/>
  <c r="I21" i="4"/>
  <c r="J21" i="4" s="1"/>
  <c r="I36" i="4"/>
  <c r="J36" i="4" s="1"/>
  <c r="I29" i="4"/>
  <c r="J29" i="4" s="1"/>
  <c r="I27" i="4"/>
  <c r="J27" i="4" s="1"/>
  <c r="I34" i="4"/>
  <c r="J34" i="4" s="1"/>
  <c r="I37" i="4"/>
  <c r="J37" i="4" s="1"/>
  <c r="I22" i="4"/>
  <c r="J22" i="4" s="1"/>
  <c r="I26" i="4"/>
  <c r="J26" i="4" s="1"/>
  <c r="I39" i="4"/>
  <c r="J39" i="4" s="1"/>
  <c r="I23" i="4"/>
  <c r="J23" i="4" s="1"/>
  <c r="I38" i="4"/>
  <c r="J38" i="4" s="1"/>
  <c r="I31" i="4"/>
  <c r="J31" i="4" s="1"/>
  <c r="I35" i="4"/>
  <c r="J35" i="4" s="1"/>
  <c r="I33" i="4"/>
  <c r="J33" i="4" s="1"/>
  <c r="I30" i="4"/>
  <c r="J30" i="4" s="1"/>
  <c r="I25" i="4"/>
  <c r="J25" i="4" s="1"/>
  <c r="I28" i="4"/>
  <c r="J28" i="4" s="1"/>
  <c r="I32" i="4"/>
  <c r="J32" i="4" s="1"/>
  <c r="I24" i="4"/>
  <c r="J24" i="4" s="1"/>
  <c r="I13" i="4"/>
  <c r="J13" i="4" s="1"/>
  <c r="I16" i="4"/>
  <c r="J16" i="4" s="1"/>
  <c r="I53" i="4"/>
  <c r="J53" i="4" s="1"/>
  <c r="I55" i="4"/>
  <c r="J55" i="4" s="1"/>
  <c r="I6" i="4"/>
  <c r="J6" i="4" s="1"/>
  <c r="I42" i="4"/>
  <c r="J42" i="4" s="1"/>
  <c r="I64" i="4" l="1"/>
  <c r="J64" i="4" s="1"/>
  <c r="I4" i="4" l="1"/>
  <c r="J4" i="4" s="1"/>
</calcChain>
</file>

<file path=xl/sharedStrings.xml><?xml version="1.0" encoding="utf-8"?>
<sst xmlns="http://schemas.openxmlformats.org/spreadsheetml/2006/main" count="2003" uniqueCount="317">
  <si>
    <t>Code Ubicacion</t>
  </si>
  <si>
    <t>BR</t>
  </si>
  <si>
    <t>BC</t>
  </si>
  <si>
    <t>Fecha Alta Traffico</t>
  </si>
  <si>
    <t>Horario traffico</t>
  </si>
  <si>
    <t>Prioridad</t>
  </si>
  <si>
    <t>Latitud</t>
  </si>
  <si>
    <t>Longitud</t>
  </si>
  <si>
    <t>Tipo DF/CP</t>
  </si>
  <si>
    <t>Rural</t>
  </si>
  <si>
    <t>BTS Upgrade</t>
  </si>
  <si>
    <t>Zone 5%</t>
  </si>
  <si>
    <t>Universidad</t>
  </si>
  <si>
    <t xml:space="preserve">Plaza </t>
  </si>
  <si>
    <t>Grifo</t>
  </si>
  <si>
    <t>Nota</t>
  </si>
  <si>
    <t>Meta</t>
  </si>
  <si>
    <t>Prepago</t>
  </si>
  <si>
    <t>Postpago</t>
  </si>
  <si>
    <t>Bipay cashin 20%
(minimo 5 soles)</t>
  </si>
  <si>
    <t>MNP</t>
  </si>
  <si>
    <t>Creacion de Agentes/Negocio</t>
  </si>
  <si>
    <t>Usuarios Bipay</t>
  </si>
  <si>
    <t>Pago de Servicios</t>
  </si>
  <si>
    <t>Meta Tusami</t>
  </si>
  <si>
    <t>TV360</t>
  </si>
  <si>
    <t>Gasto</t>
  </si>
  <si>
    <t>Pago Comida</t>
  </si>
  <si>
    <t>Pago Hotel</t>
  </si>
  <si>
    <t>Pago Movilidad</t>
  </si>
  <si>
    <t>Pago Renta Local</t>
  </si>
  <si>
    <t>Gasto total</t>
  </si>
  <si>
    <t>DEPARTAMENTO</t>
  </si>
  <si>
    <t>LI3BR</t>
  </si>
  <si>
    <t>LI3BC12</t>
  </si>
  <si>
    <t>LIMA</t>
  </si>
  <si>
    <t>SURCO</t>
  </si>
  <si>
    <t>LI3BC11</t>
  </si>
  <si>
    <t>SAN JUAN DE MIRAFLORES 2</t>
  </si>
  <si>
    <t>LI3BC06</t>
  </si>
  <si>
    <t>LI3BC03</t>
  </si>
  <si>
    <t>CHORRILLOS</t>
  </si>
  <si>
    <t>LI3BC07</t>
  </si>
  <si>
    <t>SAN JUAN DE MIRAFLORES 1</t>
  </si>
  <si>
    <t>LI2BC13</t>
  </si>
  <si>
    <t>SAN BORJA</t>
  </si>
  <si>
    <t>LI3BC10</t>
  </si>
  <si>
    <t>PACHACAMAC</t>
  </si>
  <si>
    <t>LI3BC08</t>
  </si>
  <si>
    <t>SURQUILLO</t>
  </si>
  <si>
    <t>MIRAFLORES</t>
  </si>
  <si>
    <t>LI2BC11</t>
  </si>
  <si>
    <t>LA MOLINA</t>
  </si>
  <si>
    <t>BARRANCO</t>
  </si>
  <si>
    <t>CIENEGUILLA</t>
  </si>
  <si>
    <t>SANJUAN MIRAFLORES</t>
  </si>
  <si>
    <t>SURCO + BARRANCO</t>
  </si>
  <si>
    <t>SURQUILLO + MIRAFLORES</t>
  </si>
  <si>
    <t>DISTRITO</t>
  </si>
  <si>
    <t>CP01</t>
  </si>
  <si>
    <t>CP02</t>
  </si>
  <si>
    <t>CP03</t>
  </si>
  <si>
    <t>CP04</t>
  </si>
  <si>
    <t>CP05</t>
  </si>
  <si>
    <t>CP06</t>
  </si>
  <si>
    <t>CP07</t>
  </si>
  <si>
    <t>CP08</t>
  </si>
  <si>
    <t>CP09</t>
  </si>
  <si>
    <t>CP10</t>
  </si>
  <si>
    <t>CP11</t>
  </si>
  <si>
    <t>CP12</t>
  </si>
  <si>
    <t>CP13</t>
  </si>
  <si>
    <t>CP14</t>
  </si>
  <si>
    <t>CP15</t>
  </si>
  <si>
    <t>CP16</t>
  </si>
  <si>
    <t>CP17</t>
  </si>
  <si>
    <t>CP18</t>
  </si>
  <si>
    <t>CP19</t>
  </si>
  <si>
    <t>CP20</t>
  </si>
  <si>
    <t>CP21</t>
  </si>
  <si>
    <t>CP22</t>
  </si>
  <si>
    <t>CP23</t>
  </si>
  <si>
    <t>CP24</t>
  </si>
  <si>
    <t>CP25</t>
  </si>
  <si>
    <t>CP26</t>
  </si>
  <si>
    <t>CP27</t>
  </si>
  <si>
    <t>CP28</t>
  </si>
  <si>
    <t>CP29</t>
  </si>
  <si>
    <t>CP30</t>
  </si>
  <si>
    <t>CP31</t>
  </si>
  <si>
    <t>CP32</t>
  </si>
  <si>
    <t>CP33</t>
  </si>
  <si>
    <t>CP34</t>
  </si>
  <si>
    <t>CP35</t>
  </si>
  <si>
    <t>CP36</t>
  </si>
  <si>
    <t>CP37</t>
  </si>
  <si>
    <t>CP38</t>
  </si>
  <si>
    <t>CP39</t>
  </si>
  <si>
    <t>CP40</t>
  </si>
  <si>
    <t>CP41</t>
  </si>
  <si>
    <t>CP42</t>
  </si>
  <si>
    <t>CP43</t>
  </si>
  <si>
    <t>CP44</t>
  </si>
  <si>
    <t>CP45</t>
  </si>
  <si>
    <t>CP46</t>
  </si>
  <si>
    <t>CP47</t>
  </si>
  <si>
    <t>CP48</t>
  </si>
  <si>
    <t>CP49</t>
  </si>
  <si>
    <t>CP50</t>
  </si>
  <si>
    <t>CP51</t>
  </si>
  <si>
    <t>CP52</t>
  </si>
  <si>
    <t>CP53</t>
  </si>
  <si>
    <t>CP54</t>
  </si>
  <si>
    <t>CP55</t>
  </si>
  <si>
    <t>CP56</t>
  </si>
  <si>
    <t>CP57</t>
  </si>
  <si>
    <t>CP58</t>
  </si>
  <si>
    <t>CP59</t>
  </si>
  <si>
    <t>CP60</t>
  </si>
  <si>
    <t>CP61</t>
  </si>
  <si>
    <t>CP62</t>
  </si>
  <si>
    <t>CP63</t>
  </si>
  <si>
    <t>CP64</t>
  </si>
  <si>
    <t>CP65</t>
  </si>
  <si>
    <t>CP66</t>
  </si>
  <si>
    <t>CP67</t>
  </si>
  <si>
    <t>CP68</t>
  </si>
  <si>
    <t>CP69</t>
  </si>
  <si>
    <t>CP70</t>
  </si>
  <si>
    <t>CP71</t>
  </si>
  <si>
    <t>CP72</t>
  </si>
  <si>
    <t>CP73</t>
  </si>
  <si>
    <t>CP74</t>
  </si>
  <si>
    <t>CP75</t>
  </si>
  <si>
    <t>CP76</t>
  </si>
  <si>
    <t>CP77</t>
  </si>
  <si>
    <t>CP78</t>
  </si>
  <si>
    <t>CP79</t>
  </si>
  <si>
    <t>CP80</t>
  </si>
  <si>
    <t>CP81</t>
  </si>
  <si>
    <t>Mercado</t>
  </si>
  <si>
    <t>16:00 - 19:00</t>
  </si>
  <si>
    <t>8:00 - 16:00</t>
  </si>
  <si>
    <t>8:00 - 13:00</t>
  </si>
  <si>
    <t>09:00 - 17:00</t>
  </si>
  <si>
    <t>09:00 - 16:00</t>
  </si>
  <si>
    <t>8:00 - 12:00</t>
  </si>
  <si>
    <t>10:00 - 16:00</t>
  </si>
  <si>
    <t>7:00 - 19:00</t>
  </si>
  <si>
    <t>8:00 - 14:00</t>
  </si>
  <si>
    <t>09:00 - 18:00</t>
  </si>
  <si>
    <t>12:00 - 18:00</t>
  </si>
  <si>
    <t>End</t>
  </si>
  <si>
    <t>Resultado</t>
  </si>
  <si>
    <t>% Resultado</t>
  </si>
  <si>
    <t>Merchadising</t>
  </si>
  <si>
    <t>Papin</t>
  </si>
  <si>
    <t>Bolígrafo</t>
  </si>
  <si>
    <t>Taza</t>
  </si>
  <si>
    <t>LLavero</t>
  </si>
  <si>
    <t>Sombrero</t>
  </si>
  <si>
    <t>CUMPLE ACTIVACIONES</t>
  </si>
  <si>
    <t xml:space="preserve">Cumple Digital </t>
  </si>
  <si>
    <t>CAMPAÑA OK</t>
  </si>
  <si>
    <t>Merchandising</t>
  </si>
  <si>
    <t>ENVIDENCIA DE PAGA Gatos</t>
  </si>
  <si>
    <t>Assistente Check and Note</t>
  </si>
  <si>
    <t>People InCharge</t>
  </si>
  <si>
    <t>PR Code</t>
  </si>
  <si>
    <t>Leader (AF/BC)</t>
  </si>
  <si>
    <t>Grupo</t>
  </si>
  <si>
    <t>Grupo 1</t>
  </si>
  <si>
    <t>Cantidad día hacer campaña</t>
  </si>
  <si>
    <t>Tipo de PR</t>
  </si>
  <si>
    <t>Exclusive</t>
  </si>
  <si>
    <t>Nuevo</t>
  </si>
  <si>
    <t>Cantidad Dia de Trabajo</t>
  </si>
  <si>
    <t>Part-time</t>
  </si>
  <si>
    <t>Start Date</t>
  </si>
  <si>
    <t>KPI Trabajo</t>
  </si>
  <si>
    <t>OK/NO OK</t>
  </si>
  <si>
    <t>SUNDAY</t>
  </si>
  <si>
    <t>Overtime/ Ontime</t>
  </si>
  <si>
    <t>OK</t>
  </si>
  <si>
    <t>NO OK</t>
  </si>
  <si>
    <t>JBC</t>
  </si>
  <si>
    <t>AF</t>
  </si>
  <si>
    <t>SUB-BC</t>
  </si>
  <si>
    <t>AD</t>
  </si>
  <si>
    <t>PR A</t>
  </si>
  <si>
    <t>PR B</t>
  </si>
  <si>
    <t>Grupo 2</t>
  </si>
  <si>
    <t>Grupo 3</t>
  </si>
  <si>
    <t>Grupo 4</t>
  </si>
  <si>
    <t>Input here</t>
  </si>
  <si>
    <t>No tocar</t>
  </si>
  <si>
    <t>LI3PR10116</t>
  </si>
  <si>
    <t>LI3PR10204</t>
  </si>
  <si>
    <t>LI3PR10060</t>
  </si>
  <si>
    <t>LI3PR10146</t>
  </si>
  <si>
    <t>LI3PR10096</t>
  </si>
  <si>
    <t>LI3PR09899</t>
  </si>
  <si>
    <t>LI3PR10087</t>
  </si>
  <si>
    <t>LI3PR10099</t>
  </si>
  <si>
    <t>LI3PR10140</t>
  </si>
  <si>
    <t>LI3PR10137</t>
  </si>
  <si>
    <t>LI3PR10080</t>
  </si>
  <si>
    <t>LI3PR10188</t>
  </si>
  <si>
    <t>LI3PR10180</t>
  </si>
  <si>
    <t>LI3PR10114</t>
  </si>
  <si>
    <t>LI3PR10113</t>
  </si>
  <si>
    <t>LI3PR10207</t>
  </si>
  <si>
    <t>LI3PR10209</t>
  </si>
  <si>
    <t>LI3PR10110</t>
  </si>
  <si>
    <t>LI3PR10132</t>
  </si>
  <si>
    <t>LI3PR10117</t>
  </si>
  <si>
    <t>LI3PR10228</t>
  </si>
  <si>
    <t>LI3PR10210</t>
  </si>
  <si>
    <t>LI3PR10009</t>
  </si>
  <si>
    <t>LI3PR10233</t>
  </si>
  <si>
    <t>LI3PR10185</t>
  </si>
  <si>
    <t>LI3PR10184</t>
  </si>
  <si>
    <t>LI3PR10145</t>
  </si>
  <si>
    <t>LI3PR10153</t>
  </si>
  <si>
    <t>LI3PR10051</t>
  </si>
  <si>
    <t>LI3PR10104</t>
  </si>
  <si>
    <t>LI3PR10149</t>
  </si>
  <si>
    <t>LI3PR10141</t>
  </si>
  <si>
    <t>LI3PR10109</t>
  </si>
  <si>
    <t>LI3PR10199</t>
  </si>
  <si>
    <t>LI3PR10198</t>
  </si>
  <si>
    <t>LI3PR10196</t>
  </si>
  <si>
    <t>LI3PR10195</t>
  </si>
  <si>
    <t>LI3PR10194</t>
  </si>
  <si>
    <t>LI3PR10193</t>
  </si>
  <si>
    <t>LI3PR10186</t>
  </si>
  <si>
    <t>LI3PR10191</t>
  </si>
  <si>
    <t>LI3PR10138</t>
  </si>
  <si>
    <t>LI3PR10089</t>
  </si>
  <si>
    <t>LI3PR10156</t>
  </si>
  <si>
    <t>LI3PR10167</t>
  </si>
  <si>
    <t>LI3PR09973</t>
  </si>
  <si>
    <t>LI3PR10230</t>
  </si>
  <si>
    <t>LI3PR10211</t>
  </si>
  <si>
    <t>LI3PR10206</t>
  </si>
  <si>
    <t>LI3PR10202</t>
  </si>
  <si>
    <t>LI3PR10187</t>
  </si>
  <si>
    <t>LI3PR09964</t>
  </si>
  <si>
    <t>LI3PR10091</t>
  </si>
  <si>
    <t>LI3PR10175</t>
  </si>
  <si>
    <t>LI3PR10152</t>
  </si>
  <si>
    <t>LI3PR10183</t>
  </si>
  <si>
    <t>LI3PR10143</t>
  </si>
  <si>
    <t>LI3PR10065</t>
  </si>
  <si>
    <t>LI3PR10139</t>
  </si>
  <si>
    <t>LI3PR10118</t>
  </si>
  <si>
    <t>LI3PR10178</t>
  </si>
  <si>
    <t>LI3PR10150</t>
  </si>
  <si>
    <t>LI3PR10101</t>
  </si>
  <si>
    <t>LI3PR10190</t>
  </si>
  <si>
    <t>LI3PR10045</t>
  </si>
  <si>
    <t>LI3PR10081</t>
  </si>
  <si>
    <t>LI3PR10108</t>
  </si>
  <si>
    <t>LI3PR10136</t>
  </si>
  <si>
    <t>owner_code</t>
  </si>
  <si>
    <t>AF_ANACC_LI3</t>
  </si>
  <si>
    <t>AF_JHONBV_LI3</t>
  </si>
  <si>
    <t>AF_MADELEYRE_LI3</t>
  </si>
  <si>
    <t>AF_ISOLINAME_LI3</t>
  </si>
  <si>
    <t>AF_ANGELAH1_LI3</t>
  </si>
  <si>
    <t>AF_ANAIC_LI3</t>
  </si>
  <si>
    <t>AF_DIEGORC_LI3</t>
  </si>
  <si>
    <t>AF_JOELCS_LI3</t>
  </si>
  <si>
    <t>AF_ERNESTOCP_LI3</t>
  </si>
  <si>
    <t>AF_ANGIELG_LI3</t>
  </si>
  <si>
    <t>AF_JHAIRJM2_LI3</t>
  </si>
  <si>
    <t>AF_RUBIRC_LI3</t>
  </si>
  <si>
    <t>AF_MARIAJM2_LI3</t>
  </si>
  <si>
    <t>AF_BRYANGS2_LI3</t>
  </si>
  <si>
    <t>AF_ESTEPHANYJM_LI3</t>
  </si>
  <si>
    <t>AF_YULIANAYM_LI3</t>
  </si>
  <si>
    <t>Grupo/Code PR</t>
  </si>
  <si>
    <t>CAMPAÑA CHECKLIST (Gente, MKT)</t>
  </si>
  <si>
    <t>% Result</t>
  </si>
  <si>
    <t>MONDAY</t>
  </si>
  <si>
    <t>TUESDAY</t>
  </si>
  <si>
    <t>WEDNESDAY</t>
  </si>
  <si>
    <t>THURSDAY</t>
  </si>
  <si>
    <t>FRIDAY</t>
  </si>
  <si>
    <t>SATURDAY</t>
  </si>
  <si>
    <t>WEEKEND</t>
  </si>
  <si>
    <t>WEEKDAY</t>
  </si>
  <si>
    <t>Check Traffic day</t>
  </si>
  <si>
    <t>nên bán buổi sáng</t>
  </si>
  <si>
    <t>Pilot Mercado</t>
  </si>
  <si>
    <t>Caro ?</t>
  </si>
  <si>
    <t>DFCode/BTS Code</t>
  </si>
  <si>
    <t>LI3DF9</t>
  </si>
  <si>
    <t>DF Fijo</t>
  </si>
  <si>
    <t>Campana</t>
  </si>
  <si>
    <t>Mobile</t>
  </si>
  <si>
    <t>Meta Activation</t>
  </si>
  <si>
    <t>Meta MNP</t>
  </si>
  <si>
    <t>Result Activation</t>
  </si>
  <si>
    <t>Result MNP</t>
  </si>
  <si>
    <t>% Result Active</t>
  </si>
  <si>
    <t>% Result MNP</t>
  </si>
  <si>
    <t>Digital</t>
  </si>
  <si>
    <t>Meta TV360</t>
  </si>
  <si>
    <t>Meta Usuarios Bipay</t>
  </si>
  <si>
    <t>Resultado TV360</t>
  </si>
  <si>
    <t>Resultado Usuarios Bipay</t>
  </si>
  <si>
    <t>% Resultado Usuarios Bipay</t>
  </si>
  <si>
    <t>% Resultado TV360</t>
  </si>
  <si>
    <t>Total</t>
  </si>
  <si>
    <t>No Tocar</t>
  </si>
  <si>
    <t xml:space="preserve">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</si>
</sst>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Times New Roman"/>
      <family val="1"/>
    </font>
    <font>
      <b/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&quot;Times New Roman&quot;"/>
    </font>
    <font>
      <sz val="12"/>
      <color theme="1"/>
      <name val="Times New Roman"/>
      <family val="1"/>
    </font>
    <font>
      <sz val="12"/>
      <name val="Times New Roman"/>
      <family val="1"/>
    </font>
    <font>
      <sz val="8"/>
      <name val="Aptos Narrow"/>
      <family val="2"/>
      <scheme val="minor"/>
    </font>
    <font>
      <sz val="1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rial"/>
      <family val="2"/>
    </font>
    <font>
      <sz val="12"/>
      <color theme="7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vertical="center"/>
    </xf>
    <xf numFmtId="0" fontId="8" fillId="0" borderId="1" xfId="0" applyFont="1" applyBorder="1"/>
    <xf numFmtId="0" fontId="9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12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14" fontId="2" fillId="3" borderId="0" xfId="0" applyNumberFormat="1" applyFont="1" applyFill="1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 textRotation="180"/>
    </xf>
    <xf numFmtId="0" fontId="7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4" fillId="0" borderId="0" xfId="0" applyFont="1" applyFill="1"/>
    <xf numFmtId="0" fontId="0" fillId="0" borderId="0" xfId="0" applyBorder="1"/>
    <xf numFmtId="0" fontId="0" fillId="0" borderId="0" xfId="0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9" fontId="0" fillId="0" borderId="1" xfId="1" applyFont="1" applyBorder="1"/>
    <xf numFmtId="0" fontId="16" fillId="0" borderId="1" xfId="0" applyFont="1" applyBorder="1"/>
    <xf numFmtId="9" fontId="16" fillId="0" borderId="1" xfId="1" applyFont="1" applyBorder="1"/>
    <xf numFmtId="0" fontId="0" fillId="3" borderId="1" xfId="0" applyFill="1" applyBorder="1" applyAlignment="1">
      <alignment horizont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5">
    <dxf>
      <fill>
        <patternFill>
          <bgColor theme="7"/>
        </patternFill>
      </fill>
    </dxf>
    <dxf>
      <font>
        <color theme="0"/>
      </font>
    </dxf>
    <dxf>
      <fill>
        <patternFill>
          <fgColor theme="7"/>
          <bgColor theme="7"/>
        </patternFill>
      </fill>
    </dxf>
    <dxf>
      <font>
        <color theme="0"/>
      </font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3625-FB7F-E54E-94B0-A1321082BDFC}">
  <dimension ref="A2:Q13"/>
  <sheetViews>
    <sheetView tabSelected="1" workbookViewId="0">
      <selection activeCell="L18" sqref="L18"/>
    </sheetView>
  </sheetViews>
  <sheetFormatPr baseColWidth="10" defaultRowHeight="16"/>
  <cols>
    <col min="3" max="3" width="15.5" customWidth="1"/>
    <col min="6" max="6" width="13.83203125" bestFit="1" customWidth="1"/>
    <col min="7" max="7" width="9.5" bestFit="1" customWidth="1"/>
    <col min="12" max="12" width="14.83203125" style="59" customWidth="1"/>
    <col min="14" max="14" width="14.5" customWidth="1"/>
    <col min="16" max="16" width="17.6640625" customWidth="1"/>
  </cols>
  <sheetData>
    <row r="2" spans="1:17">
      <c r="B2" s="61" t="s">
        <v>2</v>
      </c>
      <c r="C2" s="62" t="s">
        <v>299</v>
      </c>
      <c r="D2" s="62"/>
      <c r="E2" s="62"/>
      <c r="F2" s="63" t="s">
        <v>300</v>
      </c>
      <c r="G2" s="63"/>
      <c r="H2" s="63"/>
      <c r="I2" s="63"/>
      <c r="J2" s="63"/>
      <c r="K2" s="63"/>
      <c r="L2" s="64" t="s">
        <v>307</v>
      </c>
      <c r="M2" s="64"/>
      <c r="N2" s="64"/>
      <c r="O2" s="64"/>
      <c r="P2" s="64"/>
      <c r="Q2" s="64"/>
    </row>
    <row r="3" spans="1:17" ht="51">
      <c r="A3" s="60"/>
      <c r="B3" s="61"/>
      <c r="C3" s="65" t="s">
        <v>16</v>
      </c>
      <c r="D3" s="65" t="s">
        <v>153</v>
      </c>
      <c r="E3" s="65" t="s">
        <v>283</v>
      </c>
      <c r="F3" s="65" t="s">
        <v>301</v>
      </c>
      <c r="G3" s="65" t="s">
        <v>302</v>
      </c>
      <c r="H3" s="65" t="s">
        <v>303</v>
      </c>
      <c r="I3" s="65" t="s">
        <v>304</v>
      </c>
      <c r="J3" s="65" t="s">
        <v>305</v>
      </c>
      <c r="K3" s="65" t="s">
        <v>306</v>
      </c>
      <c r="L3" s="65" t="s">
        <v>309</v>
      </c>
      <c r="M3" s="65" t="s">
        <v>308</v>
      </c>
      <c r="N3" s="65" t="s">
        <v>311</v>
      </c>
      <c r="O3" s="65" t="s">
        <v>310</v>
      </c>
      <c r="P3" s="65" t="s">
        <v>312</v>
      </c>
      <c r="Q3" s="65" t="s">
        <v>313</v>
      </c>
    </row>
    <row r="4" spans="1:17" ht="17">
      <c r="B4" s="66" t="s">
        <v>34</v>
      </c>
      <c r="C4" s="32">
        <f>COUNTIFS('Plan CP'!B:B,General!B4)</f>
        <v>7</v>
      </c>
      <c r="D4" s="32">
        <f ca="1">COUNTIFS('Plan CP'!B:B,General!B4,'Plan CP'!R:R,"OK")</f>
        <v>3</v>
      </c>
      <c r="E4" s="67">
        <f ca="1">D4/C4</f>
        <v>0.42857142857142855</v>
      </c>
      <c r="F4" s="32">
        <f>SUMIFS('Plan CP'!T:T,'Plan CP'!B:B,General!B4)+SUMIFS('Plan CP'!U:U,'Plan CP'!B:B,General!B4)</f>
        <v>195</v>
      </c>
      <c r="G4" s="32">
        <f>SUMIFS('Plan CP'!X:X,'Plan CP'!B:B,General!B4)</f>
        <v>28</v>
      </c>
      <c r="H4" s="32">
        <f>SUMIFS('Plan CP'!AV:AV,'Plan CP'!B:B,General!B4)+SUMIFS('Plan CP'!AW:AW,'Plan CP'!B:B,General!B4)</f>
        <v>77</v>
      </c>
      <c r="I4" s="32">
        <f>SUMIFS('Plan CP'!AZ:AZ,'Plan CP'!B:B,General!B4)</f>
        <v>14</v>
      </c>
      <c r="J4" s="67">
        <f>H4/F4</f>
        <v>0.39487179487179486</v>
      </c>
      <c r="K4" s="67">
        <f>I4/G4</f>
        <v>0.5</v>
      </c>
      <c r="L4" s="32">
        <f>SUMIFS('Plan CP'!Z:Z,'Plan CP'!B:B,General!B4)</f>
        <v>30</v>
      </c>
      <c r="M4" s="32">
        <f>SUMIFS('Plan CP'!W:W,'Plan CP'!B:B,General!B4)</f>
        <v>46</v>
      </c>
      <c r="N4" s="32">
        <f>SUMIFS('Plan CP'!B:B,'Plan CP'!B:B,General!B4)</f>
        <v>0</v>
      </c>
      <c r="O4" s="32">
        <f>SUMIFS('Plan CP'!AI:AI,'Plan CP'!B:B,General!B4)</f>
        <v>35</v>
      </c>
      <c r="P4" s="67">
        <f>IFERROR(N4/L4,0)</f>
        <v>0</v>
      </c>
      <c r="Q4" s="67">
        <f>O4/M4</f>
        <v>0.76086956521739135</v>
      </c>
    </row>
    <row r="5" spans="1:17" ht="17">
      <c r="B5" s="66" t="s">
        <v>37</v>
      </c>
      <c r="C5" s="32">
        <f>COUNTIFS('Plan CP'!B:B,General!B5)</f>
        <v>2</v>
      </c>
      <c r="D5" s="32">
        <f ca="1">COUNTIFS('Plan CP'!B:B,General!B5,'Plan CP'!R:R,"OK")</f>
        <v>1</v>
      </c>
      <c r="E5" s="67">
        <f t="shared" ref="E5:E13" ca="1" si="0">D5/C5</f>
        <v>0.5</v>
      </c>
      <c r="F5" s="32">
        <f>SUMIFS('Plan CP'!T:T,'Plan CP'!B:B,General!B5)+SUMIFS('Plan CP'!U:U,'Plan CP'!B:B,General!B5)</f>
        <v>50</v>
      </c>
      <c r="G5" s="32">
        <f>SUMIFS('Plan CP'!X:X,'Plan CP'!B:B,General!B5)</f>
        <v>8</v>
      </c>
      <c r="H5" s="32">
        <f>SUMIFS('Plan CP'!AV:AV,'Plan CP'!B:B,General!B5)+SUMIFS('Plan CP'!AW:AW,'Plan CP'!B:B,General!B5)</f>
        <v>22</v>
      </c>
      <c r="I5" s="32">
        <f>SUMIFS('Plan CP'!AZ:AZ,'Plan CP'!B:B,General!B5)</f>
        <v>4</v>
      </c>
      <c r="J5" s="67">
        <f t="shared" ref="J5:J13" si="1">H5/F5</f>
        <v>0.44</v>
      </c>
      <c r="K5" s="67">
        <f t="shared" ref="K5:K13" si="2">I5/G5</f>
        <v>0.5</v>
      </c>
      <c r="L5" s="32">
        <f>SUMIFS('Plan CP'!Z:Z,'Plan CP'!B:B,General!B5)</f>
        <v>0</v>
      </c>
      <c r="M5" s="32">
        <f>SUMIFS('Plan CP'!W:W,'Plan CP'!B:B,General!B5)</f>
        <v>17</v>
      </c>
      <c r="N5" s="32">
        <f>SUMIFS('Plan CP'!B:B,'Plan CP'!B:B,General!B5)</f>
        <v>0</v>
      </c>
      <c r="O5" s="32">
        <f>SUMIFS('Plan CP'!AI:AI,'Plan CP'!B:B,General!B5)</f>
        <v>10</v>
      </c>
      <c r="P5" s="67">
        <f t="shared" ref="P5:P13" si="3">IFERROR(N5/L5,0)</f>
        <v>0</v>
      </c>
      <c r="Q5" s="67">
        <f t="shared" ref="Q5:Q13" si="4">O5/M5</f>
        <v>0.58823529411764708</v>
      </c>
    </row>
    <row r="6" spans="1:17" ht="17">
      <c r="B6" s="66" t="s">
        <v>39</v>
      </c>
      <c r="C6" s="32">
        <f>COUNTIFS('Plan CP'!B:B,General!B6)</f>
        <v>14</v>
      </c>
      <c r="D6" s="32">
        <f ca="1">COUNTIFS('Plan CP'!B:B,General!B6,'Plan CP'!R:R,"OK")</f>
        <v>6</v>
      </c>
      <c r="E6" s="67">
        <f t="shared" ca="1" si="0"/>
        <v>0.42857142857142855</v>
      </c>
      <c r="F6" s="32">
        <f>SUMIFS('Plan CP'!T:T,'Plan CP'!B:B,General!B6)+SUMIFS('Plan CP'!U:U,'Plan CP'!B:B,General!B6)</f>
        <v>426</v>
      </c>
      <c r="G6" s="32">
        <f>SUMIFS('Plan CP'!X:X,'Plan CP'!B:B,General!B6)</f>
        <v>60</v>
      </c>
      <c r="H6" s="32">
        <f>SUMIFS('Plan CP'!AV:AV,'Plan CP'!B:B,General!B6)+SUMIFS('Plan CP'!AW:AW,'Plan CP'!B:B,General!B6)</f>
        <v>154</v>
      </c>
      <c r="I6" s="32">
        <f>SUMIFS('Plan CP'!AZ:AZ,'Plan CP'!B:B,General!B6)</f>
        <v>28</v>
      </c>
      <c r="J6" s="67">
        <f t="shared" si="1"/>
        <v>0.36150234741784038</v>
      </c>
      <c r="K6" s="67">
        <f t="shared" si="2"/>
        <v>0.46666666666666667</v>
      </c>
      <c r="L6" s="32">
        <f>SUMIFS('Plan CP'!Z:Z,'Plan CP'!B:B,General!B6)</f>
        <v>60</v>
      </c>
      <c r="M6" s="32">
        <f>SUMIFS('Plan CP'!W:W,'Plan CP'!B:B,General!B6)</f>
        <v>96</v>
      </c>
      <c r="N6" s="32">
        <f>SUMIFS('Plan CP'!B:B,'Plan CP'!B:B,General!B6)</f>
        <v>0</v>
      </c>
      <c r="O6" s="32">
        <f>SUMIFS('Plan CP'!AI:AI,'Plan CP'!B:B,General!B6)</f>
        <v>70</v>
      </c>
      <c r="P6" s="67">
        <f t="shared" si="3"/>
        <v>0</v>
      </c>
      <c r="Q6" s="67">
        <f t="shared" si="4"/>
        <v>0.72916666666666663</v>
      </c>
    </row>
    <row r="7" spans="1:17" ht="17">
      <c r="B7" s="66" t="s">
        <v>40</v>
      </c>
      <c r="C7" s="32">
        <f>COUNTIFS('Plan CP'!B:B,General!B7)</f>
        <v>10</v>
      </c>
      <c r="D7" s="32">
        <f ca="1">COUNTIFS('Plan CP'!B:B,General!B7,'Plan CP'!R:R,"OK")</f>
        <v>4</v>
      </c>
      <c r="E7" s="67">
        <f t="shared" ca="1" si="0"/>
        <v>0.4</v>
      </c>
      <c r="F7" s="32">
        <f>SUMIFS('Plan CP'!T:T,'Plan CP'!B:B,General!B7)+SUMIFS('Plan CP'!U:U,'Plan CP'!B:B,General!B7)</f>
        <v>294</v>
      </c>
      <c r="G7" s="32">
        <f>SUMIFS('Plan CP'!X:X,'Plan CP'!B:B,General!B7)</f>
        <v>42</v>
      </c>
      <c r="H7" s="32">
        <f>SUMIFS('Plan CP'!AV:AV,'Plan CP'!B:B,General!B7)+SUMIFS('Plan CP'!AW:AW,'Plan CP'!B:B,General!B7)</f>
        <v>110</v>
      </c>
      <c r="I7" s="32">
        <f>SUMIFS('Plan CP'!AZ:AZ,'Plan CP'!B:B,General!B7)</f>
        <v>20</v>
      </c>
      <c r="J7" s="67">
        <f t="shared" si="1"/>
        <v>0.37414965986394561</v>
      </c>
      <c r="K7" s="67">
        <f t="shared" si="2"/>
        <v>0.47619047619047616</v>
      </c>
      <c r="L7" s="32">
        <f>SUMIFS('Plan CP'!Z:Z,'Plan CP'!B:B,General!B7)</f>
        <v>15</v>
      </c>
      <c r="M7" s="32">
        <f>SUMIFS('Plan CP'!W:W,'Plan CP'!B:B,General!B7)</f>
        <v>69</v>
      </c>
      <c r="N7" s="32">
        <f>SUMIFS('Plan CP'!B:B,'Plan CP'!B:B,General!B7)</f>
        <v>0</v>
      </c>
      <c r="O7" s="32">
        <f>SUMIFS('Plan CP'!AI:AI,'Plan CP'!B:B,General!B7)</f>
        <v>50</v>
      </c>
      <c r="P7" s="67">
        <f t="shared" si="3"/>
        <v>0</v>
      </c>
      <c r="Q7" s="67">
        <f t="shared" si="4"/>
        <v>0.72463768115942029</v>
      </c>
    </row>
    <row r="8" spans="1:17" ht="17">
      <c r="B8" s="66" t="s">
        <v>42</v>
      </c>
      <c r="C8" s="32">
        <f>COUNTIFS('Plan CP'!B:B,General!B8)</f>
        <v>3</v>
      </c>
      <c r="D8" s="32">
        <f ca="1">COUNTIFS('Plan CP'!B:B,General!B8,'Plan CP'!R:R,"OK")</f>
        <v>2</v>
      </c>
      <c r="E8" s="67">
        <f t="shared" ca="1" si="0"/>
        <v>0.66666666666666663</v>
      </c>
      <c r="F8" s="32">
        <f>SUMIFS('Plan CP'!T:T,'Plan CP'!B:B,General!B8)+SUMIFS('Plan CP'!U:U,'Plan CP'!B:B,General!B8)</f>
        <v>67</v>
      </c>
      <c r="G8" s="32">
        <f>SUMIFS('Plan CP'!X:X,'Plan CP'!B:B,General!B8)</f>
        <v>12</v>
      </c>
      <c r="H8" s="32">
        <f>SUMIFS('Plan CP'!AV:AV,'Plan CP'!B:B,General!B8)+SUMIFS('Plan CP'!AW:AW,'Plan CP'!B:B,General!B8)</f>
        <v>33</v>
      </c>
      <c r="I8" s="32">
        <f>SUMIFS('Plan CP'!AZ:AZ,'Plan CP'!B:B,General!B8)</f>
        <v>6</v>
      </c>
      <c r="J8" s="67">
        <f t="shared" si="1"/>
        <v>0.4925373134328358</v>
      </c>
      <c r="K8" s="67">
        <f t="shared" si="2"/>
        <v>0.5</v>
      </c>
      <c r="L8" s="32">
        <f>SUMIFS('Plan CP'!Z:Z,'Plan CP'!B:B,General!B8)</f>
        <v>0</v>
      </c>
      <c r="M8" s="32">
        <f>SUMIFS('Plan CP'!W:W,'Plan CP'!B:B,General!B8)</f>
        <v>30</v>
      </c>
      <c r="N8" s="32">
        <f>SUMIFS('Plan CP'!B:B,'Plan CP'!B:B,General!B8)</f>
        <v>0</v>
      </c>
      <c r="O8" s="32">
        <f>SUMIFS('Plan CP'!AI:AI,'Plan CP'!B:B,General!B8)</f>
        <v>15</v>
      </c>
      <c r="P8" s="67">
        <f t="shared" si="3"/>
        <v>0</v>
      </c>
      <c r="Q8" s="67">
        <f t="shared" si="4"/>
        <v>0.5</v>
      </c>
    </row>
    <row r="9" spans="1:17" ht="17">
      <c r="B9" s="66" t="s">
        <v>44</v>
      </c>
      <c r="C9" s="32">
        <f>COUNTIFS('Plan CP'!B:B,General!B9)</f>
        <v>7</v>
      </c>
      <c r="D9" s="32">
        <f ca="1">COUNTIFS('Plan CP'!B:B,General!B9,'Plan CP'!R:R,"OK")</f>
        <v>5</v>
      </c>
      <c r="E9" s="67">
        <f t="shared" ca="1" si="0"/>
        <v>0.7142857142857143</v>
      </c>
      <c r="F9" s="32">
        <f>SUMIFS('Plan CP'!T:T,'Plan CP'!B:B,General!B9)+SUMIFS('Plan CP'!U:U,'Plan CP'!B:B,General!B9)</f>
        <v>220</v>
      </c>
      <c r="G9" s="32">
        <f>SUMIFS('Plan CP'!X:X,'Plan CP'!B:B,General!B9)</f>
        <v>31</v>
      </c>
      <c r="H9" s="32">
        <f>SUMIFS('Plan CP'!AV:AV,'Plan CP'!B:B,General!B9)+SUMIFS('Plan CP'!AW:AW,'Plan CP'!B:B,General!B9)</f>
        <v>77</v>
      </c>
      <c r="I9" s="32">
        <f>SUMIFS('Plan CP'!AZ:AZ,'Plan CP'!B:B,General!B9)</f>
        <v>14</v>
      </c>
      <c r="J9" s="67">
        <f t="shared" si="1"/>
        <v>0.35</v>
      </c>
      <c r="K9" s="67">
        <f t="shared" si="2"/>
        <v>0.45161290322580644</v>
      </c>
      <c r="L9" s="32">
        <f>SUMIFS('Plan CP'!Z:Z,'Plan CP'!B:B,General!B9)</f>
        <v>45</v>
      </c>
      <c r="M9" s="32">
        <f>SUMIFS('Plan CP'!W:W,'Plan CP'!B:B,General!B9)</f>
        <v>49</v>
      </c>
      <c r="N9" s="32">
        <f>SUMIFS('Plan CP'!B:B,'Plan CP'!B:B,General!B9)</f>
        <v>0</v>
      </c>
      <c r="O9" s="32">
        <f>SUMIFS('Plan CP'!AI:AI,'Plan CP'!B:B,General!B9)</f>
        <v>35</v>
      </c>
      <c r="P9" s="67">
        <f t="shared" si="3"/>
        <v>0</v>
      </c>
      <c r="Q9" s="67">
        <f t="shared" si="4"/>
        <v>0.7142857142857143</v>
      </c>
    </row>
    <row r="10" spans="1:17" ht="17">
      <c r="B10" s="66" t="s">
        <v>46</v>
      </c>
      <c r="C10" s="32">
        <f>COUNTIFS('Plan CP'!B:B,General!B10)</f>
        <v>8</v>
      </c>
      <c r="D10" s="32">
        <f ca="1">COUNTIFS('Plan CP'!B:B,General!B10,'Plan CP'!R:R,"OK")</f>
        <v>1</v>
      </c>
      <c r="E10" s="67">
        <f t="shared" ca="1" si="0"/>
        <v>0.125</v>
      </c>
      <c r="F10" s="32">
        <f>SUMIFS('Plan CP'!T:T,'Plan CP'!B:B,General!B10)+SUMIFS('Plan CP'!U:U,'Plan CP'!B:B,General!B10)</f>
        <v>258</v>
      </c>
      <c r="G10" s="32">
        <f>SUMIFS('Plan CP'!X:X,'Plan CP'!B:B,General!B10)</f>
        <v>36</v>
      </c>
      <c r="H10" s="32">
        <f>SUMIFS('Plan CP'!AV:AV,'Plan CP'!B:B,General!B10)+SUMIFS('Plan CP'!AW:AW,'Plan CP'!B:B,General!B10)</f>
        <v>88</v>
      </c>
      <c r="I10" s="32">
        <f>SUMIFS('Plan CP'!AZ:AZ,'Plan CP'!B:B,General!B10)</f>
        <v>16</v>
      </c>
      <c r="J10" s="67">
        <f t="shared" si="1"/>
        <v>0.34108527131782945</v>
      </c>
      <c r="K10" s="67">
        <f t="shared" si="2"/>
        <v>0.44444444444444442</v>
      </c>
      <c r="L10" s="32">
        <f>SUMIFS('Plan CP'!Z:Z,'Plan CP'!B:B,General!B10)</f>
        <v>45</v>
      </c>
      <c r="M10" s="32">
        <f>SUMIFS('Plan CP'!W:W,'Plan CP'!B:B,General!B10)</f>
        <v>54</v>
      </c>
      <c r="N10" s="32">
        <f>SUMIFS('Plan CP'!B:B,'Plan CP'!B:B,General!B10)</f>
        <v>0</v>
      </c>
      <c r="O10" s="32">
        <f>SUMIFS('Plan CP'!AI:AI,'Plan CP'!B:B,General!B10)</f>
        <v>40</v>
      </c>
      <c r="P10" s="67">
        <f t="shared" si="3"/>
        <v>0</v>
      </c>
      <c r="Q10" s="67">
        <f t="shared" si="4"/>
        <v>0.7407407407407407</v>
      </c>
    </row>
    <row r="11" spans="1:17" ht="17">
      <c r="B11" s="66" t="s">
        <v>48</v>
      </c>
      <c r="C11" s="32">
        <f>COUNTIFS('Plan CP'!B:B,General!B11)</f>
        <v>16</v>
      </c>
      <c r="D11" s="32">
        <f ca="1">COUNTIFS('Plan CP'!B:B,General!B11,'Plan CP'!R:R,"OK")</f>
        <v>7</v>
      </c>
      <c r="E11" s="67">
        <f t="shared" ca="1" si="0"/>
        <v>0.4375</v>
      </c>
      <c r="F11" s="32">
        <f>SUMIFS('Plan CP'!T:T,'Plan CP'!B:B,General!B11)+SUMIFS('Plan CP'!U:U,'Plan CP'!B:B,General!B11)</f>
        <v>509</v>
      </c>
      <c r="G11" s="32">
        <f>SUMIFS('Plan CP'!X:X,'Plan CP'!B:B,General!B11)</f>
        <v>73</v>
      </c>
      <c r="H11" s="32">
        <f>SUMIFS('Plan CP'!AV:AV,'Plan CP'!B:B,General!B11)+SUMIFS('Plan CP'!AW:AW,'Plan CP'!B:B,General!B11)</f>
        <v>176</v>
      </c>
      <c r="I11" s="32">
        <f>SUMIFS('Plan CP'!AZ:AZ,'Plan CP'!B:B,General!B11)</f>
        <v>32</v>
      </c>
      <c r="J11" s="67">
        <f t="shared" si="1"/>
        <v>0.34577603143418467</v>
      </c>
      <c r="K11" s="67">
        <f t="shared" si="2"/>
        <v>0.43835616438356162</v>
      </c>
      <c r="L11" s="32">
        <f>SUMIFS('Plan CP'!Z:Z,'Plan CP'!B:B,General!B11)</f>
        <v>120</v>
      </c>
      <c r="M11" s="32">
        <f>SUMIFS('Plan CP'!W:W,'Plan CP'!B:B,General!B11)</f>
        <v>118</v>
      </c>
      <c r="N11" s="32">
        <f>SUMIFS('Plan CP'!B:B,'Plan CP'!B:B,General!B11)</f>
        <v>0</v>
      </c>
      <c r="O11" s="32">
        <f>SUMIFS('Plan CP'!AI:AI,'Plan CP'!B:B,General!B11)</f>
        <v>80</v>
      </c>
      <c r="P11" s="67">
        <f t="shared" si="3"/>
        <v>0</v>
      </c>
      <c r="Q11" s="67">
        <f t="shared" si="4"/>
        <v>0.67796610169491522</v>
      </c>
    </row>
    <row r="12" spans="1:17" ht="17">
      <c r="B12" s="66" t="s">
        <v>51</v>
      </c>
      <c r="C12" s="32">
        <f>COUNTIFS('Plan CP'!B:B,General!B12)</f>
        <v>14</v>
      </c>
      <c r="D12" s="32">
        <f ca="1">COUNTIFS('Plan CP'!B:B,General!B12,'Plan CP'!R:R,"OK")</f>
        <v>4</v>
      </c>
      <c r="E12" s="67">
        <f t="shared" ca="1" si="0"/>
        <v>0.2857142857142857</v>
      </c>
      <c r="F12" s="32">
        <f>SUMIFS('Plan CP'!T:T,'Plan CP'!B:B,General!B12)+SUMIFS('Plan CP'!U:U,'Plan CP'!B:B,General!B12)</f>
        <v>405</v>
      </c>
      <c r="G12" s="32">
        <f>SUMIFS('Plan CP'!X:X,'Plan CP'!B:B,General!B12)</f>
        <v>57</v>
      </c>
      <c r="H12" s="32">
        <f>SUMIFS('Plan CP'!AV:AV,'Plan CP'!B:B,General!B12)+SUMIFS('Plan CP'!AW:AW,'Plan CP'!B:B,General!B12)</f>
        <v>154</v>
      </c>
      <c r="I12" s="32">
        <f>SUMIFS('Plan CP'!AZ:AZ,'Plan CP'!B:B,General!B12)</f>
        <v>28</v>
      </c>
      <c r="J12" s="67">
        <f t="shared" si="1"/>
        <v>0.38024691358024693</v>
      </c>
      <c r="K12" s="67">
        <f t="shared" si="2"/>
        <v>0.49122807017543857</v>
      </c>
      <c r="L12" s="32">
        <f>SUMIFS('Plan CP'!Z:Z,'Plan CP'!B:B,General!B12)</f>
        <v>60</v>
      </c>
      <c r="M12" s="32">
        <f>SUMIFS('Plan CP'!W:W,'Plan CP'!B:B,General!B12)</f>
        <v>93</v>
      </c>
      <c r="N12" s="32">
        <f>SUMIFS('Plan CP'!B:B,'Plan CP'!B:B,General!B12)</f>
        <v>0</v>
      </c>
      <c r="O12" s="32">
        <f>SUMIFS('Plan CP'!AI:AI,'Plan CP'!B:B,General!B12)</f>
        <v>70</v>
      </c>
      <c r="P12" s="67">
        <f t="shared" si="3"/>
        <v>0</v>
      </c>
      <c r="Q12" s="67">
        <f t="shared" si="4"/>
        <v>0.75268817204301075</v>
      </c>
    </row>
    <row r="13" spans="1:17" ht="17">
      <c r="B13" s="65" t="s">
        <v>314</v>
      </c>
      <c r="C13" s="68">
        <f>SUM(C4:C12)</f>
        <v>81</v>
      </c>
      <c r="D13" s="68">
        <f t="shared" ref="D13:O13" ca="1" si="5">SUM(D4:D12)</f>
        <v>33</v>
      </c>
      <c r="E13" s="69">
        <f t="shared" ca="1" si="0"/>
        <v>0.40740740740740738</v>
      </c>
      <c r="F13" s="68">
        <f t="shared" si="5"/>
        <v>2424</v>
      </c>
      <c r="G13" s="68">
        <f t="shared" si="5"/>
        <v>347</v>
      </c>
      <c r="H13" s="68">
        <f t="shared" si="5"/>
        <v>891</v>
      </c>
      <c r="I13" s="68">
        <f t="shared" si="5"/>
        <v>162</v>
      </c>
      <c r="J13" s="69">
        <f t="shared" si="1"/>
        <v>0.36757425742574257</v>
      </c>
      <c r="K13" s="69">
        <f t="shared" si="2"/>
        <v>0.4668587896253602</v>
      </c>
      <c r="L13" s="68">
        <f t="shared" si="5"/>
        <v>375</v>
      </c>
      <c r="M13" s="68">
        <f t="shared" si="5"/>
        <v>572</v>
      </c>
      <c r="N13" s="68">
        <f t="shared" si="5"/>
        <v>0</v>
      </c>
      <c r="O13" s="68">
        <f t="shared" si="5"/>
        <v>405</v>
      </c>
      <c r="P13" s="69">
        <f t="shared" si="3"/>
        <v>0</v>
      </c>
      <c r="Q13" s="69">
        <f t="shared" si="4"/>
        <v>0.70804195804195802</v>
      </c>
    </row>
  </sheetData>
  <mergeCells count="4">
    <mergeCell ref="C2:E2"/>
    <mergeCell ref="F2:K2"/>
    <mergeCell ref="L2:Q2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0D5B-6D34-1541-B424-61308E4E230A}">
  <dimension ref="A1:CR89"/>
  <sheetViews>
    <sheetView zoomScale="90" zoomScaleNormal="90" workbookViewId="0">
      <selection activeCell="O15" sqref="O15"/>
    </sheetView>
  </sheetViews>
  <sheetFormatPr baseColWidth="10" defaultRowHeight="16" outlineLevelCol="1"/>
  <cols>
    <col min="1" max="4" width="10.83203125" style="2"/>
    <col min="5" max="5" width="12.83203125" style="2" bestFit="1" customWidth="1"/>
    <col min="6" max="6" width="15.33203125" style="2" bestFit="1" customWidth="1"/>
    <col min="7" max="7" width="20.1640625" style="2" customWidth="1"/>
    <col min="8" max="10" width="10.83203125" style="2"/>
    <col min="11" max="11" width="20.33203125" style="2" hidden="1" customWidth="1"/>
    <col min="12" max="14" width="10.83203125" style="2"/>
    <col min="15" max="15" width="19.1640625" style="2" customWidth="1"/>
    <col min="16" max="16" width="12.6640625" style="2" customWidth="1"/>
    <col min="17" max="17" width="10.83203125" style="2"/>
    <col min="18" max="18" width="11" style="2" customWidth="1"/>
    <col min="19" max="19" width="14" style="2" customWidth="1"/>
    <col min="20" max="28" width="10.83203125" style="2" customWidth="1" outlineLevel="1"/>
    <col min="29" max="29" width="12.83203125" style="2" customWidth="1" outlineLevel="1"/>
    <col min="30" max="30" width="10.83203125" style="2" customWidth="1" outlineLevel="1"/>
    <col min="31" max="31" width="15" style="2" customWidth="1" outlineLevel="1"/>
    <col min="32" max="32" width="16.33203125" style="2" customWidth="1" outlineLevel="1"/>
    <col min="33" max="38" width="10.33203125" style="2" customWidth="1" outlineLevel="1"/>
    <col min="39" max="56" width="10.83203125" style="2"/>
    <col min="57" max="59" width="18.83203125" style="2" customWidth="1"/>
    <col min="60" max="60" width="21" style="2" customWidth="1"/>
    <col min="61" max="63" width="10.83203125" style="2"/>
    <col min="64" max="65" width="36.5" style="2" customWidth="1"/>
    <col min="66" max="16384" width="10.83203125" style="2"/>
  </cols>
  <sheetData>
    <row r="1" spans="1:96">
      <c r="A1" s="17">
        <f ca="1">TODAY()</f>
        <v>46154</v>
      </c>
    </row>
    <row r="4" spans="1:96">
      <c r="AC4" s="42"/>
      <c r="AD4" s="42"/>
      <c r="AE4" s="42"/>
      <c r="AF4" s="42"/>
      <c r="AG4" s="42"/>
      <c r="AH4" s="42"/>
      <c r="AI4" s="42"/>
      <c r="AJ4" s="42"/>
      <c r="AK4" s="42"/>
      <c r="AL4" s="42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</row>
    <row r="5" spans="1:96">
      <c r="A5" s="44" t="s">
        <v>195</v>
      </c>
      <c r="B5" s="45"/>
      <c r="C5" s="45"/>
      <c r="D5" s="45"/>
      <c r="E5" s="45"/>
      <c r="F5" s="45"/>
      <c r="G5" s="45"/>
      <c r="H5" s="45"/>
      <c r="I5" s="45"/>
      <c r="J5" s="46"/>
      <c r="K5" s="30"/>
      <c r="L5" s="43" t="s">
        <v>194</v>
      </c>
      <c r="M5" s="43"/>
      <c r="N5" s="43"/>
      <c r="O5" s="43"/>
      <c r="P5" s="43"/>
      <c r="Q5" s="44" t="s">
        <v>195</v>
      </c>
      <c r="R5" s="45"/>
      <c r="S5" s="46"/>
      <c r="T5" s="52" t="s">
        <v>16</v>
      </c>
      <c r="U5" s="52"/>
      <c r="V5" s="52"/>
      <c r="W5" s="52"/>
      <c r="X5" s="52"/>
      <c r="Y5" s="52"/>
      <c r="Z5" s="52"/>
      <c r="AA5" s="52"/>
      <c r="AB5" s="52"/>
      <c r="AC5" s="48" t="s">
        <v>26</v>
      </c>
      <c r="AD5" s="48"/>
      <c r="AE5" s="48"/>
      <c r="AF5" s="48"/>
      <c r="AG5" s="48"/>
      <c r="AH5" s="47" t="s">
        <v>155</v>
      </c>
      <c r="AI5" s="47"/>
      <c r="AJ5" s="47"/>
      <c r="AK5" s="47"/>
      <c r="AL5" s="47"/>
      <c r="AM5" s="49" t="s">
        <v>154</v>
      </c>
      <c r="AN5" s="49"/>
      <c r="AO5" s="49"/>
      <c r="AP5" s="49"/>
      <c r="AQ5" s="49"/>
      <c r="AR5" s="49"/>
      <c r="AS5" s="49"/>
      <c r="AT5" s="49"/>
      <c r="AU5" s="49"/>
      <c r="AV5" s="50" t="s">
        <v>153</v>
      </c>
      <c r="AW5" s="50"/>
      <c r="AX5" s="50"/>
      <c r="AY5" s="50"/>
      <c r="AZ5" s="50"/>
      <c r="BA5" s="50"/>
      <c r="BB5" s="50"/>
      <c r="BC5" s="50"/>
      <c r="BD5" s="50"/>
      <c r="BE5" s="49" t="s">
        <v>166</v>
      </c>
      <c r="BF5" s="49"/>
      <c r="BG5" s="49"/>
      <c r="BH5" s="49"/>
      <c r="BI5" s="49"/>
      <c r="BJ5" s="49"/>
      <c r="BK5" s="49"/>
      <c r="BL5" s="49"/>
      <c r="BM5" s="55"/>
    </row>
    <row r="6" spans="1:96" s="29" customFormat="1" ht="85">
      <c r="A6" s="15" t="s">
        <v>1</v>
      </c>
      <c r="B6" s="15" t="s">
        <v>2</v>
      </c>
      <c r="C6" s="16" t="s">
        <v>32</v>
      </c>
      <c r="D6" s="15" t="s">
        <v>58</v>
      </c>
      <c r="E6" s="16" t="s">
        <v>8</v>
      </c>
      <c r="F6" s="16" t="s">
        <v>4</v>
      </c>
      <c r="G6" s="41" t="s">
        <v>3</v>
      </c>
      <c r="H6" s="16" t="s">
        <v>5</v>
      </c>
      <c r="I6" s="16" t="s">
        <v>6</v>
      </c>
      <c r="J6" s="16" t="s">
        <v>7</v>
      </c>
      <c r="K6" s="16" t="s">
        <v>316</v>
      </c>
      <c r="L6" s="18" t="s">
        <v>0</v>
      </c>
      <c r="M6" s="18" t="s">
        <v>172</v>
      </c>
      <c r="N6" s="18" t="s">
        <v>167</v>
      </c>
      <c r="O6" s="18" t="s">
        <v>281</v>
      </c>
      <c r="P6" s="19" t="s">
        <v>178</v>
      </c>
      <c r="Q6" s="20" t="s">
        <v>152</v>
      </c>
      <c r="R6" s="16" t="s">
        <v>182</v>
      </c>
      <c r="S6" s="41" t="s">
        <v>292</v>
      </c>
      <c r="T6" s="26" t="s">
        <v>17</v>
      </c>
      <c r="U6" s="26" t="s">
        <v>18</v>
      </c>
      <c r="V6" s="26" t="s">
        <v>19</v>
      </c>
      <c r="W6" s="26" t="s">
        <v>25</v>
      </c>
      <c r="X6" s="26" t="s">
        <v>20</v>
      </c>
      <c r="Y6" s="26" t="s">
        <v>21</v>
      </c>
      <c r="Z6" s="26" t="s">
        <v>22</v>
      </c>
      <c r="AA6" s="26" t="s">
        <v>23</v>
      </c>
      <c r="AB6" s="26" t="s">
        <v>24</v>
      </c>
      <c r="AC6" s="15" t="s">
        <v>27</v>
      </c>
      <c r="AD6" s="15" t="s">
        <v>28</v>
      </c>
      <c r="AE6" s="15" t="s">
        <v>29</v>
      </c>
      <c r="AF6" s="15" t="s">
        <v>30</v>
      </c>
      <c r="AG6" s="15" t="s">
        <v>31</v>
      </c>
      <c r="AH6" s="15" t="s">
        <v>157</v>
      </c>
      <c r="AI6" s="15" t="s">
        <v>158</v>
      </c>
      <c r="AJ6" s="15" t="s">
        <v>159</v>
      </c>
      <c r="AK6" s="15" t="s">
        <v>156</v>
      </c>
      <c r="AL6" s="15" t="s">
        <v>160</v>
      </c>
      <c r="AM6" s="27" t="s">
        <v>17</v>
      </c>
      <c r="AN6" s="27" t="s">
        <v>18</v>
      </c>
      <c r="AO6" s="27" t="s">
        <v>19</v>
      </c>
      <c r="AP6" s="27" t="s">
        <v>25</v>
      </c>
      <c r="AQ6" s="27" t="s">
        <v>20</v>
      </c>
      <c r="AR6" s="27" t="s">
        <v>21</v>
      </c>
      <c r="AS6" s="27" t="s">
        <v>22</v>
      </c>
      <c r="AT6" s="27" t="s">
        <v>23</v>
      </c>
      <c r="AU6" s="27" t="s">
        <v>24</v>
      </c>
      <c r="AV6" s="28" t="s">
        <v>17</v>
      </c>
      <c r="AW6" s="28" t="s">
        <v>18</v>
      </c>
      <c r="AX6" s="28" t="s">
        <v>19</v>
      </c>
      <c r="AY6" s="28" t="s">
        <v>25</v>
      </c>
      <c r="AZ6" s="28" t="s">
        <v>20</v>
      </c>
      <c r="BA6" s="28" t="s">
        <v>21</v>
      </c>
      <c r="BB6" s="28" t="s">
        <v>22</v>
      </c>
      <c r="BC6" s="28" t="s">
        <v>23</v>
      </c>
      <c r="BD6" s="28" t="s">
        <v>24</v>
      </c>
      <c r="BE6" s="18" t="s">
        <v>165</v>
      </c>
      <c r="BF6" s="18" t="s">
        <v>164</v>
      </c>
      <c r="BG6" s="18" t="s">
        <v>282</v>
      </c>
      <c r="BH6" s="18" t="s">
        <v>161</v>
      </c>
      <c r="BI6" s="18" t="s">
        <v>162</v>
      </c>
      <c r="BJ6" s="41" t="s">
        <v>163</v>
      </c>
      <c r="BK6" s="18" t="s">
        <v>296</v>
      </c>
      <c r="BL6" s="16" t="s">
        <v>15</v>
      </c>
      <c r="BM6" s="56"/>
      <c r="BN6" s="34">
        <f>'PR Grupo'!A1</f>
        <v>46143</v>
      </c>
      <c r="BO6" s="34">
        <f>BN6+1</f>
        <v>46144</v>
      </c>
      <c r="BP6" s="34">
        <f t="shared" ref="BP6:CR6" si="0">BO6+1</f>
        <v>46145</v>
      </c>
      <c r="BQ6" s="34">
        <f t="shared" si="0"/>
        <v>46146</v>
      </c>
      <c r="BR6" s="34">
        <f t="shared" si="0"/>
        <v>46147</v>
      </c>
      <c r="BS6" s="34">
        <f t="shared" si="0"/>
        <v>46148</v>
      </c>
      <c r="BT6" s="34">
        <f t="shared" si="0"/>
        <v>46149</v>
      </c>
      <c r="BU6" s="34">
        <f t="shared" si="0"/>
        <v>46150</v>
      </c>
      <c r="BV6" s="34">
        <f t="shared" si="0"/>
        <v>46151</v>
      </c>
      <c r="BW6" s="34">
        <f t="shared" si="0"/>
        <v>46152</v>
      </c>
      <c r="BX6" s="34">
        <f t="shared" si="0"/>
        <v>46153</v>
      </c>
      <c r="BY6" s="34">
        <f t="shared" si="0"/>
        <v>46154</v>
      </c>
      <c r="BZ6" s="34">
        <f t="shared" si="0"/>
        <v>46155</v>
      </c>
      <c r="CA6" s="34">
        <f t="shared" si="0"/>
        <v>46156</v>
      </c>
      <c r="CB6" s="34">
        <f t="shared" si="0"/>
        <v>46157</v>
      </c>
      <c r="CC6" s="34">
        <f t="shared" si="0"/>
        <v>46158</v>
      </c>
      <c r="CD6" s="34">
        <f t="shared" si="0"/>
        <v>46159</v>
      </c>
      <c r="CE6" s="34">
        <f t="shared" si="0"/>
        <v>46160</v>
      </c>
      <c r="CF6" s="34">
        <f t="shared" si="0"/>
        <v>46161</v>
      </c>
      <c r="CG6" s="34">
        <f t="shared" si="0"/>
        <v>46162</v>
      </c>
      <c r="CH6" s="34">
        <f t="shared" si="0"/>
        <v>46163</v>
      </c>
      <c r="CI6" s="34">
        <f t="shared" si="0"/>
        <v>46164</v>
      </c>
      <c r="CJ6" s="34">
        <f t="shared" si="0"/>
        <v>46165</v>
      </c>
      <c r="CK6" s="34">
        <f t="shared" si="0"/>
        <v>46166</v>
      </c>
      <c r="CL6" s="34">
        <f t="shared" si="0"/>
        <v>46167</v>
      </c>
      <c r="CM6" s="34">
        <f t="shared" si="0"/>
        <v>46168</v>
      </c>
      <c r="CN6" s="34">
        <f t="shared" si="0"/>
        <v>46169</v>
      </c>
      <c r="CO6" s="34">
        <f t="shared" si="0"/>
        <v>46170</v>
      </c>
      <c r="CP6" s="34">
        <f t="shared" si="0"/>
        <v>46171</v>
      </c>
      <c r="CQ6" s="34">
        <f t="shared" si="0"/>
        <v>46172</v>
      </c>
      <c r="CR6" s="34">
        <f t="shared" si="0"/>
        <v>46173</v>
      </c>
    </row>
    <row r="7" spans="1:96">
      <c r="A7" s="21" t="str">
        <f>VLOOKUP(L7,Ubicacion!A:K,2,FALSE)</f>
        <v>LI3BR</v>
      </c>
      <c r="B7" s="21" t="str">
        <f>VLOOKUP(L7,Ubicacion!A:K,3,FALSE)</f>
        <v>LI3BC12</v>
      </c>
      <c r="C7" s="21" t="str">
        <f>VLOOKUP(L7,Ubicacion!A:K,4,FALSE)</f>
        <v>LIMA</v>
      </c>
      <c r="D7" s="21" t="str">
        <f>VLOOKUP(L7,Ubicacion!A:K,5,FALSE)</f>
        <v>SURCO</v>
      </c>
      <c r="E7" s="21" t="str">
        <f>VLOOKUP(L7,Ubicacion!A:K,6,FALSE)</f>
        <v>DF Fijo</v>
      </c>
      <c r="F7" s="21" t="str">
        <f>VLOOKUP(L7,Ubicacion!A:K,7,FALSE)</f>
        <v>16:00 - 19:00</v>
      </c>
      <c r="G7" s="21" t="str">
        <f>VLOOKUP(L7,Ubicacion!A:K,8,FALSE)</f>
        <v>WEEKDAY</v>
      </c>
      <c r="H7" s="21">
        <f>VLOOKUP(L7,Ubicacion!A:K,9,FALSE)</f>
        <v>1</v>
      </c>
      <c r="I7" s="21">
        <f>VLOOKUP(L7,Ubicacion!A:K,10,FALSE)</f>
        <v>-12.140920837065</v>
      </c>
      <c r="J7" s="21">
        <f>VLOOKUP(L7,Ubicacion!A:K,11,FALSE)</f>
        <v>-76.995036793622802</v>
      </c>
      <c r="K7" s="21" t="str">
        <f>P7&amp;O7</f>
        <v>46143LI3PR10136</v>
      </c>
      <c r="L7" s="21" t="s">
        <v>59</v>
      </c>
      <c r="M7" s="21">
        <v>10</v>
      </c>
      <c r="N7" s="22" t="s">
        <v>185</v>
      </c>
      <c r="O7" s="24" t="s">
        <v>263</v>
      </c>
      <c r="P7" s="23">
        <v>46143</v>
      </c>
      <c r="Q7" s="23">
        <f>P7+M7-1</f>
        <v>46152</v>
      </c>
      <c r="R7" s="24" t="str">
        <f ca="1">IF($A$1&lt;Q7,"On-time",IF(AND(Q7&lt;=$A$1,BJ7="OK"),"OK","NO OK"))</f>
        <v>OK</v>
      </c>
      <c r="S7" s="24" t="str">
        <f>(UPPER(TEXT(P7,"dddd")))</f>
        <v>FRIDAY</v>
      </c>
      <c r="T7" s="24">
        <f>VLOOKUP(L7,Ubicacion!A:AE,13,FALSE)</f>
        <v>15</v>
      </c>
      <c r="U7" s="24">
        <f>VLOOKUP(L7,Ubicacion!A:AE,14,FALSE)</f>
        <v>2</v>
      </c>
      <c r="V7" s="24">
        <f>VLOOKUP(L7,Ubicacion!A:AE,15,FALSE)</f>
        <v>2</v>
      </c>
      <c r="W7" s="24">
        <f>VLOOKUP(L7,Ubicacion!A:AE,16,FALSE)</f>
        <v>13</v>
      </c>
      <c r="X7" s="24">
        <f>VLOOKUP(L7,Ubicacion!A:AE,17,FALSE)</f>
        <v>4</v>
      </c>
      <c r="Y7" s="24">
        <f>VLOOKUP(L7,Ubicacion!A:AE,18,FALSE)</f>
        <v>4</v>
      </c>
      <c r="Z7" s="24">
        <f>VLOOKUP(L7,Ubicacion!A:AE,19,FALSE)</f>
        <v>0</v>
      </c>
      <c r="AA7" s="24">
        <f>VLOOKUP(L7,Ubicacion!A:AE,20,FALSE)</f>
        <v>0</v>
      </c>
      <c r="AB7" s="24">
        <v>1</v>
      </c>
      <c r="AC7" s="24">
        <f>VLOOKUP(L7,Ubicacion!A:AE,22,FALSE)</f>
        <v>2</v>
      </c>
      <c r="AD7" s="24">
        <f>VLOOKUP(L7,Ubicacion!A:AE,23,FALSE)</f>
        <v>0</v>
      </c>
      <c r="AE7" s="24">
        <f>VLOOKUP(L7,Ubicacion!A:AE,24,FALSE)</f>
        <v>0</v>
      </c>
      <c r="AF7" s="24">
        <f>VLOOKUP(L7,Ubicacion!A:AE,25,FALSE)</f>
        <v>0</v>
      </c>
      <c r="AG7" s="24">
        <f>VLOOKUP(L7,Ubicacion!A:AE,26,FALSE)</f>
        <v>2</v>
      </c>
      <c r="AH7" s="24">
        <f>VLOOKUP(L7,Ubicacion!A:AE,27,FALSE)</f>
        <v>2</v>
      </c>
      <c r="AI7" s="24">
        <f>VLOOKUP(L7,Ubicacion!A:AE,28,FALSE)</f>
        <v>5</v>
      </c>
      <c r="AJ7" s="24">
        <f>VLOOKUP(L7,Ubicacion!A:AE,29,FALSE)</f>
        <v>3</v>
      </c>
      <c r="AK7" s="24">
        <f>VLOOKUP(L7,Ubicacion!A:AE,30,FALSE)</f>
        <v>1</v>
      </c>
      <c r="AL7" s="24">
        <f>VLOOKUP(L7,Ubicacion!A:AE,31,FALSE)</f>
        <v>1</v>
      </c>
      <c r="AM7" s="25">
        <f>IF(T7=0,"100%",AV7/T7)</f>
        <v>0.66666666666666663</v>
      </c>
      <c r="AN7" s="25">
        <f t="shared" ref="AN7:AU7" si="1">IF(U7=0,"100%",AW7/U7)</f>
        <v>0.5</v>
      </c>
      <c r="AO7" s="25">
        <f t="shared" si="1"/>
        <v>1</v>
      </c>
      <c r="AP7" s="25">
        <f t="shared" si="1"/>
        <v>0.15384615384615385</v>
      </c>
      <c r="AQ7" s="25">
        <f t="shared" si="1"/>
        <v>0.5</v>
      </c>
      <c r="AR7" s="25">
        <f t="shared" si="1"/>
        <v>0.25</v>
      </c>
      <c r="AS7" s="25" t="str">
        <f t="shared" si="1"/>
        <v>100%</v>
      </c>
      <c r="AT7" s="25" t="str">
        <f t="shared" si="1"/>
        <v>100%</v>
      </c>
      <c r="AU7" s="25">
        <f t="shared" si="1"/>
        <v>0</v>
      </c>
      <c r="AV7" s="24">
        <v>10</v>
      </c>
      <c r="AW7" s="24">
        <v>1</v>
      </c>
      <c r="AX7" s="24">
        <v>2</v>
      </c>
      <c r="AY7" s="24">
        <v>2</v>
      </c>
      <c r="AZ7" s="24">
        <v>2</v>
      </c>
      <c r="BA7" s="24">
        <v>1</v>
      </c>
      <c r="BB7" s="24">
        <v>2</v>
      </c>
      <c r="BC7" s="24">
        <v>1</v>
      </c>
      <c r="BD7" s="24">
        <v>0</v>
      </c>
      <c r="BE7" s="24" t="s">
        <v>184</v>
      </c>
      <c r="BF7" s="24" t="s">
        <v>184</v>
      </c>
      <c r="BG7" s="24" t="s">
        <v>183</v>
      </c>
      <c r="BH7" s="24" t="s">
        <v>183</v>
      </c>
      <c r="BI7" s="24" t="s">
        <v>183</v>
      </c>
      <c r="BJ7" s="24" t="s">
        <v>183</v>
      </c>
      <c r="BK7" s="24" t="s">
        <v>297</v>
      </c>
      <c r="BL7" s="24"/>
      <c r="BM7" s="57"/>
      <c r="BN7" s="2" t="str">
        <f>IF(AND((BN$6-$P7)&gt;=0,(BN$6-$P7)&lt;=($Q7-$P7)),"."," ")</f>
        <v>.</v>
      </c>
      <c r="BO7" s="2" t="str">
        <f t="shared" ref="BO7:CR15" si="2">IF(AND((BO$6-$P7)&gt;=0,(BO$6-$P7)&lt;=($Q7-$P7)),"."," ")</f>
        <v>.</v>
      </c>
      <c r="BP7" s="2" t="str">
        <f t="shared" si="2"/>
        <v>.</v>
      </c>
      <c r="BQ7" s="2" t="str">
        <f t="shared" si="2"/>
        <v>.</v>
      </c>
      <c r="BR7" s="2" t="str">
        <f t="shared" si="2"/>
        <v>.</v>
      </c>
      <c r="BS7" s="2" t="str">
        <f t="shared" si="2"/>
        <v>.</v>
      </c>
      <c r="BT7" s="2" t="str">
        <f t="shared" si="2"/>
        <v>.</v>
      </c>
      <c r="BU7" s="2" t="str">
        <f t="shared" si="2"/>
        <v>.</v>
      </c>
      <c r="BV7" s="2" t="str">
        <f t="shared" si="2"/>
        <v>.</v>
      </c>
      <c r="BW7" s="2" t="str">
        <f t="shared" si="2"/>
        <v>.</v>
      </c>
      <c r="BX7" s="2" t="str">
        <f t="shared" si="2"/>
        <v xml:space="preserve"> </v>
      </c>
      <c r="BY7" s="2" t="str">
        <f>IF(AND((BY$6-$P7)&gt;=0,(BY$6-$P7)&lt;=($Q7-$P7)),"."," ")</f>
        <v xml:space="preserve"> </v>
      </c>
      <c r="BZ7" s="2" t="str">
        <f t="shared" si="2"/>
        <v xml:space="preserve"> </v>
      </c>
      <c r="CA7" s="2" t="str">
        <f t="shared" si="2"/>
        <v xml:space="preserve"> </v>
      </c>
      <c r="CB7" s="2" t="str">
        <f t="shared" si="2"/>
        <v xml:space="preserve"> </v>
      </c>
      <c r="CC7" s="2" t="str">
        <f t="shared" si="2"/>
        <v xml:space="preserve"> </v>
      </c>
      <c r="CD7" s="2" t="str">
        <f t="shared" si="2"/>
        <v xml:space="preserve"> </v>
      </c>
      <c r="CE7" s="2" t="str">
        <f t="shared" si="2"/>
        <v xml:space="preserve"> </v>
      </c>
      <c r="CF7" s="2" t="str">
        <f t="shared" si="2"/>
        <v xml:space="preserve"> </v>
      </c>
      <c r="CG7" s="2" t="str">
        <f t="shared" si="2"/>
        <v xml:space="preserve"> </v>
      </c>
      <c r="CH7" s="2" t="str">
        <f t="shared" si="2"/>
        <v xml:space="preserve"> </v>
      </c>
      <c r="CI7" s="2" t="str">
        <f t="shared" si="2"/>
        <v xml:space="preserve"> </v>
      </c>
      <c r="CJ7" s="2" t="str">
        <f t="shared" si="2"/>
        <v xml:space="preserve"> </v>
      </c>
      <c r="CK7" s="2" t="str">
        <f t="shared" si="2"/>
        <v xml:space="preserve"> </v>
      </c>
      <c r="CL7" s="2" t="str">
        <f t="shared" si="2"/>
        <v xml:space="preserve"> </v>
      </c>
      <c r="CM7" s="2" t="str">
        <f t="shared" si="2"/>
        <v xml:space="preserve"> </v>
      </c>
      <c r="CN7" s="2" t="str">
        <f t="shared" si="2"/>
        <v xml:space="preserve"> </v>
      </c>
      <c r="CO7" s="2" t="str">
        <f t="shared" si="2"/>
        <v xml:space="preserve"> </v>
      </c>
      <c r="CP7" s="2" t="str">
        <f t="shared" si="2"/>
        <v xml:space="preserve"> </v>
      </c>
      <c r="CQ7" s="2" t="str">
        <f t="shared" si="2"/>
        <v xml:space="preserve"> </v>
      </c>
      <c r="CR7" s="2" t="str">
        <f t="shared" si="2"/>
        <v xml:space="preserve"> </v>
      </c>
    </row>
    <row r="8" spans="1:96">
      <c r="A8" s="21" t="str">
        <f>VLOOKUP(L8,Ubicacion!A:K,2,FALSE)</f>
        <v>LI3BR</v>
      </c>
      <c r="B8" s="21" t="str">
        <f>VLOOKUP(L8,Ubicacion!A:K,3,FALSE)</f>
        <v>LI3BC12</v>
      </c>
      <c r="C8" s="21" t="str">
        <f>VLOOKUP(L8,Ubicacion!A:K,4,FALSE)</f>
        <v>LIMA</v>
      </c>
      <c r="D8" s="21" t="str">
        <f>VLOOKUP(L8,Ubicacion!A:K,5,FALSE)</f>
        <v>SURCO</v>
      </c>
      <c r="E8" s="21" t="str">
        <f>VLOOKUP(L8,Ubicacion!A:K,6,FALSE)</f>
        <v>DF Fijo</v>
      </c>
      <c r="F8" s="21" t="str">
        <f>VLOOKUP(L8,Ubicacion!A:K,7,FALSE)</f>
        <v>16:00 - 19:00</v>
      </c>
      <c r="G8" s="21" t="str">
        <f>VLOOKUP(L8,Ubicacion!A:K,8,FALSE)</f>
        <v>WEEKDAY</v>
      </c>
      <c r="H8" s="21">
        <f>VLOOKUP(L8,Ubicacion!A:K,9,FALSE)</f>
        <v>1</v>
      </c>
      <c r="I8" s="21">
        <f>VLOOKUP(L8,Ubicacion!A:K,10,FALSE)</f>
        <v>-12.140920837065</v>
      </c>
      <c r="J8" s="21">
        <f>VLOOKUP(L8,Ubicacion!A:K,11,FALSE)</f>
        <v>-76.995036793622802</v>
      </c>
      <c r="K8" s="21" t="str">
        <f t="shared" ref="K8:K71" si="3">P8&amp;O8</f>
        <v>46143Grupo 1</v>
      </c>
      <c r="L8" s="21" t="s">
        <v>59</v>
      </c>
      <c r="M8" s="21">
        <v>2</v>
      </c>
      <c r="N8" s="24" t="s">
        <v>186</v>
      </c>
      <c r="O8" s="24" t="s">
        <v>171</v>
      </c>
      <c r="P8" s="23">
        <v>46143</v>
      </c>
      <c r="Q8" s="23">
        <f>P8+M8-1</f>
        <v>46144</v>
      </c>
      <c r="R8" s="24" t="str">
        <f ca="1">IF($A$1&lt;Q8,"On-time",IF(AND(Q8&lt;=$A$1,BJ8="OK"),"OK","NO OK"))</f>
        <v>NO OK</v>
      </c>
      <c r="S8" s="24" t="str">
        <f t="shared" ref="S8:S71" si="4">(UPPER(TEXT(P8,"dddd")))</f>
        <v>FRIDAY</v>
      </c>
      <c r="T8" s="24">
        <f>VLOOKUP(L8,Ubicacion!A:AE,13,FALSE)</f>
        <v>15</v>
      </c>
      <c r="U8" s="24">
        <f>VLOOKUP(L8,Ubicacion!A:AE,14,FALSE)</f>
        <v>2</v>
      </c>
      <c r="V8" s="24">
        <f>VLOOKUP(L8,Ubicacion!A:AE,15,FALSE)</f>
        <v>2</v>
      </c>
      <c r="W8" s="24">
        <f>VLOOKUP(L8,Ubicacion!A:AE,16,FALSE)</f>
        <v>13</v>
      </c>
      <c r="X8" s="24">
        <f>VLOOKUP(L8,Ubicacion!A:AE,17,FALSE)</f>
        <v>4</v>
      </c>
      <c r="Y8" s="24">
        <f>VLOOKUP(L8,Ubicacion!A:AE,18,FALSE)</f>
        <v>4</v>
      </c>
      <c r="Z8" s="24">
        <f>VLOOKUP(L8,Ubicacion!A:AE,19,FALSE)</f>
        <v>0</v>
      </c>
      <c r="AA8" s="24">
        <f>VLOOKUP(L8,Ubicacion!A:AE,20,FALSE)</f>
        <v>0</v>
      </c>
      <c r="AB8" s="24">
        <f>VLOOKUP(L8,Ubicacion!A:AE,21,FALSE)</f>
        <v>0</v>
      </c>
      <c r="AC8" s="24">
        <f>VLOOKUP(L8,Ubicacion!A:AE,22,FALSE)</f>
        <v>2</v>
      </c>
      <c r="AD8" s="24">
        <f>VLOOKUP(L8,Ubicacion!A:AE,23,FALSE)</f>
        <v>0</v>
      </c>
      <c r="AE8" s="24">
        <f>VLOOKUP(L8,Ubicacion!A:AE,24,FALSE)</f>
        <v>0</v>
      </c>
      <c r="AF8" s="24">
        <f>VLOOKUP(L8,Ubicacion!A:AE,25,FALSE)</f>
        <v>0</v>
      </c>
      <c r="AG8" s="24">
        <f>VLOOKUP(L8,Ubicacion!A:AE,26,FALSE)</f>
        <v>2</v>
      </c>
      <c r="AH8" s="24">
        <f>VLOOKUP(L8,Ubicacion!A:AE,27,FALSE)</f>
        <v>2</v>
      </c>
      <c r="AI8" s="24">
        <f>VLOOKUP(L8,Ubicacion!A:AE,28,FALSE)</f>
        <v>5</v>
      </c>
      <c r="AJ8" s="24">
        <f>VLOOKUP(L8,Ubicacion!A:AE,29,FALSE)</f>
        <v>3</v>
      </c>
      <c r="AK8" s="24">
        <f>VLOOKUP(L8,Ubicacion!A:AE,30,FALSE)</f>
        <v>1</v>
      </c>
      <c r="AL8" s="24">
        <f>VLOOKUP(L8,Ubicacion!A:AE,31,FALSE)</f>
        <v>1</v>
      </c>
      <c r="AM8" s="25">
        <f t="shared" ref="AM8:AM14" si="5">IF(T8=0,"100%",AV8/T8)</f>
        <v>0.66666666666666663</v>
      </c>
      <c r="AN8" s="25">
        <f t="shared" ref="AN8:AN14" si="6">IF(U8=0,"100%",AW8/U8)</f>
        <v>0.5</v>
      </c>
      <c r="AO8" s="25">
        <f t="shared" ref="AO8:AO14" si="7">IF(V8=0,"100%",AX8/V8)</f>
        <v>1</v>
      </c>
      <c r="AP8" s="25">
        <f t="shared" ref="AP8:AP14" si="8">IF(W8=0,"100%",AY8/W8)</f>
        <v>0.15384615384615385</v>
      </c>
      <c r="AQ8" s="25">
        <f t="shared" ref="AQ8:AQ14" si="9">IF(X8=0,"100%",AZ8/X8)</f>
        <v>0.5</v>
      </c>
      <c r="AR8" s="25">
        <f t="shared" ref="AR8:AR14" si="10">IF(Y8=0,"100%",BA8/Y8)</f>
        <v>0.25</v>
      </c>
      <c r="AS8" s="25" t="str">
        <f t="shared" ref="AS8:AS14" si="11">IF(Z8=0,"100%",BB8/Z8)</f>
        <v>100%</v>
      </c>
      <c r="AT8" s="25" t="str">
        <f t="shared" ref="AT8:AT14" si="12">IF(AA8=0,"100%",BC8/AA8)</f>
        <v>100%</v>
      </c>
      <c r="AU8" s="25" t="str">
        <f t="shared" ref="AU8:AU14" si="13">IF(AB8=0,"100%",BD8/AB8)</f>
        <v>100%</v>
      </c>
      <c r="AV8" s="24">
        <v>10</v>
      </c>
      <c r="AW8" s="24">
        <v>1</v>
      </c>
      <c r="AX8" s="24">
        <v>2</v>
      </c>
      <c r="AY8" s="24">
        <v>2</v>
      </c>
      <c r="AZ8" s="24">
        <v>2</v>
      </c>
      <c r="BA8" s="24">
        <v>1</v>
      </c>
      <c r="BB8" s="24">
        <v>2</v>
      </c>
      <c r="BC8" s="24">
        <v>1</v>
      </c>
      <c r="BD8" s="24">
        <v>1</v>
      </c>
      <c r="BE8" s="24" t="s">
        <v>184</v>
      </c>
      <c r="BF8" s="24" t="s">
        <v>184</v>
      </c>
      <c r="BG8" s="24" t="s">
        <v>183</v>
      </c>
      <c r="BH8" s="24" t="s">
        <v>183</v>
      </c>
      <c r="BI8" s="24" t="s">
        <v>183</v>
      </c>
      <c r="BJ8" s="24" t="s">
        <v>184</v>
      </c>
      <c r="BK8" s="24"/>
      <c r="BL8" s="24"/>
      <c r="BM8" s="57"/>
      <c r="BN8" s="2" t="str">
        <f>IF(AND((BN$6-$P8)&gt;=0,(BN$6-$P8)&lt;=($Q8-$P8)),"."," ")</f>
        <v>.</v>
      </c>
      <c r="BO8" s="2" t="str">
        <f t="shared" si="2"/>
        <v>.</v>
      </c>
      <c r="BP8" s="2" t="str">
        <f t="shared" si="2"/>
        <v xml:space="preserve"> </v>
      </c>
      <c r="BQ8" s="2" t="str">
        <f t="shared" si="2"/>
        <v xml:space="preserve"> </v>
      </c>
      <c r="BR8" s="2" t="str">
        <f t="shared" si="2"/>
        <v xml:space="preserve"> </v>
      </c>
      <c r="BS8" s="2" t="str">
        <f t="shared" si="2"/>
        <v xml:space="preserve"> </v>
      </c>
      <c r="BT8" s="2" t="str">
        <f t="shared" si="2"/>
        <v xml:space="preserve"> </v>
      </c>
      <c r="BU8" s="2" t="str">
        <f t="shared" si="2"/>
        <v xml:space="preserve"> </v>
      </c>
      <c r="BV8" s="2" t="str">
        <f t="shared" si="2"/>
        <v xml:space="preserve"> </v>
      </c>
      <c r="BW8" s="2" t="str">
        <f t="shared" si="2"/>
        <v xml:space="preserve"> </v>
      </c>
      <c r="BX8" s="2" t="str">
        <f t="shared" si="2"/>
        <v xml:space="preserve"> </v>
      </c>
      <c r="BY8" s="2" t="str">
        <f t="shared" si="2"/>
        <v xml:space="preserve"> </v>
      </c>
      <c r="BZ8" s="2" t="str">
        <f t="shared" si="2"/>
        <v xml:space="preserve"> </v>
      </c>
      <c r="CA8" s="2" t="str">
        <f t="shared" si="2"/>
        <v xml:space="preserve"> </v>
      </c>
      <c r="CB8" s="2" t="str">
        <f t="shared" si="2"/>
        <v xml:space="preserve"> </v>
      </c>
      <c r="CC8" s="2" t="str">
        <f t="shared" si="2"/>
        <v xml:space="preserve"> </v>
      </c>
      <c r="CD8" s="2" t="str">
        <f t="shared" si="2"/>
        <v xml:space="preserve"> </v>
      </c>
      <c r="CE8" s="2" t="str">
        <f t="shared" si="2"/>
        <v xml:space="preserve"> </v>
      </c>
      <c r="CF8" s="2" t="str">
        <f t="shared" si="2"/>
        <v xml:space="preserve"> </v>
      </c>
      <c r="CG8" s="2" t="str">
        <f t="shared" si="2"/>
        <v xml:space="preserve"> </v>
      </c>
      <c r="CH8" s="2" t="str">
        <f t="shared" si="2"/>
        <v xml:space="preserve"> </v>
      </c>
      <c r="CI8" s="2" t="str">
        <f t="shared" si="2"/>
        <v xml:space="preserve"> </v>
      </c>
      <c r="CJ8" s="2" t="str">
        <f t="shared" si="2"/>
        <v xml:space="preserve"> </v>
      </c>
      <c r="CK8" s="2" t="str">
        <f t="shared" si="2"/>
        <v xml:space="preserve"> </v>
      </c>
      <c r="CL8" s="2" t="str">
        <f t="shared" si="2"/>
        <v xml:space="preserve"> </v>
      </c>
      <c r="CM8" s="2" t="str">
        <f t="shared" si="2"/>
        <v xml:space="preserve"> </v>
      </c>
      <c r="CN8" s="2" t="str">
        <f t="shared" si="2"/>
        <v xml:space="preserve"> </v>
      </c>
      <c r="CO8" s="2" t="str">
        <f t="shared" si="2"/>
        <v xml:space="preserve"> </v>
      </c>
      <c r="CP8" s="2" t="str">
        <f t="shared" si="2"/>
        <v xml:space="preserve"> </v>
      </c>
      <c r="CQ8" s="2" t="str">
        <f t="shared" si="2"/>
        <v xml:space="preserve"> </v>
      </c>
      <c r="CR8" s="2" t="str">
        <f t="shared" si="2"/>
        <v xml:space="preserve"> </v>
      </c>
    </row>
    <row r="9" spans="1:96">
      <c r="A9" s="21" t="str">
        <f>VLOOKUP(L9,Ubicacion!A:K,2,FALSE)</f>
        <v>LI3BR</v>
      </c>
      <c r="B9" s="21" t="str">
        <f>VLOOKUP(L9,Ubicacion!A:K,3,FALSE)</f>
        <v>LI3BC06</v>
      </c>
      <c r="C9" s="21" t="str">
        <f>VLOOKUP(L9,Ubicacion!A:K,4,FALSE)</f>
        <v>LIMA</v>
      </c>
      <c r="D9" s="21" t="str">
        <f>VLOOKUP(L9,Ubicacion!A:K,5,FALSE)</f>
        <v>SURCO</v>
      </c>
      <c r="E9" s="21" t="str">
        <f>VLOOKUP(L9,Ubicacion!A:K,6,FALSE)</f>
        <v>Zone 5%</v>
      </c>
      <c r="F9" s="21" t="str">
        <f>VLOOKUP(L9,Ubicacion!A:K,7,FALSE)</f>
        <v>8:00 - 16:00</v>
      </c>
      <c r="G9" s="21" t="str">
        <f>VLOOKUP(L9,Ubicacion!A:K,8,FALSE)</f>
        <v>SUNDAY</v>
      </c>
      <c r="H9" s="21">
        <f>VLOOKUP(L9,Ubicacion!A:K,9,FALSE)</f>
        <v>1</v>
      </c>
      <c r="I9" s="21">
        <f>VLOOKUP(L9,Ubicacion!A:K,10,FALSE)</f>
        <v>-12.100790894225501</v>
      </c>
      <c r="J9" s="21">
        <f>VLOOKUP(L9,Ubicacion!A:K,11,FALSE)</f>
        <v>-76.971543457099102</v>
      </c>
      <c r="K9" s="21" t="str">
        <f t="shared" si="3"/>
        <v>46144Grupo 1</v>
      </c>
      <c r="L9" s="21" t="s">
        <v>61</v>
      </c>
      <c r="M9" s="21">
        <v>3</v>
      </c>
      <c r="N9" s="24" t="s">
        <v>187</v>
      </c>
      <c r="O9" s="24" t="s">
        <v>171</v>
      </c>
      <c r="P9" s="23">
        <v>46144</v>
      </c>
      <c r="Q9" s="23">
        <f>P9+M9-1</f>
        <v>46146</v>
      </c>
      <c r="R9" s="24" t="str">
        <f ca="1">IF($A$1&lt;Q9,"On-time",IF(AND(Q9&lt;=$A$1,BJ9="OK"),"OK","NO OK"))</f>
        <v>OK</v>
      </c>
      <c r="S9" s="24" t="str">
        <f t="shared" si="4"/>
        <v>SATURDAY</v>
      </c>
      <c r="T9" s="24">
        <f>VLOOKUP(L9,Ubicacion!A:AE,13,FALSE)</f>
        <v>15</v>
      </c>
      <c r="U9" s="24">
        <f>VLOOKUP(L9,Ubicacion!A:AE,14,FALSE)</f>
        <v>2</v>
      </c>
      <c r="V9" s="24">
        <f>VLOOKUP(L9,Ubicacion!A:AE,15,FALSE)</f>
        <v>2</v>
      </c>
      <c r="W9" s="24">
        <f>VLOOKUP(L9,Ubicacion!A:AE,16,FALSE)</f>
        <v>13</v>
      </c>
      <c r="X9" s="24">
        <f>VLOOKUP(L9,Ubicacion!A:AE,17,FALSE)</f>
        <v>4</v>
      </c>
      <c r="Y9" s="24">
        <f>VLOOKUP(L9,Ubicacion!A:AE,18,FALSE)</f>
        <v>4</v>
      </c>
      <c r="Z9" s="24">
        <f>VLOOKUP(L9,Ubicacion!A:AE,19,FALSE)</f>
        <v>0</v>
      </c>
      <c r="AA9" s="24">
        <f>VLOOKUP(L9,Ubicacion!A:AE,20,FALSE)</f>
        <v>0</v>
      </c>
      <c r="AB9" s="24">
        <f>VLOOKUP(L9,Ubicacion!A:AE,21,FALSE)</f>
        <v>0</v>
      </c>
      <c r="AC9" s="24">
        <f>VLOOKUP(L9,Ubicacion!A:AE,22,FALSE)</f>
        <v>2</v>
      </c>
      <c r="AD9" s="24">
        <f>VLOOKUP(L9,Ubicacion!A:AE,23,FALSE)</f>
        <v>0</v>
      </c>
      <c r="AE9" s="24">
        <f>VLOOKUP(L9,Ubicacion!A:AE,24,FALSE)</f>
        <v>0</v>
      </c>
      <c r="AF9" s="24">
        <f>VLOOKUP(L9,Ubicacion!A:AE,25,FALSE)</f>
        <v>0</v>
      </c>
      <c r="AG9" s="24">
        <f>VLOOKUP(L9,Ubicacion!A:AE,26,FALSE)</f>
        <v>2</v>
      </c>
      <c r="AH9" s="24">
        <f>VLOOKUP(L9,Ubicacion!A:AE,27,FALSE)</f>
        <v>2</v>
      </c>
      <c r="AI9" s="24">
        <f>VLOOKUP(L9,Ubicacion!A:AE,28,FALSE)</f>
        <v>5</v>
      </c>
      <c r="AJ9" s="24">
        <f>VLOOKUP(L9,Ubicacion!A:AE,29,FALSE)</f>
        <v>3</v>
      </c>
      <c r="AK9" s="24">
        <f>VLOOKUP(L9,Ubicacion!A:AE,30,FALSE)</f>
        <v>1</v>
      </c>
      <c r="AL9" s="24">
        <f>VLOOKUP(L9,Ubicacion!A:AE,31,FALSE)</f>
        <v>1</v>
      </c>
      <c r="AM9" s="25">
        <f t="shared" si="5"/>
        <v>0.66666666666666663</v>
      </c>
      <c r="AN9" s="25">
        <f t="shared" si="6"/>
        <v>0.5</v>
      </c>
      <c r="AO9" s="25">
        <f t="shared" si="7"/>
        <v>1</v>
      </c>
      <c r="AP9" s="25">
        <f t="shared" si="8"/>
        <v>0.15384615384615385</v>
      </c>
      <c r="AQ9" s="25">
        <f t="shared" si="9"/>
        <v>0.5</v>
      </c>
      <c r="AR9" s="25">
        <f t="shared" si="10"/>
        <v>0.25</v>
      </c>
      <c r="AS9" s="25" t="str">
        <f t="shared" si="11"/>
        <v>100%</v>
      </c>
      <c r="AT9" s="25" t="str">
        <f t="shared" si="12"/>
        <v>100%</v>
      </c>
      <c r="AU9" s="25" t="str">
        <f t="shared" si="13"/>
        <v>100%</v>
      </c>
      <c r="AV9" s="24">
        <v>10</v>
      </c>
      <c r="AW9" s="24">
        <v>1</v>
      </c>
      <c r="AX9" s="24">
        <v>2</v>
      </c>
      <c r="AY9" s="24">
        <v>2</v>
      </c>
      <c r="AZ9" s="24">
        <v>2</v>
      </c>
      <c r="BA9" s="24">
        <v>1</v>
      </c>
      <c r="BB9" s="24">
        <v>2</v>
      </c>
      <c r="BC9" s="24">
        <v>1</v>
      </c>
      <c r="BD9" s="24">
        <v>1</v>
      </c>
      <c r="BE9" s="24" t="s">
        <v>184</v>
      </c>
      <c r="BF9" s="24" t="s">
        <v>184</v>
      </c>
      <c r="BG9" s="24" t="s">
        <v>183</v>
      </c>
      <c r="BH9" s="24" t="s">
        <v>183</v>
      </c>
      <c r="BI9" s="24" t="s">
        <v>183</v>
      </c>
      <c r="BJ9" s="24" t="s">
        <v>183</v>
      </c>
      <c r="BK9" s="24"/>
      <c r="BL9" s="24"/>
      <c r="BM9" s="57"/>
      <c r="BN9" s="2" t="str">
        <f>IF(AND((BN$6-$P9)&gt;=0,(BN$6-$P9)&lt;=($Q9-$P9)),"."," ")</f>
        <v xml:space="preserve"> </v>
      </c>
      <c r="BO9" s="2" t="str">
        <f t="shared" si="2"/>
        <v>.</v>
      </c>
      <c r="BP9" s="2" t="str">
        <f t="shared" si="2"/>
        <v>.</v>
      </c>
      <c r="BQ9" s="2" t="str">
        <f t="shared" si="2"/>
        <v>.</v>
      </c>
      <c r="BR9" s="2" t="str">
        <f t="shared" si="2"/>
        <v xml:space="preserve"> </v>
      </c>
      <c r="BS9" s="2" t="str">
        <f t="shared" si="2"/>
        <v xml:space="preserve"> </v>
      </c>
      <c r="BT9" s="2" t="str">
        <f t="shared" si="2"/>
        <v xml:space="preserve"> </v>
      </c>
      <c r="BU9" s="2" t="str">
        <f t="shared" si="2"/>
        <v xml:space="preserve"> </v>
      </c>
      <c r="BV9" s="2" t="str">
        <f t="shared" si="2"/>
        <v xml:space="preserve"> </v>
      </c>
      <c r="BW9" s="2" t="str">
        <f t="shared" si="2"/>
        <v xml:space="preserve"> </v>
      </c>
      <c r="BX9" s="2" t="str">
        <f t="shared" si="2"/>
        <v xml:space="preserve"> </v>
      </c>
      <c r="BY9" s="2" t="str">
        <f t="shared" si="2"/>
        <v xml:space="preserve"> </v>
      </c>
      <c r="BZ9" s="2" t="str">
        <f t="shared" si="2"/>
        <v xml:space="preserve"> </v>
      </c>
      <c r="CA9" s="2" t="str">
        <f t="shared" si="2"/>
        <v xml:space="preserve"> </v>
      </c>
      <c r="CB9" s="2" t="str">
        <f t="shared" si="2"/>
        <v xml:space="preserve"> </v>
      </c>
      <c r="CC9" s="2" t="str">
        <f t="shared" si="2"/>
        <v xml:space="preserve"> </v>
      </c>
      <c r="CD9" s="2" t="str">
        <f t="shared" si="2"/>
        <v xml:space="preserve"> </v>
      </c>
      <c r="CE9" s="2" t="str">
        <f t="shared" si="2"/>
        <v xml:space="preserve"> </v>
      </c>
      <c r="CF9" s="2" t="str">
        <f t="shared" si="2"/>
        <v xml:space="preserve"> </v>
      </c>
      <c r="CG9" s="2" t="str">
        <f t="shared" si="2"/>
        <v xml:space="preserve"> </v>
      </c>
      <c r="CH9" s="2" t="str">
        <f t="shared" si="2"/>
        <v xml:space="preserve"> </v>
      </c>
      <c r="CI9" s="2" t="str">
        <f t="shared" si="2"/>
        <v xml:space="preserve"> </v>
      </c>
      <c r="CJ9" s="2" t="str">
        <f t="shared" si="2"/>
        <v xml:space="preserve"> </v>
      </c>
      <c r="CK9" s="2" t="str">
        <f t="shared" si="2"/>
        <v xml:space="preserve"> </v>
      </c>
      <c r="CL9" s="2" t="str">
        <f t="shared" si="2"/>
        <v xml:space="preserve"> </v>
      </c>
      <c r="CM9" s="2" t="str">
        <f t="shared" si="2"/>
        <v xml:space="preserve"> </v>
      </c>
      <c r="CN9" s="2" t="str">
        <f t="shared" si="2"/>
        <v xml:space="preserve"> </v>
      </c>
      <c r="CO9" s="2" t="str">
        <f t="shared" si="2"/>
        <v xml:space="preserve"> </v>
      </c>
      <c r="CP9" s="2" t="str">
        <f t="shared" si="2"/>
        <v xml:space="preserve"> </v>
      </c>
      <c r="CQ9" s="2" t="str">
        <f t="shared" si="2"/>
        <v xml:space="preserve"> </v>
      </c>
      <c r="CR9" s="2" t="str">
        <f t="shared" si="2"/>
        <v xml:space="preserve"> </v>
      </c>
    </row>
    <row r="10" spans="1:96">
      <c r="A10" s="21" t="str">
        <f>VLOOKUP(L10,Ubicacion!A:K,2,FALSE)</f>
        <v>LI3BR</v>
      </c>
      <c r="B10" s="21" t="str">
        <f>VLOOKUP(L10,Ubicacion!A:K,3,FALSE)</f>
        <v>LI3BC06</v>
      </c>
      <c r="C10" s="21" t="str">
        <f>VLOOKUP(L10,Ubicacion!A:K,4,FALSE)</f>
        <v>LIMA</v>
      </c>
      <c r="D10" s="21" t="str">
        <f>VLOOKUP(L10,Ubicacion!A:K,5,FALSE)</f>
        <v>SURCO</v>
      </c>
      <c r="E10" s="21" t="str">
        <f>VLOOKUP(L10,Ubicacion!A:K,6,FALSE)</f>
        <v>Universidad</v>
      </c>
      <c r="F10" s="21" t="str">
        <f>VLOOKUP(L10,Ubicacion!A:K,7,FALSE)</f>
        <v>8:00 - 13:00</v>
      </c>
      <c r="G10" s="21" t="str">
        <f>VLOOKUP(L10,Ubicacion!A:K,8,FALSE)</f>
        <v>MONDAY</v>
      </c>
      <c r="H10" s="21">
        <f>VLOOKUP(L10,Ubicacion!A:K,9,FALSE)</f>
        <v>1</v>
      </c>
      <c r="I10" s="21">
        <f>VLOOKUP(L10,Ubicacion!A:K,10,FALSE)</f>
        <v>-12.1304175900431</v>
      </c>
      <c r="J10" s="21">
        <f>VLOOKUP(L10,Ubicacion!A:K,11,FALSE)</f>
        <v>-76.980578726342998</v>
      </c>
      <c r="K10" s="21" t="str">
        <f t="shared" si="3"/>
        <v>46145Grupo 3</v>
      </c>
      <c r="L10" s="21" t="s">
        <v>62</v>
      </c>
      <c r="M10" s="21">
        <v>1</v>
      </c>
      <c r="N10" s="24" t="s">
        <v>186</v>
      </c>
      <c r="O10" s="24" t="s">
        <v>192</v>
      </c>
      <c r="P10" s="23">
        <v>46145</v>
      </c>
      <c r="Q10" s="23">
        <f t="shared" ref="Q10:Q71" si="14">P10+M10-1</f>
        <v>46145</v>
      </c>
      <c r="R10" s="24" t="str">
        <f ca="1">IF($A$1&lt;Q10,"On-time",IF(AND(Q10&lt;=$A$1,BJ10="OK"),"OK","NO OK"))</f>
        <v>NO OK</v>
      </c>
      <c r="S10" s="24" t="str">
        <f>(UPPER(TEXT(P10,"dddd")))</f>
        <v>SUNDAY</v>
      </c>
      <c r="T10" s="24">
        <f>VLOOKUP(L10,Ubicacion!A:AE,13,FALSE)</f>
        <v>15</v>
      </c>
      <c r="U10" s="24">
        <f>VLOOKUP(L10,Ubicacion!A:AE,14,FALSE)</f>
        <v>2</v>
      </c>
      <c r="V10" s="24">
        <f>VLOOKUP(L10,Ubicacion!A:AE,15,FALSE)</f>
        <v>2</v>
      </c>
      <c r="W10" s="24">
        <f>VLOOKUP(L10,Ubicacion!A:AE,16,FALSE)</f>
        <v>13</v>
      </c>
      <c r="X10" s="24">
        <f>VLOOKUP(L10,Ubicacion!A:AE,17,FALSE)</f>
        <v>4</v>
      </c>
      <c r="Y10" s="24">
        <f>VLOOKUP(L10,Ubicacion!A:AE,18,FALSE)</f>
        <v>4</v>
      </c>
      <c r="Z10" s="24">
        <f>VLOOKUP(L10,Ubicacion!A:AE,19,FALSE)</f>
        <v>0</v>
      </c>
      <c r="AA10" s="24">
        <f>VLOOKUP(L10,Ubicacion!A:AE,20,FALSE)</f>
        <v>0</v>
      </c>
      <c r="AB10" s="24">
        <f>VLOOKUP(L10,Ubicacion!A:AE,21,FALSE)</f>
        <v>0</v>
      </c>
      <c r="AC10" s="24">
        <f>VLOOKUP(L10,Ubicacion!A:AE,22,FALSE)</f>
        <v>2</v>
      </c>
      <c r="AD10" s="24">
        <f>VLOOKUP(L10,Ubicacion!A:AE,23,FALSE)</f>
        <v>0</v>
      </c>
      <c r="AE10" s="24">
        <f>VLOOKUP(L10,Ubicacion!A:AE,24,FALSE)</f>
        <v>0</v>
      </c>
      <c r="AF10" s="24">
        <f>VLOOKUP(L10,Ubicacion!A:AE,25,FALSE)</f>
        <v>0</v>
      </c>
      <c r="AG10" s="24">
        <f>VLOOKUP(L10,Ubicacion!A:AE,26,FALSE)</f>
        <v>2</v>
      </c>
      <c r="AH10" s="24">
        <f>VLOOKUP(L10,Ubicacion!A:AE,27,FALSE)</f>
        <v>2</v>
      </c>
      <c r="AI10" s="24">
        <f>VLOOKUP(L10,Ubicacion!A:AE,28,FALSE)</f>
        <v>5</v>
      </c>
      <c r="AJ10" s="24">
        <f>VLOOKUP(L10,Ubicacion!A:AE,29,FALSE)</f>
        <v>3</v>
      </c>
      <c r="AK10" s="24">
        <f>VLOOKUP(L10,Ubicacion!A:AE,30,FALSE)</f>
        <v>1</v>
      </c>
      <c r="AL10" s="24">
        <f>VLOOKUP(L10,Ubicacion!A:AE,31,FALSE)</f>
        <v>1</v>
      </c>
      <c r="AM10" s="25">
        <f t="shared" si="5"/>
        <v>0.66666666666666663</v>
      </c>
      <c r="AN10" s="25">
        <f t="shared" si="6"/>
        <v>0.5</v>
      </c>
      <c r="AO10" s="25">
        <f t="shared" si="7"/>
        <v>1</v>
      </c>
      <c r="AP10" s="25">
        <f t="shared" si="8"/>
        <v>0.15384615384615385</v>
      </c>
      <c r="AQ10" s="25">
        <f t="shared" si="9"/>
        <v>0.5</v>
      </c>
      <c r="AR10" s="25">
        <f t="shared" si="10"/>
        <v>0.25</v>
      </c>
      <c r="AS10" s="25" t="str">
        <f t="shared" si="11"/>
        <v>100%</v>
      </c>
      <c r="AT10" s="25" t="str">
        <f t="shared" si="12"/>
        <v>100%</v>
      </c>
      <c r="AU10" s="25" t="str">
        <f t="shared" si="13"/>
        <v>100%</v>
      </c>
      <c r="AV10" s="24">
        <v>10</v>
      </c>
      <c r="AW10" s="24">
        <v>1</v>
      </c>
      <c r="AX10" s="24">
        <v>2</v>
      </c>
      <c r="AY10" s="24">
        <v>2</v>
      </c>
      <c r="AZ10" s="24">
        <v>2</v>
      </c>
      <c r="BA10" s="24">
        <v>1</v>
      </c>
      <c r="BB10" s="24">
        <v>2</v>
      </c>
      <c r="BC10" s="24">
        <v>1</v>
      </c>
      <c r="BD10" s="24">
        <v>1</v>
      </c>
      <c r="BE10" s="24" t="s">
        <v>184</v>
      </c>
      <c r="BF10" s="24" t="s">
        <v>184</v>
      </c>
      <c r="BG10" s="24" t="s">
        <v>183</v>
      </c>
      <c r="BH10" s="24" t="s">
        <v>183</v>
      </c>
      <c r="BI10" s="24" t="s">
        <v>183</v>
      </c>
      <c r="BJ10" s="24" t="s">
        <v>184</v>
      </c>
      <c r="BK10" s="24"/>
      <c r="BL10" s="24"/>
      <c r="BM10" s="57"/>
      <c r="BN10" s="2" t="str">
        <f>IF(AND((BN$6-$P10)&gt;=0,(BN$6-$P10)&lt;=($Q10-$P10)),"."," ")</f>
        <v xml:space="preserve"> </v>
      </c>
      <c r="BO10" s="2" t="str">
        <f t="shared" si="2"/>
        <v xml:space="preserve"> </v>
      </c>
      <c r="BP10" s="2" t="str">
        <f>IF(AND((BP$6-$P10)&gt;=0,(BP$6-$P10)&lt;=($Q10-$P10)),"."," ")</f>
        <v>.</v>
      </c>
      <c r="BQ10" s="2" t="str">
        <f t="shared" si="2"/>
        <v xml:space="preserve"> </v>
      </c>
      <c r="BR10" s="2" t="str">
        <f t="shared" si="2"/>
        <v xml:space="preserve"> </v>
      </c>
      <c r="BS10" s="2" t="str">
        <f t="shared" si="2"/>
        <v xml:space="preserve"> </v>
      </c>
      <c r="BT10" s="2" t="str">
        <f t="shared" si="2"/>
        <v xml:space="preserve"> </v>
      </c>
      <c r="BU10" s="2" t="str">
        <f t="shared" si="2"/>
        <v xml:space="preserve"> </v>
      </c>
      <c r="BV10" s="2" t="str">
        <f t="shared" si="2"/>
        <v xml:space="preserve"> </v>
      </c>
      <c r="BW10" s="2" t="str">
        <f t="shared" si="2"/>
        <v xml:space="preserve"> </v>
      </c>
      <c r="BX10" s="2" t="str">
        <f t="shared" si="2"/>
        <v xml:space="preserve"> </v>
      </c>
      <c r="BY10" s="2" t="str">
        <f t="shared" si="2"/>
        <v xml:space="preserve"> </v>
      </c>
      <c r="BZ10" s="2" t="str">
        <f t="shared" si="2"/>
        <v xml:space="preserve"> </v>
      </c>
      <c r="CA10" s="2" t="str">
        <f t="shared" si="2"/>
        <v xml:space="preserve"> </v>
      </c>
      <c r="CB10" s="2" t="str">
        <f t="shared" si="2"/>
        <v xml:space="preserve"> </v>
      </c>
      <c r="CC10" s="2" t="str">
        <f t="shared" si="2"/>
        <v xml:space="preserve"> </v>
      </c>
      <c r="CD10" s="2" t="str">
        <f t="shared" si="2"/>
        <v xml:space="preserve"> </v>
      </c>
      <c r="CE10" s="2" t="str">
        <f t="shared" si="2"/>
        <v xml:space="preserve"> </v>
      </c>
      <c r="CF10" s="2" t="str">
        <f t="shared" si="2"/>
        <v xml:space="preserve"> </v>
      </c>
      <c r="CG10" s="2" t="str">
        <f t="shared" si="2"/>
        <v xml:space="preserve"> </v>
      </c>
      <c r="CH10" s="2" t="str">
        <f t="shared" si="2"/>
        <v xml:space="preserve"> </v>
      </c>
      <c r="CI10" s="2" t="str">
        <f t="shared" si="2"/>
        <v xml:space="preserve"> </v>
      </c>
      <c r="CJ10" s="2" t="str">
        <f t="shared" si="2"/>
        <v xml:space="preserve"> </v>
      </c>
      <c r="CK10" s="2" t="str">
        <f t="shared" si="2"/>
        <v xml:space="preserve"> </v>
      </c>
      <c r="CL10" s="2" t="str">
        <f t="shared" si="2"/>
        <v xml:space="preserve"> </v>
      </c>
      <c r="CM10" s="2" t="str">
        <f t="shared" si="2"/>
        <v xml:space="preserve"> </v>
      </c>
      <c r="CN10" s="2" t="str">
        <f t="shared" si="2"/>
        <v xml:space="preserve"> </v>
      </c>
      <c r="CO10" s="2" t="str">
        <f t="shared" si="2"/>
        <v xml:space="preserve"> </v>
      </c>
      <c r="CP10" s="2" t="str">
        <f t="shared" si="2"/>
        <v xml:space="preserve"> </v>
      </c>
      <c r="CQ10" s="2" t="str">
        <f t="shared" si="2"/>
        <v xml:space="preserve"> </v>
      </c>
      <c r="CR10" s="2" t="str">
        <f t="shared" si="2"/>
        <v xml:space="preserve"> </v>
      </c>
    </row>
    <row r="11" spans="1:96">
      <c r="A11" s="21" t="str">
        <f>VLOOKUP(L11,Ubicacion!A:K,2,FALSE)</f>
        <v>LI3BR</v>
      </c>
      <c r="B11" s="21" t="str">
        <f>VLOOKUP(L11,Ubicacion!A:K,3,FALSE)</f>
        <v>LI3BC11</v>
      </c>
      <c r="C11" s="21" t="str">
        <f>VLOOKUP(L11,Ubicacion!A:K,4,FALSE)</f>
        <v>LIMA</v>
      </c>
      <c r="D11" s="21" t="str">
        <f>VLOOKUP(L11,Ubicacion!A:K,5,FALSE)</f>
        <v>SAN JUAN DE MIRAFLORES 2</v>
      </c>
      <c r="E11" s="21" t="str">
        <f>VLOOKUP(L11,Ubicacion!A:K,6,FALSE)</f>
        <v xml:space="preserve">Plaza </v>
      </c>
      <c r="F11" s="21" t="str">
        <f>VLOOKUP(L11,Ubicacion!A:K,7,FALSE)</f>
        <v>09:00 - 17:00</v>
      </c>
      <c r="G11" s="21" t="str">
        <f>VLOOKUP(L11,Ubicacion!A:K,8,FALSE)</f>
        <v>TUESDAY</v>
      </c>
      <c r="H11" s="21">
        <f>VLOOKUP(L11,Ubicacion!A:K,9,FALSE)</f>
        <v>1</v>
      </c>
      <c r="I11" s="21">
        <f>VLOOKUP(L11,Ubicacion!A:K,10,FALSE)</f>
        <v>-12.132078734209401</v>
      </c>
      <c r="J11" s="21">
        <f>VLOOKUP(L11,Ubicacion!A:K,11,FALSE)</f>
        <v>-76.954881236255503</v>
      </c>
      <c r="K11" s="21" t="str">
        <f t="shared" si="3"/>
        <v>46146Grupo 1</v>
      </c>
      <c r="L11" s="21" t="s">
        <v>63</v>
      </c>
      <c r="M11" s="21">
        <v>1</v>
      </c>
      <c r="N11" s="24" t="s">
        <v>188</v>
      </c>
      <c r="O11" s="24" t="s">
        <v>171</v>
      </c>
      <c r="P11" s="23">
        <v>46146</v>
      </c>
      <c r="Q11" s="23">
        <f t="shared" si="14"/>
        <v>46146</v>
      </c>
      <c r="R11" s="24" t="str">
        <f ca="1">IF($A$1&lt;Q11,"On-time",IF(AND(Q11&lt;=$A$1,BJ11="OK"),"OK","NO OK"))</f>
        <v>NO OK</v>
      </c>
      <c r="S11" s="24" t="str">
        <f t="shared" si="4"/>
        <v>MONDAY</v>
      </c>
      <c r="T11" s="24">
        <f>VLOOKUP(L11,Ubicacion!A:AE,13,FALSE)</f>
        <v>15</v>
      </c>
      <c r="U11" s="24">
        <f>VLOOKUP(L11,Ubicacion!A:AE,14,FALSE)</f>
        <v>2</v>
      </c>
      <c r="V11" s="24">
        <f>VLOOKUP(L11,Ubicacion!A:AE,15,FALSE)</f>
        <v>2</v>
      </c>
      <c r="W11" s="24">
        <f>VLOOKUP(L11,Ubicacion!A:AE,16,FALSE)</f>
        <v>13</v>
      </c>
      <c r="X11" s="24">
        <f>VLOOKUP(L11,Ubicacion!A:AE,17,FALSE)</f>
        <v>4</v>
      </c>
      <c r="Y11" s="24">
        <f>VLOOKUP(L11,Ubicacion!A:AE,18,FALSE)</f>
        <v>4</v>
      </c>
      <c r="Z11" s="24">
        <f>VLOOKUP(L11,Ubicacion!A:AE,19,FALSE)</f>
        <v>0</v>
      </c>
      <c r="AA11" s="24">
        <f>VLOOKUP(L11,Ubicacion!A:AE,20,FALSE)</f>
        <v>0</v>
      </c>
      <c r="AB11" s="24">
        <f>VLOOKUP(L11,Ubicacion!A:AE,21,FALSE)</f>
        <v>0</v>
      </c>
      <c r="AC11" s="24">
        <f>VLOOKUP(L11,Ubicacion!A:AE,22,FALSE)</f>
        <v>2</v>
      </c>
      <c r="AD11" s="24">
        <f>VLOOKUP(L11,Ubicacion!A:AE,23,FALSE)</f>
        <v>0</v>
      </c>
      <c r="AE11" s="24">
        <f>VLOOKUP(L11,Ubicacion!A:AE,24,FALSE)</f>
        <v>0</v>
      </c>
      <c r="AF11" s="24">
        <f>VLOOKUP(L11,Ubicacion!A:AE,25,FALSE)</f>
        <v>0</v>
      </c>
      <c r="AG11" s="24">
        <f>VLOOKUP(L11,Ubicacion!A:AE,26,FALSE)</f>
        <v>2</v>
      </c>
      <c r="AH11" s="24">
        <f>VLOOKUP(L11,Ubicacion!A:AE,27,FALSE)</f>
        <v>2</v>
      </c>
      <c r="AI11" s="24">
        <f>VLOOKUP(L11,Ubicacion!A:AE,28,FALSE)</f>
        <v>5</v>
      </c>
      <c r="AJ11" s="24">
        <f>VLOOKUP(L11,Ubicacion!A:AE,29,FALSE)</f>
        <v>3</v>
      </c>
      <c r="AK11" s="24">
        <f>VLOOKUP(L11,Ubicacion!A:AE,30,FALSE)</f>
        <v>1</v>
      </c>
      <c r="AL11" s="24">
        <f>VLOOKUP(L11,Ubicacion!A:AE,31,FALSE)</f>
        <v>1</v>
      </c>
      <c r="AM11" s="25">
        <f t="shared" si="5"/>
        <v>0.66666666666666663</v>
      </c>
      <c r="AN11" s="25">
        <f t="shared" si="6"/>
        <v>0.5</v>
      </c>
      <c r="AO11" s="25">
        <f t="shared" si="7"/>
        <v>1</v>
      </c>
      <c r="AP11" s="25">
        <f t="shared" si="8"/>
        <v>0.15384615384615385</v>
      </c>
      <c r="AQ11" s="25">
        <f t="shared" si="9"/>
        <v>0.5</v>
      </c>
      <c r="AR11" s="25">
        <f t="shared" si="10"/>
        <v>0.25</v>
      </c>
      <c r="AS11" s="25" t="str">
        <f t="shared" si="11"/>
        <v>100%</v>
      </c>
      <c r="AT11" s="25" t="str">
        <f t="shared" si="12"/>
        <v>100%</v>
      </c>
      <c r="AU11" s="25" t="str">
        <f t="shared" si="13"/>
        <v>100%</v>
      </c>
      <c r="AV11" s="24">
        <v>10</v>
      </c>
      <c r="AW11" s="24">
        <v>1</v>
      </c>
      <c r="AX11" s="24">
        <v>2</v>
      </c>
      <c r="AY11" s="24">
        <v>2</v>
      </c>
      <c r="AZ11" s="24">
        <v>2</v>
      </c>
      <c r="BA11" s="24">
        <v>1</v>
      </c>
      <c r="BB11" s="24">
        <v>2</v>
      </c>
      <c r="BC11" s="24">
        <v>1</v>
      </c>
      <c r="BD11" s="24">
        <v>1</v>
      </c>
      <c r="BE11" s="24" t="s">
        <v>184</v>
      </c>
      <c r="BF11" s="24" t="s">
        <v>184</v>
      </c>
      <c r="BG11" s="24" t="s">
        <v>183</v>
      </c>
      <c r="BH11" s="24" t="s">
        <v>183</v>
      </c>
      <c r="BI11" s="24" t="s">
        <v>183</v>
      </c>
      <c r="BJ11" s="24" t="s">
        <v>184</v>
      </c>
      <c r="BK11" s="24"/>
      <c r="BL11" s="24"/>
      <c r="BM11" s="57"/>
      <c r="BN11" s="2" t="str">
        <f>IF(AND((BN$6-$P11)&gt;=0,(BN$6-$P11)&lt;=($Q11-$P11)),"."," ")</f>
        <v xml:space="preserve"> </v>
      </c>
      <c r="BO11" s="2" t="str">
        <f t="shared" si="2"/>
        <v xml:space="preserve"> </v>
      </c>
      <c r="BP11" s="2" t="str">
        <f t="shared" si="2"/>
        <v xml:space="preserve"> </v>
      </c>
      <c r="BQ11" s="2" t="str">
        <f t="shared" si="2"/>
        <v>.</v>
      </c>
      <c r="BR11" s="2" t="str">
        <f t="shared" si="2"/>
        <v xml:space="preserve"> </v>
      </c>
      <c r="BS11" s="2" t="str">
        <f t="shared" si="2"/>
        <v xml:space="preserve"> </v>
      </c>
      <c r="BT11" s="2" t="str">
        <f t="shared" si="2"/>
        <v xml:space="preserve"> </v>
      </c>
      <c r="BU11" s="2" t="str">
        <f t="shared" si="2"/>
        <v xml:space="preserve"> </v>
      </c>
      <c r="BV11" s="2" t="str">
        <f t="shared" si="2"/>
        <v xml:space="preserve"> </v>
      </c>
      <c r="BW11" s="2" t="str">
        <f t="shared" si="2"/>
        <v xml:space="preserve"> </v>
      </c>
      <c r="BX11" s="2" t="str">
        <f t="shared" si="2"/>
        <v xml:space="preserve"> </v>
      </c>
      <c r="BY11" s="2" t="str">
        <f t="shared" si="2"/>
        <v xml:space="preserve"> </v>
      </c>
      <c r="BZ11" s="2" t="str">
        <f t="shared" si="2"/>
        <v xml:space="preserve"> </v>
      </c>
      <c r="CA11" s="2" t="str">
        <f t="shared" si="2"/>
        <v xml:space="preserve"> </v>
      </c>
      <c r="CB11" s="2" t="str">
        <f t="shared" si="2"/>
        <v xml:space="preserve"> </v>
      </c>
      <c r="CC11" s="2" t="str">
        <f t="shared" si="2"/>
        <v xml:space="preserve"> </v>
      </c>
      <c r="CD11" s="2" t="str">
        <f t="shared" si="2"/>
        <v xml:space="preserve"> </v>
      </c>
      <c r="CE11" s="2" t="str">
        <f t="shared" si="2"/>
        <v xml:space="preserve"> </v>
      </c>
      <c r="CF11" s="2" t="str">
        <f t="shared" si="2"/>
        <v xml:space="preserve"> </v>
      </c>
      <c r="CG11" s="2" t="str">
        <f t="shared" si="2"/>
        <v xml:space="preserve"> </v>
      </c>
      <c r="CH11" s="2" t="str">
        <f t="shared" si="2"/>
        <v xml:space="preserve"> </v>
      </c>
      <c r="CI11" s="2" t="str">
        <f t="shared" si="2"/>
        <v xml:space="preserve"> </v>
      </c>
      <c r="CJ11" s="2" t="str">
        <f t="shared" si="2"/>
        <v xml:space="preserve"> </v>
      </c>
      <c r="CK11" s="2" t="str">
        <f t="shared" si="2"/>
        <v xml:space="preserve"> </v>
      </c>
      <c r="CL11" s="2" t="str">
        <f t="shared" si="2"/>
        <v xml:space="preserve"> </v>
      </c>
      <c r="CM11" s="2" t="str">
        <f t="shared" si="2"/>
        <v xml:space="preserve"> </v>
      </c>
      <c r="CN11" s="2" t="str">
        <f t="shared" si="2"/>
        <v xml:space="preserve"> </v>
      </c>
      <c r="CO11" s="2" t="str">
        <f t="shared" si="2"/>
        <v xml:space="preserve"> </v>
      </c>
      <c r="CP11" s="2" t="str">
        <f t="shared" si="2"/>
        <v xml:space="preserve"> </v>
      </c>
      <c r="CQ11" s="2" t="str">
        <f t="shared" si="2"/>
        <v xml:space="preserve"> </v>
      </c>
      <c r="CR11" s="2" t="str">
        <f t="shared" si="2"/>
        <v xml:space="preserve"> </v>
      </c>
    </row>
    <row r="12" spans="1:96">
      <c r="A12" s="21" t="str">
        <f>VLOOKUP(L12,Ubicacion!A:K,2,FALSE)</f>
        <v>LI3BR</v>
      </c>
      <c r="B12" s="21" t="str">
        <f>VLOOKUP(L12,Ubicacion!A:K,3,FALSE)</f>
        <v>LI3BC06</v>
      </c>
      <c r="C12" s="21" t="str">
        <f>VLOOKUP(L12,Ubicacion!A:K,4,FALSE)</f>
        <v>LIMA</v>
      </c>
      <c r="D12" s="21" t="str">
        <f>VLOOKUP(L12,Ubicacion!A:K,5,FALSE)</f>
        <v>SURCO</v>
      </c>
      <c r="E12" s="21" t="str">
        <f>VLOOKUP(L12,Ubicacion!A:K,6,FALSE)</f>
        <v>Grifo</v>
      </c>
      <c r="F12" s="21" t="str">
        <f>VLOOKUP(L12,Ubicacion!A:K,7,FALSE)</f>
        <v>09:00 - 16:00</v>
      </c>
      <c r="G12" s="21" t="str">
        <f>VLOOKUP(L12,Ubicacion!A:K,8,FALSE)</f>
        <v>WEDNESDAY</v>
      </c>
      <c r="H12" s="21">
        <f>VLOOKUP(L12,Ubicacion!A:K,9,FALSE)</f>
        <v>1</v>
      </c>
      <c r="I12" s="21">
        <f>VLOOKUP(L12,Ubicacion!A:K,10,FALSE)</f>
        <v>-12.1285727713173</v>
      </c>
      <c r="J12" s="21">
        <f>VLOOKUP(L12,Ubicacion!A:K,11,FALSE)</f>
        <v>-76.997764752684304</v>
      </c>
      <c r="K12" s="21" t="str">
        <f t="shared" si="3"/>
        <v>46147Grupo 1</v>
      </c>
      <c r="L12" s="21" t="s">
        <v>64</v>
      </c>
      <c r="M12" s="21">
        <v>1</v>
      </c>
      <c r="N12" s="24" t="s">
        <v>189</v>
      </c>
      <c r="O12" s="24" t="s">
        <v>171</v>
      </c>
      <c r="P12" s="23">
        <v>46147</v>
      </c>
      <c r="Q12" s="23">
        <f t="shared" si="14"/>
        <v>46147</v>
      </c>
      <c r="R12" s="24" t="str">
        <f ca="1">IF($A$1&lt;Q12,"On-time",IF(AND(Q12&lt;=$A$1,BJ12="OK"),"OK","NO OK"))</f>
        <v>NO OK</v>
      </c>
      <c r="S12" s="24" t="str">
        <f t="shared" si="4"/>
        <v>TUESDAY</v>
      </c>
      <c r="T12" s="24">
        <f>VLOOKUP(L12,Ubicacion!A:AE,13,FALSE)</f>
        <v>15</v>
      </c>
      <c r="U12" s="24">
        <f>VLOOKUP(L12,Ubicacion!A:AE,14,FALSE)</f>
        <v>2</v>
      </c>
      <c r="V12" s="24">
        <f>VLOOKUP(L12,Ubicacion!A:AE,15,FALSE)</f>
        <v>2</v>
      </c>
      <c r="W12" s="24">
        <f>VLOOKUP(L12,Ubicacion!A:AE,16,FALSE)</f>
        <v>13</v>
      </c>
      <c r="X12" s="24">
        <f>VLOOKUP(L12,Ubicacion!A:AE,17,FALSE)</f>
        <v>4</v>
      </c>
      <c r="Y12" s="24">
        <f>VLOOKUP(L12,Ubicacion!A:AE,18,FALSE)</f>
        <v>4</v>
      </c>
      <c r="Z12" s="24">
        <f>VLOOKUP(L12,Ubicacion!A:AE,19,FALSE)</f>
        <v>0</v>
      </c>
      <c r="AA12" s="24">
        <f>VLOOKUP(L12,Ubicacion!A:AE,20,FALSE)</f>
        <v>0</v>
      </c>
      <c r="AB12" s="24">
        <f>VLOOKUP(L12,Ubicacion!A:AE,21,FALSE)</f>
        <v>0</v>
      </c>
      <c r="AC12" s="24">
        <f>VLOOKUP(L12,Ubicacion!A:AE,22,FALSE)</f>
        <v>2</v>
      </c>
      <c r="AD12" s="24">
        <f>VLOOKUP(L12,Ubicacion!A:AE,23,FALSE)</f>
        <v>0</v>
      </c>
      <c r="AE12" s="24">
        <f>VLOOKUP(L12,Ubicacion!A:AE,24,FALSE)</f>
        <v>0</v>
      </c>
      <c r="AF12" s="24">
        <f>VLOOKUP(L12,Ubicacion!A:AE,25,FALSE)</f>
        <v>0</v>
      </c>
      <c r="AG12" s="24">
        <f>VLOOKUP(L12,Ubicacion!A:AE,26,FALSE)</f>
        <v>2</v>
      </c>
      <c r="AH12" s="24">
        <f>VLOOKUP(L12,Ubicacion!A:AE,27,FALSE)</f>
        <v>2</v>
      </c>
      <c r="AI12" s="24">
        <f>VLOOKUP(L12,Ubicacion!A:AE,28,FALSE)</f>
        <v>5</v>
      </c>
      <c r="AJ12" s="24">
        <f>VLOOKUP(L12,Ubicacion!A:AE,29,FALSE)</f>
        <v>3</v>
      </c>
      <c r="AK12" s="24">
        <f>VLOOKUP(L12,Ubicacion!A:AE,30,FALSE)</f>
        <v>1</v>
      </c>
      <c r="AL12" s="24">
        <f>VLOOKUP(L12,Ubicacion!A:AE,31,FALSE)</f>
        <v>1</v>
      </c>
      <c r="AM12" s="25">
        <f t="shared" si="5"/>
        <v>0.66666666666666663</v>
      </c>
      <c r="AN12" s="25">
        <f t="shared" si="6"/>
        <v>0.5</v>
      </c>
      <c r="AO12" s="25">
        <f t="shared" si="7"/>
        <v>1</v>
      </c>
      <c r="AP12" s="25">
        <f t="shared" si="8"/>
        <v>0.15384615384615385</v>
      </c>
      <c r="AQ12" s="25">
        <f t="shared" si="9"/>
        <v>0.5</v>
      </c>
      <c r="AR12" s="25">
        <f t="shared" si="10"/>
        <v>0.25</v>
      </c>
      <c r="AS12" s="25" t="str">
        <f t="shared" si="11"/>
        <v>100%</v>
      </c>
      <c r="AT12" s="25" t="str">
        <f t="shared" si="12"/>
        <v>100%</v>
      </c>
      <c r="AU12" s="25" t="str">
        <f t="shared" si="13"/>
        <v>100%</v>
      </c>
      <c r="AV12" s="24">
        <v>10</v>
      </c>
      <c r="AW12" s="24">
        <v>1</v>
      </c>
      <c r="AX12" s="24">
        <v>2</v>
      </c>
      <c r="AY12" s="24">
        <v>2</v>
      </c>
      <c r="AZ12" s="24">
        <v>2</v>
      </c>
      <c r="BA12" s="24">
        <v>1</v>
      </c>
      <c r="BB12" s="24">
        <v>2</v>
      </c>
      <c r="BC12" s="24">
        <v>1</v>
      </c>
      <c r="BD12" s="24">
        <v>1</v>
      </c>
      <c r="BE12" s="24" t="s">
        <v>184</v>
      </c>
      <c r="BF12" s="24" t="s">
        <v>184</v>
      </c>
      <c r="BG12" s="24" t="s">
        <v>183</v>
      </c>
      <c r="BH12" s="24" t="s">
        <v>183</v>
      </c>
      <c r="BI12" s="24" t="s">
        <v>183</v>
      </c>
      <c r="BJ12" s="24" t="s">
        <v>184</v>
      </c>
      <c r="BK12" s="24"/>
      <c r="BL12" s="24"/>
      <c r="BM12" s="57"/>
      <c r="BN12" s="2" t="str">
        <f>IF(AND((BN$6-$P12)&gt;=0,(BN$6-$P12)&lt;=($Q12-$P12)),"."," ")</f>
        <v xml:space="preserve"> </v>
      </c>
      <c r="BO12" s="2" t="str">
        <f t="shared" si="2"/>
        <v xml:space="preserve"> </v>
      </c>
      <c r="BP12" s="2" t="str">
        <f t="shared" si="2"/>
        <v xml:space="preserve"> </v>
      </c>
      <c r="BQ12" s="2" t="str">
        <f t="shared" si="2"/>
        <v xml:space="preserve"> </v>
      </c>
      <c r="BR12" s="2" t="str">
        <f t="shared" si="2"/>
        <v>.</v>
      </c>
      <c r="BS12" s="2" t="str">
        <f t="shared" si="2"/>
        <v xml:space="preserve"> </v>
      </c>
      <c r="BT12" s="2" t="str">
        <f t="shared" si="2"/>
        <v xml:space="preserve"> </v>
      </c>
      <c r="BU12" s="2" t="str">
        <f t="shared" si="2"/>
        <v xml:space="preserve"> </v>
      </c>
      <c r="BV12" s="2" t="str">
        <f t="shared" si="2"/>
        <v xml:space="preserve"> </v>
      </c>
      <c r="BW12" s="2" t="str">
        <f t="shared" si="2"/>
        <v xml:space="preserve"> </v>
      </c>
      <c r="BX12" s="2" t="str">
        <f t="shared" si="2"/>
        <v xml:space="preserve"> </v>
      </c>
      <c r="BY12" s="2" t="str">
        <f t="shared" si="2"/>
        <v xml:space="preserve"> </v>
      </c>
      <c r="BZ12" s="2" t="str">
        <f t="shared" si="2"/>
        <v xml:space="preserve"> </v>
      </c>
      <c r="CA12" s="2" t="str">
        <f t="shared" si="2"/>
        <v xml:space="preserve"> </v>
      </c>
      <c r="CB12" s="2" t="str">
        <f t="shared" si="2"/>
        <v xml:space="preserve"> </v>
      </c>
      <c r="CC12" s="2" t="str">
        <f t="shared" si="2"/>
        <v xml:space="preserve"> </v>
      </c>
      <c r="CD12" s="2" t="str">
        <f t="shared" si="2"/>
        <v xml:space="preserve"> </v>
      </c>
      <c r="CE12" s="2" t="str">
        <f t="shared" si="2"/>
        <v xml:space="preserve"> </v>
      </c>
      <c r="CF12" s="2" t="str">
        <f t="shared" si="2"/>
        <v xml:space="preserve"> </v>
      </c>
      <c r="CG12" s="2" t="str">
        <f t="shared" si="2"/>
        <v xml:space="preserve"> </v>
      </c>
      <c r="CH12" s="2" t="str">
        <f t="shared" si="2"/>
        <v xml:space="preserve"> </v>
      </c>
      <c r="CI12" s="2" t="str">
        <f t="shared" si="2"/>
        <v xml:space="preserve"> </v>
      </c>
      <c r="CJ12" s="2" t="str">
        <f t="shared" si="2"/>
        <v xml:space="preserve"> </v>
      </c>
      <c r="CK12" s="2" t="str">
        <f t="shared" si="2"/>
        <v xml:space="preserve"> </v>
      </c>
      <c r="CL12" s="2" t="str">
        <f t="shared" si="2"/>
        <v xml:space="preserve"> </v>
      </c>
      <c r="CM12" s="2" t="str">
        <f t="shared" si="2"/>
        <v xml:space="preserve"> </v>
      </c>
      <c r="CN12" s="2" t="str">
        <f t="shared" si="2"/>
        <v xml:space="preserve"> </v>
      </c>
      <c r="CO12" s="2" t="str">
        <f t="shared" si="2"/>
        <v xml:space="preserve"> </v>
      </c>
      <c r="CP12" s="2" t="str">
        <f t="shared" si="2"/>
        <v xml:space="preserve"> </v>
      </c>
      <c r="CQ12" s="2" t="str">
        <f t="shared" si="2"/>
        <v xml:space="preserve"> </v>
      </c>
      <c r="CR12" s="2" t="str">
        <f t="shared" si="2"/>
        <v xml:space="preserve"> </v>
      </c>
    </row>
    <row r="13" spans="1:96">
      <c r="A13" s="21" t="str">
        <f>VLOOKUP(L13,Ubicacion!A:K,2,FALSE)</f>
        <v>LI3BR</v>
      </c>
      <c r="B13" s="21" t="str">
        <f>VLOOKUP(L13,Ubicacion!A:K,3,FALSE)</f>
        <v>LI3BC06</v>
      </c>
      <c r="C13" s="21" t="str">
        <f>VLOOKUP(L13,Ubicacion!A:K,4,FALSE)</f>
        <v>LIMA</v>
      </c>
      <c r="D13" s="21" t="str">
        <f>VLOOKUP(L13,Ubicacion!A:K,5,FALSE)</f>
        <v>SURCO</v>
      </c>
      <c r="E13" s="21" t="str">
        <f>VLOOKUP(L13,Ubicacion!A:K,6,FALSE)</f>
        <v>Mercado</v>
      </c>
      <c r="F13" s="21" t="str">
        <f>VLOOKUP(L13,Ubicacion!A:K,7,FALSE)</f>
        <v>8:00 - 16:00</v>
      </c>
      <c r="G13" s="21" t="str">
        <f>VLOOKUP(L13,Ubicacion!A:K,8,FALSE)</f>
        <v>THURSDAY</v>
      </c>
      <c r="H13" s="21">
        <f>VLOOKUP(L13,Ubicacion!A:K,9,FALSE)</f>
        <v>1</v>
      </c>
      <c r="I13" s="21">
        <f>VLOOKUP(L13,Ubicacion!A:K,10,FALSE)</f>
        <v>-12.122128687454</v>
      </c>
      <c r="J13" s="21">
        <f>VLOOKUP(L13,Ubicacion!A:K,11,FALSE)</f>
        <v>-76.9925322884243</v>
      </c>
      <c r="K13" s="21" t="str">
        <f t="shared" si="3"/>
        <v>46148Grupo 1</v>
      </c>
      <c r="L13" s="21" t="s">
        <v>65</v>
      </c>
      <c r="M13" s="21">
        <v>1</v>
      </c>
      <c r="N13" s="24" t="s">
        <v>190</v>
      </c>
      <c r="O13" s="24" t="s">
        <v>171</v>
      </c>
      <c r="P13" s="23">
        <v>46148</v>
      </c>
      <c r="Q13" s="23">
        <f t="shared" si="14"/>
        <v>46148</v>
      </c>
      <c r="R13" s="24" t="str">
        <f ca="1">IF($A$1&lt;Q13,"On-time",IF(AND(Q13&lt;=$A$1,BJ13="OK"),"OK","NO OK"))</f>
        <v>OK</v>
      </c>
      <c r="S13" s="24" t="str">
        <f t="shared" si="4"/>
        <v>WEDNESDAY</v>
      </c>
      <c r="T13" s="24">
        <f>VLOOKUP(L13,Ubicacion!A:AE,13,FALSE)</f>
        <v>15</v>
      </c>
      <c r="U13" s="24">
        <f>VLOOKUP(L13,Ubicacion!A:AE,14,FALSE)</f>
        <v>2</v>
      </c>
      <c r="V13" s="24">
        <f>VLOOKUP(L13,Ubicacion!A:AE,15,FALSE)</f>
        <v>2</v>
      </c>
      <c r="W13" s="24">
        <f>VLOOKUP(L13,Ubicacion!A:AE,16,FALSE)</f>
        <v>13</v>
      </c>
      <c r="X13" s="24">
        <f>VLOOKUP(L13,Ubicacion!A:AE,17,FALSE)</f>
        <v>4</v>
      </c>
      <c r="Y13" s="24">
        <f>VLOOKUP(L13,Ubicacion!A:AE,18,FALSE)</f>
        <v>4</v>
      </c>
      <c r="Z13" s="24">
        <f>VLOOKUP(L13,Ubicacion!A:AE,19,FALSE)</f>
        <v>0</v>
      </c>
      <c r="AA13" s="24">
        <f>VLOOKUP(L13,Ubicacion!A:AE,20,FALSE)</f>
        <v>0</v>
      </c>
      <c r="AB13" s="24">
        <f>VLOOKUP(L13,Ubicacion!A:AE,21,FALSE)</f>
        <v>0</v>
      </c>
      <c r="AC13" s="24">
        <f>VLOOKUP(L13,Ubicacion!A:AE,22,FALSE)</f>
        <v>2</v>
      </c>
      <c r="AD13" s="24">
        <f>VLOOKUP(L13,Ubicacion!A:AE,23,FALSE)</f>
        <v>0</v>
      </c>
      <c r="AE13" s="24">
        <f>VLOOKUP(L13,Ubicacion!A:AE,24,FALSE)</f>
        <v>0</v>
      </c>
      <c r="AF13" s="24">
        <f>VLOOKUP(L13,Ubicacion!A:AE,25,FALSE)</f>
        <v>0</v>
      </c>
      <c r="AG13" s="24">
        <f>VLOOKUP(L13,Ubicacion!A:AE,26,FALSE)</f>
        <v>2</v>
      </c>
      <c r="AH13" s="24">
        <f>VLOOKUP(L13,Ubicacion!A:AE,27,FALSE)</f>
        <v>2</v>
      </c>
      <c r="AI13" s="24">
        <f>VLOOKUP(L13,Ubicacion!A:AE,28,FALSE)</f>
        <v>5</v>
      </c>
      <c r="AJ13" s="24">
        <f>VLOOKUP(L13,Ubicacion!A:AE,29,FALSE)</f>
        <v>3</v>
      </c>
      <c r="AK13" s="24">
        <f>VLOOKUP(L13,Ubicacion!A:AE,30,FALSE)</f>
        <v>1</v>
      </c>
      <c r="AL13" s="24">
        <f>VLOOKUP(L13,Ubicacion!A:AE,31,FALSE)</f>
        <v>1</v>
      </c>
      <c r="AM13" s="25">
        <f t="shared" si="5"/>
        <v>0.66666666666666663</v>
      </c>
      <c r="AN13" s="25">
        <f t="shared" si="6"/>
        <v>0.5</v>
      </c>
      <c r="AO13" s="25">
        <f t="shared" si="7"/>
        <v>1</v>
      </c>
      <c r="AP13" s="25">
        <f t="shared" si="8"/>
        <v>0.15384615384615385</v>
      </c>
      <c r="AQ13" s="25">
        <f t="shared" si="9"/>
        <v>0.5</v>
      </c>
      <c r="AR13" s="25">
        <f t="shared" si="10"/>
        <v>0.25</v>
      </c>
      <c r="AS13" s="25" t="str">
        <f t="shared" si="11"/>
        <v>100%</v>
      </c>
      <c r="AT13" s="25" t="str">
        <f t="shared" si="12"/>
        <v>100%</v>
      </c>
      <c r="AU13" s="25" t="str">
        <f t="shared" si="13"/>
        <v>100%</v>
      </c>
      <c r="AV13" s="24">
        <v>10</v>
      </c>
      <c r="AW13" s="24">
        <v>1</v>
      </c>
      <c r="AX13" s="24">
        <v>2</v>
      </c>
      <c r="AY13" s="24">
        <v>2</v>
      </c>
      <c r="AZ13" s="24">
        <v>2</v>
      </c>
      <c r="BA13" s="24">
        <v>1</v>
      </c>
      <c r="BB13" s="24">
        <v>2</v>
      </c>
      <c r="BC13" s="24">
        <v>1</v>
      </c>
      <c r="BD13" s="24">
        <v>1</v>
      </c>
      <c r="BE13" s="24" t="s">
        <v>184</v>
      </c>
      <c r="BF13" s="24" t="s">
        <v>184</v>
      </c>
      <c r="BG13" s="24" t="s">
        <v>183</v>
      </c>
      <c r="BH13" s="24" t="s">
        <v>183</v>
      </c>
      <c r="BI13" s="24" t="s">
        <v>183</v>
      </c>
      <c r="BJ13" s="24" t="s">
        <v>183</v>
      </c>
      <c r="BK13" s="24"/>
      <c r="BL13" s="24"/>
      <c r="BM13" s="57"/>
      <c r="BN13" s="2" t="str">
        <f>IF(AND((BN$6-$P13)&gt;=0,(BN$6-$P13)&lt;=($Q13-$P13)),"."," ")</f>
        <v xml:space="preserve"> </v>
      </c>
      <c r="BO13" s="2" t="str">
        <f t="shared" si="2"/>
        <v xml:space="preserve"> </v>
      </c>
      <c r="BP13" s="2" t="str">
        <f t="shared" si="2"/>
        <v xml:space="preserve"> </v>
      </c>
      <c r="BQ13" s="2" t="str">
        <f t="shared" si="2"/>
        <v xml:space="preserve"> </v>
      </c>
      <c r="BR13" s="2" t="str">
        <f t="shared" si="2"/>
        <v xml:space="preserve"> </v>
      </c>
      <c r="BS13" s="2" t="str">
        <f t="shared" si="2"/>
        <v>.</v>
      </c>
      <c r="BT13" s="2" t="str">
        <f t="shared" si="2"/>
        <v xml:space="preserve"> </v>
      </c>
      <c r="BU13" s="2" t="str">
        <f t="shared" si="2"/>
        <v xml:space="preserve"> </v>
      </c>
      <c r="BV13" s="2" t="str">
        <f t="shared" si="2"/>
        <v xml:space="preserve"> </v>
      </c>
      <c r="BW13" s="2" t="str">
        <f t="shared" si="2"/>
        <v xml:space="preserve"> </v>
      </c>
      <c r="BX13" s="2" t="str">
        <f t="shared" si="2"/>
        <v xml:space="preserve"> </v>
      </c>
      <c r="BY13" s="2" t="str">
        <f t="shared" si="2"/>
        <v xml:space="preserve"> </v>
      </c>
      <c r="BZ13" s="2" t="str">
        <f t="shared" si="2"/>
        <v xml:space="preserve"> </v>
      </c>
      <c r="CA13" s="2" t="str">
        <f t="shared" si="2"/>
        <v xml:space="preserve"> </v>
      </c>
      <c r="CB13" s="2" t="str">
        <f t="shared" si="2"/>
        <v xml:space="preserve"> </v>
      </c>
      <c r="CC13" s="2" t="str">
        <f t="shared" si="2"/>
        <v xml:space="preserve"> </v>
      </c>
      <c r="CD13" s="2" t="str">
        <f t="shared" si="2"/>
        <v xml:space="preserve"> </v>
      </c>
      <c r="CE13" s="2" t="str">
        <f t="shared" si="2"/>
        <v xml:space="preserve"> </v>
      </c>
      <c r="CF13" s="2" t="str">
        <f t="shared" si="2"/>
        <v xml:space="preserve"> </v>
      </c>
      <c r="CG13" s="2" t="str">
        <f t="shared" si="2"/>
        <v xml:space="preserve"> </v>
      </c>
      <c r="CH13" s="2" t="str">
        <f t="shared" si="2"/>
        <v xml:space="preserve"> </v>
      </c>
      <c r="CI13" s="2" t="str">
        <f t="shared" si="2"/>
        <v xml:space="preserve"> </v>
      </c>
      <c r="CJ13" s="2" t="str">
        <f t="shared" si="2"/>
        <v xml:space="preserve"> </v>
      </c>
      <c r="CK13" s="2" t="str">
        <f t="shared" si="2"/>
        <v xml:space="preserve"> </v>
      </c>
      <c r="CL13" s="2" t="str">
        <f t="shared" si="2"/>
        <v xml:space="preserve"> </v>
      </c>
      <c r="CM13" s="2" t="str">
        <f t="shared" si="2"/>
        <v xml:space="preserve"> </v>
      </c>
      <c r="CN13" s="2" t="str">
        <f t="shared" si="2"/>
        <v xml:space="preserve"> </v>
      </c>
      <c r="CO13" s="2" t="str">
        <f t="shared" si="2"/>
        <v xml:space="preserve"> </v>
      </c>
      <c r="CP13" s="2" t="str">
        <f t="shared" si="2"/>
        <v xml:space="preserve"> </v>
      </c>
      <c r="CQ13" s="2" t="str">
        <f t="shared" si="2"/>
        <v xml:space="preserve"> </v>
      </c>
      <c r="CR13" s="2" t="str">
        <f t="shared" si="2"/>
        <v xml:space="preserve"> </v>
      </c>
    </row>
    <row r="14" spans="1:96">
      <c r="A14" s="21" t="str">
        <f>VLOOKUP(L14,Ubicacion!A:K,2,FALSE)</f>
        <v>LI3BR</v>
      </c>
      <c r="B14" s="21" t="str">
        <f>VLOOKUP(L14,Ubicacion!A:K,3,FALSE)</f>
        <v>LI3BC03</v>
      </c>
      <c r="C14" s="21" t="str">
        <f>VLOOKUP(L14,Ubicacion!A:K,4,FALSE)</f>
        <v>LIMA</v>
      </c>
      <c r="D14" s="21" t="str">
        <f>VLOOKUP(L14,Ubicacion!A:K,5,FALSE)</f>
        <v>CHORRILLOS</v>
      </c>
      <c r="E14" s="21" t="str">
        <f>VLOOKUP(L14,Ubicacion!A:K,6,FALSE)</f>
        <v>Rural</v>
      </c>
      <c r="F14" s="21" t="str">
        <f>VLOOKUP(L14,Ubicacion!A:K,7,FALSE)</f>
        <v>8:00 - 13:00</v>
      </c>
      <c r="G14" s="21" t="str">
        <f>VLOOKUP(L14,Ubicacion!A:K,8,FALSE)</f>
        <v>FRIDAY</v>
      </c>
      <c r="H14" s="21">
        <f>VLOOKUP(L14,Ubicacion!A:K,9,FALSE)</f>
        <v>1</v>
      </c>
      <c r="I14" s="21">
        <f>VLOOKUP(L14,Ubicacion!A:K,10,FALSE)</f>
        <v>-12.2022207886258</v>
      </c>
      <c r="J14" s="21">
        <f>VLOOKUP(L14,Ubicacion!A:K,11,FALSE)</f>
        <v>-77.020581191153994</v>
      </c>
      <c r="K14" s="21" t="str">
        <f t="shared" si="3"/>
        <v>46149Grupo 1</v>
      </c>
      <c r="L14" s="21" t="s">
        <v>66</v>
      </c>
      <c r="M14" s="21">
        <v>1</v>
      </c>
      <c r="N14" s="24" t="s">
        <v>186</v>
      </c>
      <c r="O14" s="24" t="s">
        <v>171</v>
      </c>
      <c r="P14" s="23">
        <v>46149</v>
      </c>
      <c r="Q14" s="23">
        <f t="shared" si="14"/>
        <v>46149</v>
      </c>
      <c r="R14" s="24" t="str">
        <f ca="1">IF($A$1&lt;Q14,"On-time",IF(AND(Q14&lt;=$A$1,BJ14="OK"),"OK","NO OK"))</f>
        <v>OK</v>
      </c>
      <c r="S14" s="24" t="str">
        <f t="shared" si="4"/>
        <v>THURSDAY</v>
      </c>
      <c r="T14" s="24">
        <f>VLOOKUP(L14,Ubicacion!A:AE,13,FALSE)</f>
        <v>15</v>
      </c>
      <c r="U14" s="24">
        <f>VLOOKUP(L14,Ubicacion!A:AE,14,FALSE)</f>
        <v>2</v>
      </c>
      <c r="V14" s="24">
        <f>VLOOKUP(L14,Ubicacion!A:AE,15,FALSE)</f>
        <v>2</v>
      </c>
      <c r="W14" s="24">
        <f>VLOOKUP(L14,Ubicacion!A:AE,16,FALSE)</f>
        <v>13</v>
      </c>
      <c r="X14" s="24">
        <f>VLOOKUP(L14,Ubicacion!A:AE,17,FALSE)</f>
        <v>4</v>
      </c>
      <c r="Y14" s="24">
        <f>VLOOKUP(L14,Ubicacion!A:AE,18,FALSE)</f>
        <v>4</v>
      </c>
      <c r="Z14" s="24">
        <f>VLOOKUP(L14,Ubicacion!A:AE,19,FALSE)</f>
        <v>0</v>
      </c>
      <c r="AA14" s="24">
        <f>VLOOKUP(L14,Ubicacion!A:AE,20,FALSE)</f>
        <v>0</v>
      </c>
      <c r="AB14" s="24">
        <f>VLOOKUP(L14,Ubicacion!A:AE,21,FALSE)</f>
        <v>0</v>
      </c>
      <c r="AC14" s="24">
        <f>VLOOKUP(L14,Ubicacion!A:AE,22,FALSE)</f>
        <v>2</v>
      </c>
      <c r="AD14" s="24">
        <f>VLOOKUP(L14,Ubicacion!A:AE,23,FALSE)</f>
        <v>0</v>
      </c>
      <c r="AE14" s="24">
        <f>VLOOKUP(L14,Ubicacion!A:AE,24,FALSE)</f>
        <v>0</v>
      </c>
      <c r="AF14" s="24">
        <f>VLOOKUP(L14,Ubicacion!A:AE,25,FALSE)</f>
        <v>0</v>
      </c>
      <c r="AG14" s="24">
        <f>VLOOKUP(L14,Ubicacion!A:AE,26,FALSE)</f>
        <v>2</v>
      </c>
      <c r="AH14" s="24">
        <f>VLOOKUP(L14,Ubicacion!A:AE,27,FALSE)</f>
        <v>2</v>
      </c>
      <c r="AI14" s="24">
        <f>VLOOKUP(L14,Ubicacion!A:AE,28,FALSE)</f>
        <v>5</v>
      </c>
      <c r="AJ14" s="24">
        <f>VLOOKUP(L14,Ubicacion!A:AE,29,FALSE)</f>
        <v>3</v>
      </c>
      <c r="AK14" s="24">
        <f>VLOOKUP(L14,Ubicacion!A:AE,30,FALSE)</f>
        <v>1</v>
      </c>
      <c r="AL14" s="24">
        <f>VLOOKUP(L14,Ubicacion!A:AE,31,FALSE)</f>
        <v>1</v>
      </c>
      <c r="AM14" s="25">
        <f t="shared" si="5"/>
        <v>0.66666666666666663</v>
      </c>
      <c r="AN14" s="25">
        <f t="shared" si="6"/>
        <v>0.5</v>
      </c>
      <c r="AO14" s="25">
        <f t="shared" si="7"/>
        <v>1</v>
      </c>
      <c r="AP14" s="25">
        <f t="shared" si="8"/>
        <v>0.15384615384615385</v>
      </c>
      <c r="AQ14" s="25">
        <f t="shared" si="9"/>
        <v>0.5</v>
      </c>
      <c r="AR14" s="25">
        <f t="shared" si="10"/>
        <v>0.25</v>
      </c>
      <c r="AS14" s="25" t="str">
        <f t="shared" si="11"/>
        <v>100%</v>
      </c>
      <c r="AT14" s="25" t="str">
        <f t="shared" si="12"/>
        <v>100%</v>
      </c>
      <c r="AU14" s="25" t="str">
        <f t="shared" si="13"/>
        <v>100%</v>
      </c>
      <c r="AV14" s="24">
        <v>10</v>
      </c>
      <c r="AW14" s="24">
        <v>1</v>
      </c>
      <c r="AX14" s="24">
        <v>2</v>
      </c>
      <c r="AY14" s="24">
        <v>2</v>
      </c>
      <c r="AZ14" s="24">
        <v>2</v>
      </c>
      <c r="BA14" s="24">
        <v>1</v>
      </c>
      <c r="BB14" s="24">
        <v>2</v>
      </c>
      <c r="BC14" s="24">
        <v>1</v>
      </c>
      <c r="BD14" s="24">
        <v>1</v>
      </c>
      <c r="BE14" s="24" t="s">
        <v>184</v>
      </c>
      <c r="BF14" s="24" t="s">
        <v>184</v>
      </c>
      <c r="BG14" s="24" t="s">
        <v>183</v>
      </c>
      <c r="BH14" s="24" t="s">
        <v>183</v>
      </c>
      <c r="BI14" s="24" t="s">
        <v>183</v>
      </c>
      <c r="BJ14" s="24" t="s">
        <v>183</v>
      </c>
      <c r="BK14" s="24"/>
      <c r="BL14" s="24"/>
      <c r="BM14" s="57"/>
      <c r="BN14" s="2" t="str">
        <f>IF(AND((BN$6-$P14)&gt;=0,(BN$6-$P14)&lt;=($Q14-$P14)),"."," ")</f>
        <v xml:space="preserve"> </v>
      </c>
      <c r="BO14" s="2" t="str">
        <f t="shared" si="2"/>
        <v xml:space="preserve"> </v>
      </c>
      <c r="BP14" s="2" t="str">
        <f t="shared" si="2"/>
        <v xml:space="preserve"> </v>
      </c>
      <c r="BQ14" s="2" t="str">
        <f t="shared" si="2"/>
        <v xml:space="preserve"> </v>
      </c>
      <c r="BR14" s="2" t="str">
        <f t="shared" si="2"/>
        <v xml:space="preserve"> </v>
      </c>
      <c r="BS14" s="2" t="str">
        <f t="shared" si="2"/>
        <v xml:space="preserve"> </v>
      </c>
      <c r="BT14" s="2" t="str">
        <f t="shared" si="2"/>
        <v>.</v>
      </c>
      <c r="BU14" s="2" t="str">
        <f t="shared" si="2"/>
        <v xml:space="preserve"> </v>
      </c>
      <c r="BV14" s="2" t="str">
        <f t="shared" si="2"/>
        <v xml:space="preserve"> </v>
      </c>
      <c r="BW14" s="2" t="str">
        <f t="shared" si="2"/>
        <v xml:space="preserve"> </v>
      </c>
      <c r="BX14" s="2" t="str">
        <f t="shared" si="2"/>
        <v xml:space="preserve"> </v>
      </c>
      <c r="BY14" s="2" t="str">
        <f t="shared" si="2"/>
        <v xml:space="preserve"> </v>
      </c>
      <c r="BZ14" s="2" t="str">
        <f t="shared" si="2"/>
        <v xml:space="preserve"> </v>
      </c>
      <c r="CA14" s="2" t="str">
        <f t="shared" si="2"/>
        <v xml:space="preserve"> </v>
      </c>
      <c r="CB14" s="2" t="str">
        <f t="shared" si="2"/>
        <v xml:space="preserve"> </v>
      </c>
      <c r="CC14" s="2" t="str">
        <f t="shared" si="2"/>
        <v xml:space="preserve"> </v>
      </c>
      <c r="CD14" s="2" t="str">
        <f t="shared" si="2"/>
        <v xml:space="preserve"> </v>
      </c>
      <c r="CE14" s="2" t="str">
        <f t="shared" si="2"/>
        <v xml:space="preserve"> </v>
      </c>
      <c r="CF14" s="2" t="str">
        <f t="shared" si="2"/>
        <v xml:space="preserve"> </v>
      </c>
      <c r="CG14" s="2" t="str">
        <f t="shared" si="2"/>
        <v xml:space="preserve"> </v>
      </c>
      <c r="CH14" s="2" t="str">
        <f t="shared" si="2"/>
        <v xml:space="preserve"> </v>
      </c>
      <c r="CI14" s="2" t="str">
        <f t="shared" si="2"/>
        <v xml:space="preserve"> </v>
      </c>
      <c r="CJ14" s="2" t="str">
        <f t="shared" si="2"/>
        <v xml:space="preserve"> </v>
      </c>
      <c r="CK14" s="2" t="str">
        <f t="shared" si="2"/>
        <v xml:space="preserve"> </v>
      </c>
      <c r="CL14" s="2" t="str">
        <f t="shared" si="2"/>
        <v xml:space="preserve"> </v>
      </c>
      <c r="CM14" s="2" t="str">
        <f t="shared" si="2"/>
        <v xml:space="preserve"> </v>
      </c>
      <c r="CN14" s="2" t="str">
        <f t="shared" si="2"/>
        <v xml:space="preserve"> </v>
      </c>
      <c r="CO14" s="2" t="str">
        <f t="shared" si="2"/>
        <v xml:space="preserve"> </v>
      </c>
      <c r="CP14" s="2" t="str">
        <f t="shared" si="2"/>
        <v xml:space="preserve"> </v>
      </c>
      <c r="CQ14" s="2" t="str">
        <f t="shared" si="2"/>
        <v xml:space="preserve"> </v>
      </c>
      <c r="CR14" s="2" t="str">
        <f t="shared" si="2"/>
        <v xml:space="preserve"> </v>
      </c>
    </row>
    <row r="15" spans="1:96">
      <c r="A15" s="21" t="str">
        <f>VLOOKUP(L15,Ubicacion!A:K,2,FALSE)</f>
        <v>LI3BR</v>
      </c>
      <c r="B15" s="21" t="str">
        <f>VLOOKUP(L15,Ubicacion!A:K,3,FALSE)</f>
        <v>LI3BC07</v>
      </c>
      <c r="C15" s="21" t="str">
        <f>VLOOKUP(L15,Ubicacion!A:K,4,FALSE)</f>
        <v>LIMA</v>
      </c>
      <c r="D15" s="21" t="str">
        <f>VLOOKUP(L15,Ubicacion!A:K,5,FALSE)</f>
        <v>SAN JUAN DE MIRAFLORES 1</v>
      </c>
      <c r="E15" s="21" t="str">
        <f>VLOOKUP(L15,Ubicacion!A:K,6,FALSE)</f>
        <v>Pilot Mercado</v>
      </c>
      <c r="F15" s="21" t="str">
        <f>VLOOKUP(L15,Ubicacion!A:K,7,FALSE)</f>
        <v>09:00 - 17:00</v>
      </c>
      <c r="G15" s="21" t="str">
        <f>VLOOKUP(L15,Ubicacion!A:K,8,FALSE)</f>
        <v>SATURDAY</v>
      </c>
      <c r="H15" s="21">
        <f>VLOOKUP(L15,Ubicacion!A:K,9,FALSE)</f>
        <v>1</v>
      </c>
      <c r="I15" s="21">
        <f>VLOOKUP(L15,Ubicacion!A:K,10,FALSE)</f>
        <v>-12.163083126244</v>
      </c>
      <c r="J15" s="21">
        <f>VLOOKUP(L15,Ubicacion!A:K,11,FALSE)</f>
        <v>-76.965184974820403</v>
      </c>
      <c r="K15" s="21" t="str">
        <f t="shared" si="3"/>
        <v>46150Grupo 1</v>
      </c>
      <c r="L15" s="21" t="s">
        <v>67</v>
      </c>
      <c r="M15" s="21">
        <v>1</v>
      </c>
      <c r="N15" s="24" t="s">
        <v>186</v>
      </c>
      <c r="O15" s="24" t="s">
        <v>171</v>
      </c>
      <c r="P15" s="23">
        <v>46150</v>
      </c>
      <c r="Q15" s="23">
        <f t="shared" si="14"/>
        <v>46150</v>
      </c>
      <c r="R15" s="24" t="str">
        <f ca="1">IF($A$1&lt;Q15,"On-time",IF(AND(Q15&lt;=$A$1,BJ15="OK"),"OK","NO OK"))</f>
        <v>OK</v>
      </c>
      <c r="S15" s="24" t="str">
        <f t="shared" si="4"/>
        <v>FRIDAY</v>
      </c>
      <c r="T15" s="24">
        <f>VLOOKUP(L15,Ubicacion!A:AE,13,FALSE)</f>
        <v>15</v>
      </c>
      <c r="U15" s="24">
        <f>VLOOKUP(L15,Ubicacion!A:AE,14,FALSE)</f>
        <v>2</v>
      </c>
      <c r="V15" s="24">
        <f>VLOOKUP(L15,Ubicacion!A:AE,15,FALSE)</f>
        <v>2</v>
      </c>
      <c r="W15" s="24">
        <f>VLOOKUP(L15,Ubicacion!A:AE,16,FALSE)</f>
        <v>13</v>
      </c>
      <c r="X15" s="24">
        <f>VLOOKUP(L15,Ubicacion!A:AE,17,FALSE)</f>
        <v>4</v>
      </c>
      <c r="Y15" s="24">
        <f>VLOOKUP(L15,Ubicacion!A:AE,18,FALSE)</f>
        <v>4</v>
      </c>
      <c r="Z15" s="24">
        <f>VLOOKUP(L15,Ubicacion!A:AE,19,FALSE)</f>
        <v>0</v>
      </c>
      <c r="AA15" s="24">
        <f>VLOOKUP(L15,Ubicacion!A:AE,20,FALSE)</f>
        <v>0</v>
      </c>
      <c r="AB15" s="24">
        <f>VLOOKUP(L15,Ubicacion!A:AE,21,FALSE)</f>
        <v>0</v>
      </c>
      <c r="AC15" s="24">
        <f>VLOOKUP(L15,Ubicacion!A:AE,22,FALSE)</f>
        <v>2</v>
      </c>
      <c r="AD15" s="24">
        <f>VLOOKUP(L15,Ubicacion!A:AE,23,FALSE)</f>
        <v>0</v>
      </c>
      <c r="AE15" s="24">
        <f>VLOOKUP(L15,Ubicacion!A:AE,24,FALSE)</f>
        <v>0</v>
      </c>
      <c r="AF15" s="24">
        <f>VLOOKUP(L15,Ubicacion!A:AE,25,FALSE)</f>
        <v>0</v>
      </c>
      <c r="AG15" s="24">
        <f>VLOOKUP(L15,Ubicacion!A:AE,26,FALSE)</f>
        <v>2</v>
      </c>
      <c r="AH15" s="24">
        <f>VLOOKUP(L15,Ubicacion!A:AE,27,FALSE)</f>
        <v>2</v>
      </c>
      <c r="AI15" s="24">
        <f>VLOOKUP(L15,Ubicacion!A:AE,28,FALSE)</f>
        <v>5</v>
      </c>
      <c r="AJ15" s="24">
        <f>VLOOKUP(L15,Ubicacion!A:AE,29,FALSE)</f>
        <v>3</v>
      </c>
      <c r="AK15" s="24">
        <f>VLOOKUP(L15,Ubicacion!A:AE,30,FALSE)</f>
        <v>1</v>
      </c>
      <c r="AL15" s="24">
        <f>VLOOKUP(L15,Ubicacion!A:AE,31,FALSE)</f>
        <v>1</v>
      </c>
      <c r="AM15" s="25">
        <f t="shared" ref="AM15:AM78" si="15">IF(T15=0,"100%",AV15/T15)</f>
        <v>0.66666666666666663</v>
      </c>
      <c r="AN15" s="25">
        <f t="shared" ref="AN15:AN78" si="16">IF(U15=0,"100%",AW15/U15)</f>
        <v>0.5</v>
      </c>
      <c r="AO15" s="25">
        <f t="shared" ref="AO15:AO78" si="17">IF(V15=0,"100%",AX15/V15)</f>
        <v>1</v>
      </c>
      <c r="AP15" s="25">
        <f t="shared" ref="AP15:AP78" si="18">IF(W15=0,"100%",AY15/W15)</f>
        <v>0.15384615384615385</v>
      </c>
      <c r="AQ15" s="25">
        <f t="shared" ref="AQ15:AQ78" si="19">IF(X15=0,"100%",AZ15/X15)</f>
        <v>0.5</v>
      </c>
      <c r="AR15" s="25">
        <f t="shared" ref="AR15:AR78" si="20">IF(Y15=0,"100%",BA15/Y15)</f>
        <v>0.25</v>
      </c>
      <c r="AS15" s="25" t="str">
        <f t="shared" ref="AS15:AS78" si="21">IF(Z15=0,"100%",BB15/Z15)</f>
        <v>100%</v>
      </c>
      <c r="AT15" s="25" t="str">
        <f t="shared" ref="AT15:AT78" si="22">IF(AA15=0,"100%",BC15/AA15)</f>
        <v>100%</v>
      </c>
      <c r="AU15" s="25" t="str">
        <f t="shared" ref="AU15:AU78" si="23">IF(AB15=0,"100%",BD15/AB15)</f>
        <v>100%</v>
      </c>
      <c r="AV15" s="24">
        <v>10</v>
      </c>
      <c r="AW15" s="24">
        <v>1</v>
      </c>
      <c r="AX15" s="24">
        <v>2</v>
      </c>
      <c r="AY15" s="24">
        <v>2</v>
      </c>
      <c r="AZ15" s="24">
        <v>2</v>
      </c>
      <c r="BA15" s="24">
        <v>1</v>
      </c>
      <c r="BB15" s="24">
        <v>2</v>
      </c>
      <c r="BC15" s="24">
        <v>1</v>
      </c>
      <c r="BD15" s="24">
        <v>1</v>
      </c>
      <c r="BE15" s="24" t="s">
        <v>184</v>
      </c>
      <c r="BF15" s="24" t="s">
        <v>184</v>
      </c>
      <c r="BG15" s="24" t="s">
        <v>183</v>
      </c>
      <c r="BH15" s="24" t="s">
        <v>183</v>
      </c>
      <c r="BI15" s="24" t="s">
        <v>183</v>
      </c>
      <c r="BJ15" s="24" t="s">
        <v>183</v>
      </c>
      <c r="BK15" s="24"/>
      <c r="BL15" s="24"/>
      <c r="BM15" s="57"/>
      <c r="BN15" s="2" t="str">
        <f>IF(AND((BN$6-$P15)&gt;=0,(BN$6-$P15)&lt;=($Q15-$P15)),"."," ")</f>
        <v xml:space="preserve"> </v>
      </c>
      <c r="BO15" s="2" t="str">
        <f t="shared" si="2"/>
        <v xml:space="preserve"> </v>
      </c>
      <c r="BP15" s="2" t="str">
        <f t="shared" si="2"/>
        <v xml:space="preserve"> </v>
      </c>
      <c r="BQ15" s="2" t="str">
        <f t="shared" si="2"/>
        <v xml:space="preserve"> </v>
      </c>
      <c r="BR15" s="2" t="str">
        <f t="shared" si="2"/>
        <v xml:space="preserve"> </v>
      </c>
      <c r="BS15" s="2" t="str">
        <f t="shared" si="2"/>
        <v xml:space="preserve"> </v>
      </c>
      <c r="BT15" s="2" t="str">
        <f t="shared" si="2"/>
        <v xml:space="preserve"> </v>
      </c>
      <c r="BU15" s="2" t="str">
        <f t="shared" si="2"/>
        <v>.</v>
      </c>
      <c r="BV15" s="2" t="str">
        <f t="shared" si="2"/>
        <v xml:space="preserve"> </v>
      </c>
      <c r="BW15" s="2" t="str">
        <f t="shared" si="2"/>
        <v xml:space="preserve"> </v>
      </c>
      <c r="BX15" s="2" t="str">
        <f t="shared" si="2"/>
        <v xml:space="preserve"> </v>
      </c>
      <c r="BY15" s="2" t="str">
        <f t="shared" si="2"/>
        <v xml:space="preserve"> </v>
      </c>
      <c r="BZ15" s="2" t="str">
        <f t="shared" si="2"/>
        <v xml:space="preserve"> </v>
      </c>
      <c r="CA15" s="2" t="str">
        <f t="shared" si="2"/>
        <v xml:space="preserve"> </v>
      </c>
      <c r="CB15" s="2" t="str">
        <f t="shared" si="2"/>
        <v xml:space="preserve"> </v>
      </c>
      <c r="CC15" s="2" t="str">
        <f t="shared" si="2"/>
        <v xml:space="preserve"> </v>
      </c>
      <c r="CD15" s="2" t="str">
        <f t="shared" ref="CD15:CR32" si="24">IF(AND((CD$6-$P15)&gt;=0,(CD$6-$P15)&lt;=($Q15-$P15)),"."," ")</f>
        <v xml:space="preserve"> </v>
      </c>
      <c r="CE15" s="2" t="str">
        <f t="shared" si="24"/>
        <v xml:space="preserve"> </v>
      </c>
      <c r="CF15" s="2" t="str">
        <f t="shared" si="24"/>
        <v xml:space="preserve"> </v>
      </c>
      <c r="CG15" s="2" t="str">
        <f t="shared" si="24"/>
        <v xml:space="preserve"> </v>
      </c>
      <c r="CH15" s="2" t="str">
        <f t="shared" si="24"/>
        <v xml:space="preserve"> </v>
      </c>
      <c r="CI15" s="2" t="str">
        <f t="shared" si="24"/>
        <v xml:space="preserve"> </v>
      </c>
      <c r="CJ15" s="2" t="str">
        <f t="shared" si="24"/>
        <v xml:space="preserve"> </v>
      </c>
      <c r="CK15" s="2" t="str">
        <f t="shared" si="24"/>
        <v xml:space="preserve"> </v>
      </c>
      <c r="CL15" s="2" t="str">
        <f t="shared" si="24"/>
        <v xml:space="preserve"> </v>
      </c>
      <c r="CM15" s="2" t="str">
        <f t="shared" si="24"/>
        <v xml:space="preserve"> </v>
      </c>
      <c r="CN15" s="2" t="str">
        <f t="shared" si="24"/>
        <v xml:space="preserve"> </v>
      </c>
      <c r="CO15" s="2" t="str">
        <f t="shared" si="24"/>
        <v xml:space="preserve"> </v>
      </c>
      <c r="CP15" s="2" t="str">
        <f t="shared" si="24"/>
        <v xml:space="preserve"> </v>
      </c>
      <c r="CQ15" s="2" t="str">
        <f t="shared" si="24"/>
        <v xml:space="preserve"> </v>
      </c>
      <c r="CR15" s="2" t="str">
        <f t="shared" si="24"/>
        <v xml:space="preserve"> </v>
      </c>
    </row>
    <row r="16" spans="1:96">
      <c r="A16" s="21" t="str">
        <f>VLOOKUP(L16,Ubicacion!A:K,2,FALSE)</f>
        <v>LI3BR</v>
      </c>
      <c r="B16" s="21" t="str">
        <f>VLOOKUP(L16,Ubicacion!A:K,3,FALSE)</f>
        <v>LI3BC07</v>
      </c>
      <c r="C16" s="21" t="str">
        <f>VLOOKUP(L16,Ubicacion!A:K,4,FALSE)</f>
        <v>LIMA</v>
      </c>
      <c r="D16" s="21" t="str">
        <f>VLOOKUP(L16,Ubicacion!A:K,5,FALSE)</f>
        <v>SAN JUAN DE MIRAFLORES 1</v>
      </c>
      <c r="E16" s="21" t="str">
        <f>VLOOKUP(L16,Ubicacion!A:K,6,FALSE)</f>
        <v>Rural</v>
      </c>
      <c r="F16" s="21" t="str">
        <f>VLOOKUP(L16,Ubicacion!A:K,7,FALSE)</f>
        <v>8:00 - 12:00</v>
      </c>
      <c r="G16" s="21" t="str">
        <f>VLOOKUP(L16,Ubicacion!A:K,8,FALSE)</f>
        <v>SUNDAY</v>
      </c>
      <c r="H16" s="21">
        <f>VLOOKUP(L16,Ubicacion!A:K,9,FALSE)</f>
        <v>1</v>
      </c>
      <c r="I16" s="21">
        <f>VLOOKUP(L16,Ubicacion!A:K,10,FALSE)</f>
        <v>-12.191882158034501</v>
      </c>
      <c r="J16" s="21">
        <f>VLOOKUP(L16,Ubicacion!A:K,11,FALSE)</f>
        <v>-76.956277135498794</v>
      </c>
      <c r="K16" s="21" t="str">
        <f t="shared" si="3"/>
        <v>46151Grupo 1</v>
      </c>
      <c r="L16" s="21" t="s">
        <v>68</v>
      </c>
      <c r="M16" s="21">
        <v>1</v>
      </c>
      <c r="N16" s="24" t="s">
        <v>186</v>
      </c>
      <c r="O16" s="24" t="s">
        <v>171</v>
      </c>
      <c r="P16" s="23">
        <v>46151</v>
      </c>
      <c r="Q16" s="23">
        <f t="shared" si="14"/>
        <v>46151</v>
      </c>
      <c r="R16" s="24" t="str">
        <f ca="1">IF($A$1&lt;Q16,"On-time",IF(AND(Q16&lt;=$A$1,BJ16="OK"),"OK","NO OK"))</f>
        <v>OK</v>
      </c>
      <c r="S16" s="24" t="str">
        <f t="shared" si="4"/>
        <v>SATURDAY</v>
      </c>
      <c r="T16" s="24">
        <f>VLOOKUP(L16,Ubicacion!A:AE,13,FALSE)</f>
        <v>15</v>
      </c>
      <c r="U16" s="24">
        <f>VLOOKUP(L16,Ubicacion!A:AE,14,FALSE)</f>
        <v>2</v>
      </c>
      <c r="V16" s="24">
        <f>VLOOKUP(L16,Ubicacion!A:AE,15,FALSE)</f>
        <v>2</v>
      </c>
      <c r="W16" s="24">
        <f>VLOOKUP(L16,Ubicacion!A:AE,16,FALSE)</f>
        <v>13</v>
      </c>
      <c r="X16" s="24">
        <f>VLOOKUP(L16,Ubicacion!A:AE,17,FALSE)</f>
        <v>4</v>
      </c>
      <c r="Y16" s="24">
        <f>VLOOKUP(L16,Ubicacion!A:AE,18,FALSE)</f>
        <v>4</v>
      </c>
      <c r="Z16" s="24">
        <f>VLOOKUP(L16,Ubicacion!A:AE,19,FALSE)</f>
        <v>0</v>
      </c>
      <c r="AA16" s="24">
        <f>VLOOKUP(L16,Ubicacion!A:AE,20,FALSE)</f>
        <v>0</v>
      </c>
      <c r="AB16" s="24">
        <f>VLOOKUP(L16,Ubicacion!A:AE,21,FALSE)</f>
        <v>0</v>
      </c>
      <c r="AC16" s="24">
        <f>VLOOKUP(L16,Ubicacion!A:AE,22,FALSE)</f>
        <v>2</v>
      </c>
      <c r="AD16" s="24">
        <f>VLOOKUP(L16,Ubicacion!A:AE,23,FALSE)</f>
        <v>0</v>
      </c>
      <c r="AE16" s="24">
        <f>VLOOKUP(L16,Ubicacion!A:AE,24,FALSE)</f>
        <v>0</v>
      </c>
      <c r="AF16" s="24">
        <f>VLOOKUP(L16,Ubicacion!A:AE,25,FALSE)</f>
        <v>0</v>
      </c>
      <c r="AG16" s="24">
        <f>VLOOKUP(L16,Ubicacion!A:AE,26,FALSE)</f>
        <v>2</v>
      </c>
      <c r="AH16" s="24">
        <f>VLOOKUP(L16,Ubicacion!A:AE,27,FALSE)</f>
        <v>2</v>
      </c>
      <c r="AI16" s="24">
        <f>VLOOKUP(L16,Ubicacion!A:AE,28,FALSE)</f>
        <v>5</v>
      </c>
      <c r="AJ16" s="24">
        <f>VLOOKUP(L16,Ubicacion!A:AE,29,FALSE)</f>
        <v>3</v>
      </c>
      <c r="AK16" s="24">
        <f>VLOOKUP(L16,Ubicacion!A:AE,30,FALSE)</f>
        <v>1</v>
      </c>
      <c r="AL16" s="24">
        <f>VLOOKUP(L16,Ubicacion!A:AE,31,FALSE)</f>
        <v>1</v>
      </c>
      <c r="AM16" s="25">
        <f t="shared" si="15"/>
        <v>0.66666666666666663</v>
      </c>
      <c r="AN16" s="25">
        <f t="shared" si="16"/>
        <v>0.5</v>
      </c>
      <c r="AO16" s="25">
        <f t="shared" si="17"/>
        <v>1</v>
      </c>
      <c r="AP16" s="25">
        <f t="shared" si="18"/>
        <v>0.15384615384615385</v>
      </c>
      <c r="AQ16" s="25">
        <f t="shared" si="19"/>
        <v>0.5</v>
      </c>
      <c r="AR16" s="25">
        <f t="shared" si="20"/>
        <v>0.25</v>
      </c>
      <c r="AS16" s="25" t="str">
        <f t="shared" si="21"/>
        <v>100%</v>
      </c>
      <c r="AT16" s="25" t="str">
        <f t="shared" si="22"/>
        <v>100%</v>
      </c>
      <c r="AU16" s="25" t="str">
        <f t="shared" si="23"/>
        <v>100%</v>
      </c>
      <c r="AV16" s="24">
        <v>10</v>
      </c>
      <c r="AW16" s="24">
        <v>1</v>
      </c>
      <c r="AX16" s="24">
        <v>2</v>
      </c>
      <c r="AY16" s="24">
        <v>2</v>
      </c>
      <c r="AZ16" s="24">
        <v>2</v>
      </c>
      <c r="BA16" s="24">
        <v>1</v>
      </c>
      <c r="BB16" s="24">
        <v>2</v>
      </c>
      <c r="BC16" s="24">
        <v>1</v>
      </c>
      <c r="BD16" s="24">
        <v>1</v>
      </c>
      <c r="BE16" s="24" t="s">
        <v>184</v>
      </c>
      <c r="BF16" s="24" t="s">
        <v>184</v>
      </c>
      <c r="BG16" s="24" t="s">
        <v>183</v>
      </c>
      <c r="BH16" s="24" t="s">
        <v>183</v>
      </c>
      <c r="BI16" s="24" t="s">
        <v>183</v>
      </c>
      <c r="BJ16" s="24" t="s">
        <v>183</v>
      </c>
      <c r="BK16" s="24"/>
      <c r="BL16" s="24"/>
      <c r="BM16" s="57"/>
      <c r="BN16" s="2" t="str">
        <f>IF(AND((BN$6-$P16)&gt;=0,(BN$6-$P16)&lt;=($Q16-$P16)),"."," ")</f>
        <v xml:space="preserve"> </v>
      </c>
      <c r="BO16" s="2" t="str">
        <f>IF(AND((BO$6-$P16)&gt;=0,(BO$6-$P16)&lt;=($Q16-$P16)),"."," ")</f>
        <v xml:space="preserve"> </v>
      </c>
      <c r="BP16" s="2" t="str">
        <f>IF(AND((BP$6-$P16)&gt;=0,(BP$6-$P16)&lt;=($Q16-$P16)),"."," ")</f>
        <v xml:space="preserve"> </v>
      </c>
      <c r="BQ16" s="2" t="str">
        <f>IF(AND((BQ$6-$P16)&gt;=0,(BQ$6-$P16)&lt;=($Q16-$P16)),"."," ")</f>
        <v xml:space="preserve"> </v>
      </c>
      <c r="BR16" s="2" t="str">
        <f>IF(AND((BR$6-$P16)&gt;=0,(BR$6-$P16)&lt;=($Q16-$P16)),"."," ")</f>
        <v xml:space="preserve"> </v>
      </c>
      <c r="BS16" s="2" t="str">
        <f>IF(AND((BS$6-$P16)&gt;=0,(BS$6-$P16)&lt;=($Q16-$P16)),"."," ")</f>
        <v xml:space="preserve"> </v>
      </c>
      <c r="BT16" s="2" t="str">
        <f>IF(AND((BT$6-$P16)&gt;=0,(BT$6-$P16)&lt;=($Q16-$P16)),"."," ")</f>
        <v xml:space="preserve"> </v>
      </c>
      <c r="BU16" s="2" t="str">
        <f>IF(AND((BU$6-$P16)&gt;=0,(BU$6-$P16)&lt;=($Q16-$P16)),"."," ")</f>
        <v xml:space="preserve"> </v>
      </c>
      <c r="BV16" s="2" t="str">
        <f>IF(AND((BV$6-$P16)&gt;=0,(BV$6-$P16)&lt;=($Q16-$P16)),"."," ")</f>
        <v>.</v>
      </c>
      <c r="BW16" s="2" t="str">
        <f>IF(AND((BW$6-$P16)&gt;=0,(BW$6-$P16)&lt;=($Q16-$P16)),"."," ")</f>
        <v xml:space="preserve"> </v>
      </c>
      <c r="BX16" s="2" t="str">
        <f>IF(AND((BX$6-$P16)&gt;=0,(BX$6-$P16)&lt;=($Q16-$P16)),"."," ")</f>
        <v xml:space="preserve"> </v>
      </c>
      <c r="BY16" s="2" t="str">
        <f>IF(AND((BY$6-$P16)&gt;=0,(BY$6-$P16)&lt;=($Q16-$P16)),"."," ")</f>
        <v xml:space="preserve"> </v>
      </c>
      <c r="BZ16" s="2" t="str">
        <f>IF(AND((BZ$6-$P16)&gt;=0,(BZ$6-$P16)&lt;=($Q16-$P16)),"."," ")</f>
        <v xml:space="preserve"> </v>
      </c>
      <c r="CA16" s="2" t="str">
        <f>IF(AND((CA$6-$P16)&gt;=0,(CA$6-$P16)&lt;=($Q16-$P16)),"."," ")</f>
        <v xml:space="preserve"> </v>
      </c>
      <c r="CB16" s="2" t="str">
        <f>IF(AND((CB$6-$P16)&gt;=0,(CB$6-$P16)&lt;=($Q16-$P16)),"."," ")</f>
        <v xml:space="preserve"> </v>
      </c>
      <c r="CC16" s="2" t="str">
        <f>IF(AND((CC$6-$P16)&gt;=0,(CC$6-$P16)&lt;=($Q16-$P16)),"."," ")</f>
        <v xml:space="preserve"> </v>
      </c>
      <c r="CD16" s="2" t="str">
        <f t="shared" si="24"/>
        <v xml:space="preserve"> </v>
      </c>
      <c r="CE16" s="2" t="str">
        <f t="shared" si="24"/>
        <v xml:space="preserve"> </v>
      </c>
      <c r="CF16" s="2" t="str">
        <f t="shared" si="24"/>
        <v xml:space="preserve"> </v>
      </c>
      <c r="CG16" s="2" t="str">
        <f t="shared" si="24"/>
        <v xml:space="preserve"> </v>
      </c>
      <c r="CH16" s="2" t="str">
        <f t="shared" si="24"/>
        <v xml:space="preserve"> </v>
      </c>
      <c r="CI16" s="2" t="str">
        <f t="shared" si="24"/>
        <v xml:space="preserve"> </v>
      </c>
      <c r="CJ16" s="2" t="str">
        <f t="shared" si="24"/>
        <v xml:space="preserve"> </v>
      </c>
      <c r="CK16" s="2" t="str">
        <f t="shared" si="24"/>
        <v xml:space="preserve"> </v>
      </c>
      <c r="CL16" s="2" t="str">
        <f t="shared" si="24"/>
        <v xml:space="preserve"> </v>
      </c>
      <c r="CM16" s="2" t="str">
        <f t="shared" si="24"/>
        <v xml:space="preserve"> </v>
      </c>
      <c r="CN16" s="2" t="str">
        <f t="shared" si="24"/>
        <v xml:space="preserve"> </v>
      </c>
      <c r="CO16" s="2" t="str">
        <f t="shared" si="24"/>
        <v xml:space="preserve"> </v>
      </c>
      <c r="CP16" s="2" t="str">
        <f t="shared" si="24"/>
        <v xml:space="preserve"> </v>
      </c>
      <c r="CQ16" s="2" t="str">
        <f t="shared" si="24"/>
        <v xml:space="preserve"> </v>
      </c>
      <c r="CR16" s="2" t="str">
        <f t="shared" si="24"/>
        <v xml:space="preserve"> </v>
      </c>
    </row>
    <row r="17" spans="1:96">
      <c r="A17" s="21" t="str">
        <f>VLOOKUP(L17,Ubicacion!A:K,2,FALSE)</f>
        <v>LI3BR</v>
      </c>
      <c r="B17" s="21" t="str">
        <f>VLOOKUP(L17,Ubicacion!A:K,3,FALSE)</f>
        <v>LI3BC03</v>
      </c>
      <c r="C17" s="21" t="str">
        <f>VLOOKUP(L17,Ubicacion!A:K,4,FALSE)</f>
        <v>LIMA</v>
      </c>
      <c r="D17" s="21" t="str">
        <f>VLOOKUP(L17,Ubicacion!A:K,5,FALSE)</f>
        <v>CHORRILLOS</v>
      </c>
      <c r="E17" s="21" t="str">
        <f>VLOOKUP(L17,Ubicacion!A:K,6,FALSE)</f>
        <v>Rural</v>
      </c>
      <c r="F17" s="21" t="str">
        <f>VLOOKUP(L17,Ubicacion!A:K,7,FALSE)</f>
        <v>8:00 - 16:00</v>
      </c>
      <c r="G17" s="21" t="str">
        <f>VLOOKUP(L17,Ubicacion!A:K,8,FALSE)</f>
        <v>MONDAY</v>
      </c>
      <c r="H17" s="21">
        <f>VLOOKUP(L17,Ubicacion!A:K,9,FALSE)</f>
        <v>1</v>
      </c>
      <c r="I17" s="21">
        <f>VLOOKUP(L17,Ubicacion!A:K,10,FALSE)</f>
        <v>-12.168759113356799</v>
      </c>
      <c r="J17" s="21">
        <f>VLOOKUP(L17,Ubicacion!A:K,11,FALSE)</f>
        <v>-77.026180087287301</v>
      </c>
      <c r="K17" s="21" t="str">
        <f t="shared" si="3"/>
        <v>46152Grupo 1</v>
      </c>
      <c r="L17" s="21" t="s">
        <v>69</v>
      </c>
      <c r="M17" s="21">
        <v>1</v>
      </c>
      <c r="N17" s="24" t="s">
        <v>186</v>
      </c>
      <c r="O17" s="24" t="s">
        <v>171</v>
      </c>
      <c r="P17" s="23">
        <v>46152</v>
      </c>
      <c r="Q17" s="23">
        <f t="shared" si="14"/>
        <v>46152</v>
      </c>
      <c r="R17" s="24" t="str">
        <f ca="1">IF($A$1&lt;Q17,"On-time",IF(AND(Q17&lt;=$A$1,BJ17="OK"),"OK","NO OK"))</f>
        <v>OK</v>
      </c>
      <c r="S17" s="24" t="str">
        <f t="shared" si="4"/>
        <v>SUNDAY</v>
      </c>
      <c r="T17" s="24">
        <f>VLOOKUP(L17,Ubicacion!A:AE,13,FALSE)</f>
        <v>15</v>
      </c>
      <c r="U17" s="24">
        <f>VLOOKUP(L17,Ubicacion!A:AE,14,FALSE)</f>
        <v>2</v>
      </c>
      <c r="V17" s="24">
        <f>VLOOKUP(L17,Ubicacion!A:AE,15,FALSE)</f>
        <v>2</v>
      </c>
      <c r="W17" s="24">
        <f>VLOOKUP(L17,Ubicacion!A:AE,16,FALSE)</f>
        <v>13</v>
      </c>
      <c r="X17" s="24">
        <f>VLOOKUP(L17,Ubicacion!A:AE,17,FALSE)</f>
        <v>4</v>
      </c>
      <c r="Y17" s="24">
        <f>VLOOKUP(L17,Ubicacion!A:AE,18,FALSE)</f>
        <v>4</v>
      </c>
      <c r="Z17" s="24">
        <f>VLOOKUP(L17,Ubicacion!A:AE,19,FALSE)</f>
        <v>0</v>
      </c>
      <c r="AA17" s="24">
        <f>VLOOKUP(L17,Ubicacion!A:AE,20,FALSE)</f>
        <v>0</v>
      </c>
      <c r="AB17" s="24">
        <f>VLOOKUP(L17,Ubicacion!A:AE,21,FALSE)</f>
        <v>0</v>
      </c>
      <c r="AC17" s="24">
        <f>VLOOKUP(L17,Ubicacion!A:AE,22,FALSE)</f>
        <v>2</v>
      </c>
      <c r="AD17" s="24">
        <f>VLOOKUP(L17,Ubicacion!A:AE,23,FALSE)</f>
        <v>0</v>
      </c>
      <c r="AE17" s="24">
        <f>VLOOKUP(L17,Ubicacion!A:AE,24,FALSE)</f>
        <v>0</v>
      </c>
      <c r="AF17" s="24">
        <f>VLOOKUP(L17,Ubicacion!A:AE,25,FALSE)</f>
        <v>0</v>
      </c>
      <c r="AG17" s="24">
        <f>VLOOKUP(L17,Ubicacion!A:AE,26,FALSE)</f>
        <v>2</v>
      </c>
      <c r="AH17" s="24">
        <f>VLOOKUP(L17,Ubicacion!A:AE,27,FALSE)</f>
        <v>2</v>
      </c>
      <c r="AI17" s="24">
        <f>VLOOKUP(L17,Ubicacion!A:AE,28,FALSE)</f>
        <v>5</v>
      </c>
      <c r="AJ17" s="24">
        <f>VLOOKUP(L17,Ubicacion!A:AE,29,FALSE)</f>
        <v>3</v>
      </c>
      <c r="AK17" s="24">
        <f>VLOOKUP(L17,Ubicacion!A:AE,30,FALSE)</f>
        <v>1</v>
      </c>
      <c r="AL17" s="24">
        <f>VLOOKUP(L17,Ubicacion!A:AE,31,FALSE)</f>
        <v>1</v>
      </c>
      <c r="AM17" s="25">
        <f t="shared" si="15"/>
        <v>0.66666666666666663</v>
      </c>
      <c r="AN17" s="25">
        <f t="shared" si="16"/>
        <v>0.5</v>
      </c>
      <c r="AO17" s="25">
        <f t="shared" si="17"/>
        <v>1</v>
      </c>
      <c r="AP17" s="25">
        <f t="shared" si="18"/>
        <v>0.15384615384615385</v>
      </c>
      <c r="AQ17" s="25">
        <f t="shared" si="19"/>
        <v>0.5</v>
      </c>
      <c r="AR17" s="25">
        <f t="shared" si="20"/>
        <v>0.25</v>
      </c>
      <c r="AS17" s="25" t="str">
        <f t="shared" si="21"/>
        <v>100%</v>
      </c>
      <c r="AT17" s="25" t="str">
        <f t="shared" si="22"/>
        <v>100%</v>
      </c>
      <c r="AU17" s="25" t="str">
        <f t="shared" si="23"/>
        <v>100%</v>
      </c>
      <c r="AV17" s="24">
        <v>10</v>
      </c>
      <c r="AW17" s="24">
        <v>1</v>
      </c>
      <c r="AX17" s="24">
        <v>2</v>
      </c>
      <c r="AY17" s="24">
        <v>2</v>
      </c>
      <c r="AZ17" s="24">
        <v>2</v>
      </c>
      <c r="BA17" s="24">
        <v>1</v>
      </c>
      <c r="BB17" s="24">
        <v>2</v>
      </c>
      <c r="BC17" s="24">
        <v>1</v>
      </c>
      <c r="BD17" s="24">
        <v>1</v>
      </c>
      <c r="BE17" s="24" t="s">
        <v>184</v>
      </c>
      <c r="BF17" s="24" t="s">
        <v>184</v>
      </c>
      <c r="BG17" s="24" t="s">
        <v>183</v>
      </c>
      <c r="BH17" s="24" t="s">
        <v>183</v>
      </c>
      <c r="BI17" s="24" t="s">
        <v>183</v>
      </c>
      <c r="BJ17" s="24" t="s">
        <v>183</v>
      </c>
      <c r="BK17" s="24"/>
      <c r="BL17" s="24"/>
      <c r="BM17" s="57"/>
      <c r="BN17" s="2" t="str">
        <f>IF(AND((BN$6-$P17)&gt;=0,(BN$6-$P17)&lt;=($Q17-$P17)),"."," ")</f>
        <v xml:space="preserve"> </v>
      </c>
      <c r="BO17" s="2" t="str">
        <f>IF(AND((BO$6-$P17)&gt;=0,(BO$6-$P17)&lt;=($Q17-$P17)),"."," ")</f>
        <v xml:space="preserve"> </v>
      </c>
      <c r="BP17" s="2" t="str">
        <f>IF(AND((BP$6-$P17)&gt;=0,(BP$6-$P17)&lt;=($Q17-$P17)),"."," ")</f>
        <v xml:space="preserve"> </v>
      </c>
      <c r="BQ17" s="2" t="str">
        <f>IF(AND((BQ$6-$P17)&gt;=0,(BQ$6-$P17)&lt;=($Q17-$P17)),"."," ")</f>
        <v xml:space="preserve"> </v>
      </c>
      <c r="BR17" s="2" t="str">
        <f>IF(AND((BR$6-$P17)&gt;=0,(BR$6-$P17)&lt;=($Q17-$P17)),"."," ")</f>
        <v xml:space="preserve"> </v>
      </c>
      <c r="BS17" s="2" t="str">
        <f>IF(AND((BS$6-$P17)&gt;=0,(BS$6-$P17)&lt;=($Q17-$P17)),"."," ")</f>
        <v xml:space="preserve"> </v>
      </c>
      <c r="BT17" s="2" t="str">
        <f>IF(AND((BT$6-$P17)&gt;=0,(BT$6-$P17)&lt;=($Q17-$P17)),"."," ")</f>
        <v xml:space="preserve"> </v>
      </c>
      <c r="BU17" s="2" t="str">
        <f>IF(AND((BU$6-$P17)&gt;=0,(BU$6-$P17)&lt;=($Q17-$P17)),"."," ")</f>
        <v xml:space="preserve"> </v>
      </c>
      <c r="BV17" s="2" t="str">
        <f>IF(AND((BV$6-$P17)&gt;=0,(BV$6-$P17)&lt;=($Q17-$P17)),"."," ")</f>
        <v xml:space="preserve"> </v>
      </c>
      <c r="BW17" s="2" t="str">
        <f>IF(AND((BW$6-$P17)&gt;=0,(BW$6-$P17)&lt;=($Q17-$P17)),"."," ")</f>
        <v>.</v>
      </c>
      <c r="BX17" s="2" t="str">
        <f>IF(AND((BX$6-$P17)&gt;=0,(BX$6-$P17)&lt;=($Q17-$P17)),"."," ")</f>
        <v xml:space="preserve"> </v>
      </c>
      <c r="BY17" s="2" t="str">
        <f>IF(AND((BY$6-$P17)&gt;=0,(BY$6-$P17)&lt;=($Q17-$P17)),"."," ")</f>
        <v xml:space="preserve"> </v>
      </c>
      <c r="BZ17" s="2" t="str">
        <f>IF(AND((BZ$6-$P17)&gt;=0,(BZ$6-$P17)&lt;=($Q17-$P17)),"."," ")</f>
        <v xml:space="preserve"> </v>
      </c>
      <c r="CA17" s="2" t="str">
        <f>IF(AND((CA$6-$P17)&gt;=0,(CA$6-$P17)&lt;=($Q17-$P17)),"."," ")</f>
        <v xml:space="preserve"> </v>
      </c>
      <c r="CB17" s="2" t="str">
        <f>IF(AND((CB$6-$P17)&gt;=0,(CB$6-$P17)&lt;=($Q17-$P17)),"."," ")</f>
        <v xml:space="preserve"> </v>
      </c>
      <c r="CC17" s="2" t="str">
        <f>IF(AND((CC$6-$P17)&gt;=0,(CC$6-$P17)&lt;=($Q17-$P17)),"."," ")</f>
        <v xml:space="preserve"> </v>
      </c>
      <c r="CD17" s="2" t="str">
        <f t="shared" si="24"/>
        <v xml:space="preserve"> </v>
      </c>
      <c r="CE17" s="2" t="str">
        <f t="shared" si="24"/>
        <v xml:space="preserve"> </v>
      </c>
      <c r="CF17" s="2" t="str">
        <f t="shared" si="24"/>
        <v xml:space="preserve"> </v>
      </c>
      <c r="CG17" s="2" t="str">
        <f t="shared" si="24"/>
        <v xml:space="preserve"> </v>
      </c>
      <c r="CH17" s="2" t="str">
        <f t="shared" si="24"/>
        <v xml:space="preserve"> </v>
      </c>
      <c r="CI17" s="2" t="str">
        <f t="shared" si="24"/>
        <v xml:space="preserve"> </v>
      </c>
      <c r="CJ17" s="2" t="str">
        <f t="shared" si="24"/>
        <v xml:space="preserve"> </v>
      </c>
      <c r="CK17" s="2" t="str">
        <f t="shared" si="24"/>
        <v xml:space="preserve"> </v>
      </c>
      <c r="CL17" s="2" t="str">
        <f t="shared" si="24"/>
        <v xml:space="preserve"> </v>
      </c>
      <c r="CM17" s="2" t="str">
        <f t="shared" si="24"/>
        <v xml:space="preserve"> </v>
      </c>
      <c r="CN17" s="2" t="str">
        <f t="shared" si="24"/>
        <v xml:space="preserve"> </v>
      </c>
      <c r="CO17" s="2" t="str">
        <f t="shared" si="24"/>
        <v xml:space="preserve"> </v>
      </c>
      <c r="CP17" s="2" t="str">
        <f t="shared" si="24"/>
        <v xml:space="preserve"> </v>
      </c>
      <c r="CQ17" s="2" t="str">
        <f t="shared" si="24"/>
        <v xml:space="preserve"> </v>
      </c>
      <c r="CR17" s="2" t="str">
        <f t="shared" si="24"/>
        <v xml:space="preserve"> </v>
      </c>
    </row>
    <row r="18" spans="1:96">
      <c r="A18" s="21" t="str">
        <f>VLOOKUP(L18,Ubicacion!A:K,2,FALSE)</f>
        <v>LI3BR</v>
      </c>
      <c r="B18" s="21" t="str">
        <f>VLOOKUP(L18,Ubicacion!A:K,3,FALSE)</f>
        <v>LI2BC13</v>
      </c>
      <c r="C18" s="21" t="str">
        <f>VLOOKUP(L18,Ubicacion!A:K,4,FALSE)</f>
        <v>LIMA</v>
      </c>
      <c r="D18" s="21" t="str">
        <f>VLOOKUP(L18,Ubicacion!A:K,5,FALSE)</f>
        <v>SAN BORJA</v>
      </c>
      <c r="E18" s="21" t="str">
        <f>VLOOKUP(L18,Ubicacion!A:K,6,FALSE)</f>
        <v>Rural</v>
      </c>
      <c r="F18" s="21" t="str">
        <f>VLOOKUP(L18,Ubicacion!A:K,7,FALSE)</f>
        <v>10:00 - 16:00</v>
      </c>
      <c r="G18" s="21" t="str">
        <f>VLOOKUP(L18,Ubicacion!A:K,8,FALSE)</f>
        <v>TUESDAY</v>
      </c>
      <c r="H18" s="21">
        <f>VLOOKUP(L18,Ubicacion!A:K,9,FALSE)</f>
        <v>1</v>
      </c>
      <c r="I18" s="21">
        <f>VLOOKUP(L18,Ubicacion!A:K,10,FALSE)</f>
        <v>-12.098803996063699</v>
      </c>
      <c r="J18" s="21">
        <f>VLOOKUP(L18,Ubicacion!A:K,11,FALSE)</f>
        <v>-77.011131197785602</v>
      </c>
      <c r="K18" s="21" t="str">
        <f t="shared" si="3"/>
        <v>46153Grupo 1</v>
      </c>
      <c r="L18" s="21" t="s">
        <v>70</v>
      </c>
      <c r="M18" s="21">
        <v>1</v>
      </c>
      <c r="N18" s="24" t="s">
        <v>186</v>
      </c>
      <c r="O18" s="24" t="s">
        <v>171</v>
      </c>
      <c r="P18" s="23">
        <v>46153</v>
      </c>
      <c r="Q18" s="23">
        <f t="shared" si="14"/>
        <v>46153</v>
      </c>
      <c r="R18" s="24" t="str">
        <f ca="1">IF($A$1&lt;Q18,"On-time",IF(AND(Q18&lt;=$A$1,BJ18="OK"),"OK","NO OK"))</f>
        <v>OK</v>
      </c>
      <c r="S18" s="24" t="str">
        <f t="shared" si="4"/>
        <v>MONDAY</v>
      </c>
      <c r="T18" s="24">
        <f>VLOOKUP(L18,Ubicacion!A:AE,13,FALSE)</f>
        <v>15</v>
      </c>
      <c r="U18" s="24">
        <f>VLOOKUP(L18,Ubicacion!A:AE,14,FALSE)</f>
        <v>2</v>
      </c>
      <c r="V18" s="24">
        <f>VLOOKUP(L18,Ubicacion!A:AE,15,FALSE)</f>
        <v>2</v>
      </c>
      <c r="W18" s="24">
        <f>VLOOKUP(L18,Ubicacion!A:AE,16,FALSE)</f>
        <v>13</v>
      </c>
      <c r="X18" s="24">
        <f>VLOOKUP(L18,Ubicacion!A:AE,17,FALSE)</f>
        <v>4</v>
      </c>
      <c r="Y18" s="24">
        <f>VLOOKUP(L18,Ubicacion!A:AE,18,FALSE)</f>
        <v>4</v>
      </c>
      <c r="Z18" s="24">
        <f>VLOOKUP(L18,Ubicacion!A:AE,19,FALSE)</f>
        <v>0</v>
      </c>
      <c r="AA18" s="24">
        <f>VLOOKUP(L18,Ubicacion!A:AE,20,FALSE)</f>
        <v>0</v>
      </c>
      <c r="AB18" s="24">
        <f>VLOOKUP(L18,Ubicacion!A:AE,21,FALSE)</f>
        <v>0</v>
      </c>
      <c r="AC18" s="24">
        <f>VLOOKUP(L18,Ubicacion!A:AE,22,FALSE)</f>
        <v>2</v>
      </c>
      <c r="AD18" s="24">
        <f>VLOOKUP(L18,Ubicacion!A:AE,23,FALSE)</f>
        <v>0</v>
      </c>
      <c r="AE18" s="24">
        <f>VLOOKUP(L18,Ubicacion!A:AE,24,FALSE)</f>
        <v>0</v>
      </c>
      <c r="AF18" s="24">
        <f>VLOOKUP(L18,Ubicacion!A:AE,25,FALSE)</f>
        <v>0</v>
      </c>
      <c r="AG18" s="24">
        <f>VLOOKUP(L18,Ubicacion!A:AE,26,FALSE)</f>
        <v>2</v>
      </c>
      <c r="AH18" s="24">
        <f>VLOOKUP(L18,Ubicacion!A:AE,27,FALSE)</f>
        <v>2</v>
      </c>
      <c r="AI18" s="24">
        <f>VLOOKUP(L18,Ubicacion!A:AE,28,FALSE)</f>
        <v>5</v>
      </c>
      <c r="AJ18" s="24">
        <f>VLOOKUP(L18,Ubicacion!A:AE,29,FALSE)</f>
        <v>3</v>
      </c>
      <c r="AK18" s="24">
        <f>VLOOKUP(L18,Ubicacion!A:AE,30,FALSE)</f>
        <v>1</v>
      </c>
      <c r="AL18" s="24">
        <f>VLOOKUP(L18,Ubicacion!A:AE,31,FALSE)</f>
        <v>1</v>
      </c>
      <c r="AM18" s="25">
        <f t="shared" si="15"/>
        <v>0.66666666666666663</v>
      </c>
      <c r="AN18" s="25">
        <f t="shared" si="16"/>
        <v>0.5</v>
      </c>
      <c r="AO18" s="25">
        <f t="shared" si="17"/>
        <v>1</v>
      </c>
      <c r="AP18" s="25">
        <f t="shared" si="18"/>
        <v>0.15384615384615385</v>
      </c>
      <c r="AQ18" s="25">
        <f t="shared" si="19"/>
        <v>0.5</v>
      </c>
      <c r="AR18" s="25">
        <f t="shared" si="20"/>
        <v>0.25</v>
      </c>
      <c r="AS18" s="25" t="str">
        <f t="shared" si="21"/>
        <v>100%</v>
      </c>
      <c r="AT18" s="25" t="str">
        <f t="shared" si="22"/>
        <v>100%</v>
      </c>
      <c r="AU18" s="25" t="str">
        <f t="shared" si="23"/>
        <v>100%</v>
      </c>
      <c r="AV18" s="24">
        <v>10</v>
      </c>
      <c r="AW18" s="24">
        <v>1</v>
      </c>
      <c r="AX18" s="24">
        <v>2</v>
      </c>
      <c r="AY18" s="24">
        <v>2</v>
      </c>
      <c r="AZ18" s="24">
        <v>2</v>
      </c>
      <c r="BA18" s="24">
        <v>1</v>
      </c>
      <c r="BB18" s="24">
        <v>2</v>
      </c>
      <c r="BC18" s="24">
        <v>1</v>
      </c>
      <c r="BD18" s="24">
        <v>1</v>
      </c>
      <c r="BE18" s="24" t="s">
        <v>184</v>
      </c>
      <c r="BF18" s="24" t="s">
        <v>184</v>
      </c>
      <c r="BG18" s="24" t="s">
        <v>183</v>
      </c>
      <c r="BH18" s="24" t="s">
        <v>183</v>
      </c>
      <c r="BI18" s="24" t="s">
        <v>183</v>
      </c>
      <c r="BJ18" s="24" t="s">
        <v>183</v>
      </c>
      <c r="BK18" s="24"/>
      <c r="BL18" s="24"/>
      <c r="BM18" s="57"/>
      <c r="BN18" s="2" t="str">
        <f>IF(AND((BN$6-$P18)&gt;=0,(BN$6-$P18)&lt;=($Q18-$P18)),"."," ")</f>
        <v xml:space="preserve"> </v>
      </c>
      <c r="BO18" s="2" t="str">
        <f>IF(AND((BO$6-$P18)&gt;=0,(BO$6-$P18)&lt;=($Q18-$P18)),"."," ")</f>
        <v xml:space="preserve"> </v>
      </c>
      <c r="BP18" s="2" t="str">
        <f>IF(AND((BP$6-$P18)&gt;=0,(BP$6-$P18)&lt;=($Q18-$P18)),"."," ")</f>
        <v xml:space="preserve"> </v>
      </c>
      <c r="BQ18" s="2" t="str">
        <f>IF(AND((BQ$6-$P18)&gt;=0,(BQ$6-$P18)&lt;=($Q18-$P18)),"."," ")</f>
        <v xml:space="preserve"> </v>
      </c>
      <c r="BR18" s="2" t="str">
        <f>IF(AND((BR$6-$P18)&gt;=0,(BR$6-$P18)&lt;=($Q18-$P18)),"."," ")</f>
        <v xml:space="preserve"> </v>
      </c>
      <c r="BS18" s="2" t="str">
        <f>IF(AND((BS$6-$P18)&gt;=0,(BS$6-$P18)&lt;=($Q18-$P18)),"."," ")</f>
        <v xml:space="preserve"> </v>
      </c>
      <c r="BT18" s="2" t="str">
        <f>IF(AND((BT$6-$P18)&gt;=0,(BT$6-$P18)&lt;=($Q18-$P18)),"."," ")</f>
        <v xml:space="preserve"> </v>
      </c>
      <c r="BU18" s="2" t="str">
        <f>IF(AND((BU$6-$P18)&gt;=0,(BU$6-$P18)&lt;=($Q18-$P18)),"."," ")</f>
        <v xml:space="preserve"> </v>
      </c>
      <c r="BV18" s="2" t="str">
        <f>IF(AND((BV$6-$P18)&gt;=0,(BV$6-$P18)&lt;=($Q18-$P18)),"."," ")</f>
        <v xml:space="preserve"> </v>
      </c>
      <c r="BW18" s="2" t="str">
        <f>IF(AND((BW$6-$P18)&gt;=0,(BW$6-$P18)&lt;=($Q18-$P18)),"."," ")</f>
        <v xml:space="preserve"> </v>
      </c>
      <c r="BX18" s="2" t="str">
        <f>IF(AND((BX$6-$P18)&gt;=0,(BX$6-$P18)&lt;=($Q18-$P18)),"."," ")</f>
        <v>.</v>
      </c>
      <c r="BY18" s="2" t="str">
        <f>IF(AND((BY$6-$P18)&gt;=0,(BY$6-$P18)&lt;=($Q18-$P18)),"."," ")</f>
        <v xml:space="preserve"> </v>
      </c>
      <c r="BZ18" s="2" t="str">
        <f>IF(AND((BZ$6-$P18)&gt;=0,(BZ$6-$P18)&lt;=($Q18-$P18)),"."," ")</f>
        <v xml:space="preserve"> </v>
      </c>
      <c r="CA18" s="2" t="str">
        <f>IF(AND((CA$6-$P18)&gt;=0,(CA$6-$P18)&lt;=($Q18-$P18)),"."," ")</f>
        <v xml:space="preserve"> </v>
      </c>
      <c r="CB18" s="2" t="str">
        <f>IF(AND((CB$6-$P18)&gt;=0,(CB$6-$P18)&lt;=($Q18-$P18)),"."," ")</f>
        <v xml:space="preserve"> </v>
      </c>
      <c r="CC18" s="2" t="str">
        <f>IF(AND((CC$6-$P18)&gt;=0,(CC$6-$P18)&lt;=($Q18-$P18)),"."," ")</f>
        <v xml:space="preserve"> </v>
      </c>
      <c r="CD18" s="2" t="str">
        <f t="shared" si="24"/>
        <v xml:space="preserve"> </v>
      </c>
      <c r="CE18" s="2" t="str">
        <f t="shared" si="24"/>
        <v xml:space="preserve"> </v>
      </c>
      <c r="CF18" s="2" t="str">
        <f t="shared" si="24"/>
        <v xml:space="preserve"> </v>
      </c>
      <c r="CG18" s="2" t="str">
        <f t="shared" si="24"/>
        <v xml:space="preserve"> </v>
      </c>
      <c r="CH18" s="2" t="str">
        <f t="shared" si="24"/>
        <v xml:space="preserve"> </v>
      </c>
      <c r="CI18" s="2" t="str">
        <f t="shared" si="24"/>
        <v xml:space="preserve"> </v>
      </c>
      <c r="CJ18" s="2" t="str">
        <f t="shared" si="24"/>
        <v xml:space="preserve"> </v>
      </c>
      <c r="CK18" s="2" t="str">
        <f t="shared" si="24"/>
        <v xml:space="preserve"> </v>
      </c>
      <c r="CL18" s="2" t="str">
        <f t="shared" si="24"/>
        <v xml:space="preserve"> </v>
      </c>
      <c r="CM18" s="2" t="str">
        <f t="shared" si="24"/>
        <v xml:space="preserve"> </v>
      </c>
      <c r="CN18" s="2" t="str">
        <f t="shared" si="24"/>
        <v xml:space="preserve"> </v>
      </c>
      <c r="CO18" s="2" t="str">
        <f t="shared" si="24"/>
        <v xml:space="preserve"> </v>
      </c>
      <c r="CP18" s="2" t="str">
        <f t="shared" si="24"/>
        <v xml:space="preserve"> </v>
      </c>
      <c r="CQ18" s="2" t="str">
        <f t="shared" si="24"/>
        <v xml:space="preserve"> </v>
      </c>
      <c r="CR18" s="2" t="str">
        <f t="shared" si="24"/>
        <v xml:space="preserve"> </v>
      </c>
    </row>
    <row r="19" spans="1:96">
      <c r="A19" s="21" t="str">
        <f>VLOOKUP(L19,Ubicacion!A:K,2,FALSE)</f>
        <v>LI3BR</v>
      </c>
      <c r="B19" s="21" t="str">
        <f>VLOOKUP(L19,Ubicacion!A:K,3,FALSE)</f>
        <v>LI3BC03</v>
      </c>
      <c r="C19" s="21" t="str">
        <f>VLOOKUP(L19,Ubicacion!A:K,4,FALSE)</f>
        <v>LIMA</v>
      </c>
      <c r="D19" s="21" t="str">
        <f>VLOOKUP(L19,Ubicacion!A:K,5,FALSE)</f>
        <v>CHORRILLOS</v>
      </c>
      <c r="E19" s="21" t="str">
        <f>VLOOKUP(L19,Ubicacion!A:K,6,FALSE)</f>
        <v>Rural</v>
      </c>
      <c r="F19" s="21" t="str">
        <f>VLOOKUP(L19,Ubicacion!A:K,7,FALSE)</f>
        <v>7:00 - 19:00</v>
      </c>
      <c r="G19" s="21" t="str">
        <f>VLOOKUP(L19,Ubicacion!A:K,8,FALSE)</f>
        <v>WEDNESDAY</v>
      </c>
      <c r="H19" s="21">
        <f>VLOOKUP(L19,Ubicacion!A:K,9,FALSE)</f>
        <v>1</v>
      </c>
      <c r="I19" s="21">
        <f>VLOOKUP(L19,Ubicacion!A:K,10,FALSE)</f>
        <v>-12.1698224617296</v>
      </c>
      <c r="J19" s="21">
        <f>VLOOKUP(L19,Ubicacion!A:K,11,FALSE)</f>
        <v>-77.023673123855403</v>
      </c>
      <c r="K19" s="21" t="str">
        <f t="shared" si="3"/>
        <v>46154Grupo 1</v>
      </c>
      <c r="L19" s="21" t="s">
        <v>71</v>
      </c>
      <c r="M19" s="21">
        <v>1</v>
      </c>
      <c r="N19" s="24" t="s">
        <v>186</v>
      </c>
      <c r="O19" s="24" t="s">
        <v>171</v>
      </c>
      <c r="P19" s="23">
        <v>46154</v>
      </c>
      <c r="Q19" s="23">
        <f t="shared" si="14"/>
        <v>46154</v>
      </c>
      <c r="R19" s="24" t="str">
        <f ca="1">IF($A$1&lt;Q19,"On-time",IF(AND(Q19&lt;=$A$1,BJ19="OK"),"OK","NO OK"))</f>
        <v>OK</v>
      </c>
      <c r="S19" s="24" t="str">
        <f t="shared" si="4"/>
        <v>TUESDAY</v>
      </c>
      <c r="T19" s="24">
        <f>VLOOKUP(L19,Ubicacion!A:AE,13,FALSE)</f>
        <v>15</v>
      </c>
      <c r="U19" s="24">
        <f>VLOOKUP(L19,Ubicacion!A:AE,14,FALSE)</f>
        <v>2</v>
      </c>
      <c r="V19" s="24">
        <f>VLOOKUP(L19,Ubicacion!A:AE,15,FALSE)</f>
        <v>2</v>
      </c>
      <c r="W19" s="24">
        <f>VLOOKUP(L19,Ubicacion!A:AE,16,FALSE)</f>
        <v>13</v>
      </c>
      <c r="X19" s="24">
        <f>VLOOKUP(L19,Ubicacion!A:AE,17,FALSE)</f>
        <v>4</v>
      </c>
      <c r="Y19" s="24">
        <f>VLOOKUP(L19,Ubicacion!A:AE,18,FALSE)</f>
        <v>4</v>
      </c>
      <c r="Z19" s="24">
        <f>VLOOKUP(L19,Ubicacion!A:AE,19,FALSE)</f>
        <v>0</v>
      </c>
      <c r="AA19" s="24">
        <f>VLOOKUP(L19,Ubicacion!A:AE,20,FALSE)</f>
        <v>0</v>
      </c>
      <c r="AB19" s="24">
        <f>VLOOKUP(L19,Ubicacion!A:AE,21,FALSE)</f>
        <v>0</v>
      </c>
      <c r="AC19" s="24">
        <f>VLOOKUP(L19,Ubicacion!A:AE,22,FALSE)</f>
        <v>2</v>
      </c>
      <c r="AD19" s="24">
        <f>VLOOKUP(L19,Ubicacion!A:AE,23,FALSE)</f>
        <v>0</v>
      </c>
      <c r="AE19" s="24">
        <f>VLOOKUP(L19,Ubicacion!A:AE,24,FALSE)</f>
        <v>0</v>
      </c>
      <c r="AF19" s="24">
        <f>VLOOKUP(L19,Ubicacion!A:AE,25,FALSE)</f>
        <v>0</v>
      </c>
      <c r="AG19" s="24">
        <f>VLOOKUP(L19,Ubicacion!A:AE,26,FALSE)</f>
        <v>2</v>
      </c>
      <c r="AH19" s="24">
        <f>VLOOKUP(L19,Ubicacion!A:AE,27,FALSE)</f>
        <v>2</v>
      </c>
      <c r="AI19" s="24">
        <f>VLOOKUP(L19,Ubicacion!A:AE,28,FALSE)</f>
        <v>5</v>
      </c>
      <c r="AJ19" s="24">
        <f>VLOOKUP(L19,Ubicacion!A:AE,29,FALSE)</f>
        <v>3</v>
      </c>
      <c r="AK19" s="24">
        <f>VLOOKUP(L19,Ubicacion!A:AE,30,FALSE)</f>
        <v>1</v>
      </c>
      <c r="AL19" s="24">
        <f>VLOOKUP(L19,Ubicacion!A:AE,31,FALSE)</f>
        <v>1</v>
      </c>
      <c r="AM19" s="25">
        <f t="shared" si="15"/>
        <v>0.66666666666666663</v>
      </c>
      <c r="AN19" s="25">
        <f t="shared" si="16"/>
        <v>0.5</v>
      </c>
      <c r="AO19" s="25">
        <f t="shared" si="17"/>
        <v>1</v>
      </c>
      <c r="AP19" s="25">
        <f t="shared" si="18"/>
        <v>0.15384615384615385</v>
      </c>
      <c r="AQ19" s="25">
        <f t="shared" si="19"/>
        <v>0.5</v>
      </c>
      <c r="AR19" s="25">
        <f t="shared" si="20"/>
        <v>0.25</v>
      </c>
      <c r="AS19" s="25" t="str">
        <f t="shared" si="21"/>
        <v>100%</v>
      </c>
      <c r="AT19" s="25" t="str">
        <f t="shared" si="22"/>
        <v>100%</v>
      </c>
      <c r="AU19" s="25" t="str">
        <f t="shared" si="23"/>
        <v>100%</v>
      </c>
      <c r="AV19" s="24">
        <v>10</v>
      </c>
      <c r="AW19" s="24">
        <v>1</v>
      </c>
      <c r="AX19" s="24">
        <v>2</v>
      </c>
      <c r="AY19" s="24">
        <v>2</v>
      </c>
      <c r="AZ19" s="24">
        <v>2</v>
      </c>
      <c r="BA19" s="24">
        <v>1</v>
      </c>
      <c r="BB19" s="24">
        <v>2</v>
      </c>
      <c r="BC19" s="24">
        <v>1</v>
      </c>
      <c r="BD19" s="24">
        <v>1</v>
      </c>
      <c r="BE19" s="24" t="s">
        <v>184</v>
      </c>
      <c r="BF19" s="24" t="s">
        <v>184</v>
      </c>
      <c r="BG19" s="24" t="s">
        <v>183</v>
      </c>
      <c r="BH19" s="24" t="s">
        <v>183</v>
      </c>
      <c r="BI19" s="24" t="s">
        <v>183</v>
      </c>
      <c r="BJ19" s="24" t="s">
        <v>183</v>
      </c>
      <c r="BK19" s="24"/>
      <c r="BL19" s="24"/>
      <c r="BM19" s="57"/>
      <c r="BN19" s="2" t="str">
        <f>IF(AND((BN$6-$P19)&gt;=0,(BN$6-$P19)&lt;=($Q19-$P19)),"."," ")</f>
        <v xml:space="preserve"> </v>
      </c>
      <c r="BO19" s="2" t="str">
        <f>IF(AND((BO$6-$P19)&gt;=0,(BO$6-$P19)&lt;=($Q19-$P19)),"."," ")</f>
        <v xml:space="preserve"> </v>
      </c>
      <c r="BP19" s="2" t="str">
        <f>IF(AND((BP$6-$P19)&gt;=0,(BP$6-$P19)&lt;=($Q19-$P19)),"."," ")</f>
        <v xml:space="preserve"> </v>
      </c>
      <c r="BQ19" s="2" t="str">
        <f>IF(AND((BQ$6-$P19)&gt;=0,(BQ$6-$P19)&lt;=($Q19-$P19)),"."," ")</f>
        <v xml:space="preserve"> </v>
      </c>
      <c r="BR19" s="2" t="str">
        <f>IF(AND((BR$6-$P19)&gt;=0,(BR$6-$P19)&lt;=($Q19-$P19)),"."," ")</f>
        <v xml:space="preserve"> </v>
      </c>
      <c r="BS19" s="2" t="str">
        <f>IF(AND((BS$6-$P19)&gt;=0,(BS$6-$P19)&lt;=($Q19-$P19)),"."," ")</f>
        <v xml:space="preserve"> </v>
      </c>
      <c r="BT19" s="2" t="str">
        <f>IF(AND((BT$6-$P19)&gt;=0,(BT$6-$P19)&lt;=($Q19-$P19)),"."," ")</f>
        <v xml:space="preserve"> </v>
      </c>
      <c r="BU19" s="2" t="str">
        <f>IF(AND((BU$6-$P19)&gt;=0,(BU$6-$P19)&lt;=($Q19-$P19)),"."," ")</f>
        <v xml:space="preserve"> </v>
      </c>
      <c r="BV19" s="2" t="str">
        <f>IF(AND((BV$6-$P19)&gt;=0,(BV$6-$P19)&lt;=($Q19-$P19)),"."," ")</f>
        <v xml:space="preserve"> </v>
      </c>
      <c r="BW19" s="2" t="str">
        <f>IF(AND((BW$6-$P19)&gt;=0,(BW$6-$P19)&lt;=($Q19-$P19)),"."," ")</f>
        <v xml:space="preserve"> </v>
      </c>
      <c r="BX19" s="2" t="str">
        <f>IF(AND((BX$6-$P19)&gt;=0,(BX$6-$P19)&lt;=($Q19-$P19)),"."," ")</f>
        <v xml:space="preserve"> </v>
      </c>
      <c r="BY19" s="2" t="str">
        <f>IF(AND((BY$6-$P19)&gt;=0,(BY$6-$P19)&lt;=($Q19-$P19)),"."," ")</f>
        <v>.</v>
      </c>
      <c r="BZ19" s="2" t="str">
        <f>IF(AND((BZ$6-$P19)&gt;=0,(BZ$6-$P19)&lt;=($Q19-$P19)),"."," ")</f>
        <v xml:space="preserve"> </v>
      </c>
      <c r="CA19" s="2" t="str">
        <f>IF(AND((CA$6-$P19)&gt;=0,(CA$6-$P19)&lt;=($Q19-$P19)),"."," ")</f>
        <v xml:space="preserve"> </v>
      </c>
      <c r="CB19" s="2" t="str">
        <f>IF(AND((CB$6-$P19)&gt;=0,(CB$6-$P19)&lt;=($Q19-$P19)),"."," ")</f>
        <v xml:space="preserve"> </v>
      </c>
      <c r="CC19" s="2" t="str">
        <f>IF(AND((CC$6-$P19)&gt;=0,(CC$6-$P19)&lt;=($Q19-$P19)),"."," ")</f>
        <v xml:space="preserve"> </v>
      </c>
      <c r="CD19" s="2" t="str">
        <f t="shared" si="24"/>
        <v xml:space="preserve"> </v>
      </c>
      <c r="CE19" s="2" t="str">
        <f t="shared" si="24"/>
        <v xml:space="preserve"> </v>
      </c>
      <c r="CF19" s="2" t="str">
        <f t="shared" si="24"/>
        <v xml:space="preserve"> </v>
      </c>
      <c r="CG19" s="2" t="str">
        <f t="shared" si="24"/>
        <v xml:space="preserve"> </v>
      </c>
      <c r="CH19" s="2" t="str">
        <f t="shared" si="24"/>
        <v xml:space="preserve"> </v>
      </c>
      <c r="CI19" s="2" t="str">
        <f t="shared" si="24"/>
        <v xml:space="preserve"> </v>
      </c>
      <c r="CJ19" s="2" t="str">
        <f t="shared" si="24"/>
        <v xml:space="preserve"> </v>
      </c>
      <c r="CK19" s="2" t="str">
        <f t="shared" si="24"/>
        <v xml:space="preserve"> </v>
      </c>
      <c r="CL19" s="2" t="str">
        <f t="shared" si="24"/>
        <v xml:space="preserve"> </v>
      </c>
      <c r="CM19" s="2" t="str">
        <f t="shared" si="24"/>
        <v xml:space="preserve"> </v>
      </c>
      <c r="CN19" s="2" t="str">
        <f t="shared" si="24"/>
        <v xml:space="preserve"> </v>
      </c>
      <c r="CO19" s="2" t="str">
        <f t="shared" si="24"/>
        <v xml:space="preserve"> </v>
      </c>
      <c r="CP19" s="2" t="str">
        <f t="shared" si="24"/>
        <v xml:space="preserve"> </v>
      </c>
      <c r="CQ19" s="2" t="str">
        <f t="shared" si="24"/>
        <v xml:space="preserve"> </v>
      </c>
      <c r="CR19" s="2" t="str">
        <f t="shared" si="24"/>
        <v xml:space="preserve"> </v>
      </c>
    </row>
    <row r="20" spans="1:96">
      <c r="A20" s="21" t="str">
        <f>VLOOKUP(L20,Ubicacion!A:K,2,FALSE)</f>
        <v>LI3BR</v>
      </c>
      <c r="B20" s="21" t="str">
        <f>VLOOKUP(L20,Ubicacion!A:K,3,FALSE)</f>
        <v>LI3BC10</v>
      </c>
      <c r="C20" s="21" t="str">
        <f>VLOOKUP(L20,Ubicacion!A:K,4,FALSE)</f>
        <v>LIMA</v>
      </c>
      <c r="D20" s="21" t="str">
        <f>VLOOKUP(L20,Ubicacion!A:K,5,FALSE)</f>
        <v>PACHACAMAC</v>
      </c>
      <c r="E20" s="21" t="str">
        <f>VLOOKUP(L20,Ubicacion!A:K,6,FALSE)</f>
        <v>Rural</v>
      </c>
      <c r="F20" s="21" t="str">
        <f>VLOOKUP(L20,Ubicacion!A:K,7,FALSE)</f>
        <v>8:00 - 16:00</v>
      </c>
      <c r="G20" s="21" t="str">
        <f>VLOOKUP(L20,Ubicacion!A:K,8,FALSE)</f>
        <v>THURSDAY</v>
      </c>
      <c r="H20" s="21">
        <f>VLOOKUP(L20,Ubicacion!A:K,9,FALSE)</f>
        <v>1</v>
      </c>
      <c r="I20" s="21">
        <f>VLOOKUP(L20,Ubicacion!A:K,10,FALSE)</f>
        <v>-12.1232630928817</v>
      </c>
      <c r="J20" s="21">
        <f>VLOOKUP(L20,Ubicacion!A:K,11,FALSE)</f>
        <v>-76.872626805259898</v>
      </c>
      <c r="K20" s="21" t="str">
        <f t="shared" si="3"/>
        <v>46155Grupo 1</v>
      </c>
      <c r="L20" s="21" t="s">
        <v>72</v>
      </c>
      <c r="M20" s="21">
        <v>1</v>
      </c>
      <c r="N20" s="24" t="s">
        <v>186</v>
      </c>
      <c r="O20" s="24" t="s">
        <v>171</v>
      </c>
      <c r="P20" s="23">
        <v>46155</v>
      </c>
      <c r="Q20" s="23">
        <f t="shared" si="14"/>
        <v>46155</v>
      </c>
      <c r="R20" s="24" t="str">
        <f ca="1">IF($A$1&lt;Q20,"On-time",IF(AND(Q20&lt;=$A$1,BJ20="OK"),"OK","NO OK"))</f>
        <v>On-time</v>
      </c>
      <c r="S20" s="24" t="str">
        <f t="shared" si="4"/>
        <v>WEDNESDAY</v>
      </c>
      <c r="T20" s="24">
        <f>VLOOKUP(L20,Ubicacion!A:AE,13,FALSE)</f>
        <v>15</v>
      </c>
      <c r="U20" s="24">
        <f>VLOOKUP(L20,Ubicacion!A:AE,14,FALSE)</f>
        <v>2</v>
      </c>
      <c r="V20" s="24">
        <f>VLOOKUP(L20,Ubicacion!A:AE,15,FALSE)</f>
        <v>2</v>
      </c>
      <c r="W20" s="24">
        <f>VLOOKUP(L20,Ubicacion!A:AE,16,FALSE)</f>
        <v>13</v>
      </c>
      <c r="X20" s="24">
        <f>VLOOKUP(L20,Ubicacion!A:AE,17,FALSE)</f>
        <v>4</v>
      </c>
      <c r="Y20" s="24">
        <f>VLOOKUP(L20,Ubicacion!A:AE,18,FALSE)</f>
        <v>4</v>
      </c>
      <c r="Z20" s="24">
        <f>VLOOKUP(L20,Ubicacion!A:AE,19,FALSE)</f>
        <v>0</v>
      </c>
      <c r="AA20" s="24">
        <f>VLOOKUP(L20,Ubicacion!A:AE,20,FALSE)</f>
        <v>0</v>
      </c>
      <c r="AB20" s="24">
        <f>VLOOKUP(L20,Ubicacion!A:AE,21,FALSE)</f>
        <v>0</v>
      </c>
      <c r="AC20" s="24">
        <f>VLOOKUP(L20,Ubicacion!A:AE,22,FALSE)</f>
        <v>2</v>
      </c>
      <c r="AD20" s="24">
        <f>VLOOKUP(L20,Ubicacion!A:AE,23,FALSE)</f>
        <v>0</v>
      </c>
      <c r="AE20" s="24">
        <f>VLOOKUP(L20,Ubicacion!A:AE,24,FALSE)</f>
        <v>0</v>
      </c>
      <c r="AF20" s="24">
        <f>VLOOKUP(L20,Ubicacion!A:AE,25,FALSE)</f>
        <v>0</v>
      </c>
      <c r="AG20" s="24">
        <f>VLOOKUP(L20,Ubicacion!A:AE,26,FALSE)</f>
        <v>2</v>
      </c>
      <c r="AH20" s="24">
        <f>VLOOKUP(L20,Ubicacion!A:AE,27,FALSE)</f>
        <v>2</v>
      </c>
      <c r="AI20" s="24">
        <f>VLOOKUP(L20,Ubicacion!A:AE,28,FALSE)</f>
        <v>5</v>
      </c>
      <c r="AJ20" s="24">
        <f>VLOOKUP(L20,Ubicacion!A:AE,29,FALSE)</f>
        <v>3</v>
      </c>
      <c r="AK20" s="24">
        <f>VLOOKUP(L20,Ubicacion!A:AE,30,FALSE)</f>
        <v>1</v>
      </c>
      <c r="AL20" s="24">
        <f>VLOOKUP(L20,Ubicacion!A:AE,31,FALSE)</f>
        <v>1</v>
      </c>
      <c r="AM20" s="25">
        <f t="shared" si="15"/>
        <v>0.66666666666666663</v>
      </c>
      <c r="AN20" s="25">
        <f t="shared" si="16"/>
        <v>0.5</v>
      </c>
      <c r="AO20" s="25">
        <f t="shared" si="17"/>
        <v>1</v>
      </c>
      <c r="AP20" s="25">
        <f t="shared" si="18"/>
        <v>0.15384615384615385</v>
      </c>
      <c r="AQ20" s="25">
        <f t="shared" si="19"/>
        <v>0.5</v>
      </c>
      <c r="AR20" s="25">
        <f t="shared" si="20"/>
        <v>0.25</v>
      </c>
      <c r="AS20" s="25" t="str">
        <f t="shared" si="21"/>
        <v>100%</v>
      </c>
      <c r="AT20" s="25" t="str">
        <f t="shared" si="22"/>
        <v>100%</v>
      </c>
      <c r="AU20" s="25" t="str">
        <f t="shared" si="23"/>
        <v>100%</v>
      </c>
      <c r="AV20" s="24">
        <v>10</v>
      </c>
      <c r="AW20" s="24">
        <v>1</v>
      </c>
      <c r="AX20" s="24">
        <v>2</v>
      </c>
      <c r="AY20" s="24">
        <v>2</v>
      </c>
      <c r="AZ20" s="24">
        <v>2</v>
      </c>
      <c r="BA20" s="24">
        <v>1</v>
      </c>
      <c r="BB20" s="24">
        <v>2</v>
      </c>
      <c r="BC20" s="24">
        <v>1</v>
      </c>
      <c r="BD20" s="24">
        <v>1</v>
      </c>
      <c r="BE20" s="24" t="s">
        <v>184</v>
      </c>
      <c r="BF20" s="24" t="s">
        <v>184</v>
      </c>
      <c r="BG20" s="24" t="s">
        <v>183</v>
      </c>
      <c r="BH20" s="24" t="s">
        <v>183</v>
      </c>
      <c r="BI20" s="24" t="s">
        <v>183</v>
      </c>
      <c r="BJ20" s="24" t="s">
        <v>183</v>
      </c>
      <c r="BK20" s="24"/>
      <c r="BL20" s="24"/>
      <c r="BM20" s="57"/>
      <c r="BN20" s="2" t="str">
        <f>IF(AND((BN$6-$P20)&gt;=0,(BN$6-$P20)&lt;=($Q20-$P20)),"."," ")</f>
        <v xml:space="preserve"> </v>
      </c>
      <c r="BO20" s="2" t="str">
        <f>IF(AND((BO$6-$P20)&gt;=0,(BO$6-$P20)&lt;=($Q20-$P20)),"."," ")</f>
        <v xml:space="preserve"> </v>
      </c>
      <c r="BP20" s="2" t="str">
        <f>IF(AND((BP$6-$P20)&gt;=0,(BP$6-$P20)&lt;=($Q20-$P20)),"."," ")</f>
        <v xml:space="preserve"> </v>
      </c>
      <c r="BQ20" s="2" t="str">
        <f>IF(AND((BQ$6-$P20)&gt;=0,(BQ$6-$P20)&lt;=($Q20-$P20)),"."," ")</f>
        <v xml:space="preserve"> </v>
      </c>
      <c r="BR20" s="2" t="str">
        <f>IF(AND((BR$6-$P20)&gt;=0,(BR$6-$P20)&lt;=($Q20-$P20)),"."," ")</f>
        <v xml:space="preserve"> </v>
      </c>
      <c r="BS20" s="2" t="str">
        <f>IF(AND((BS$6-$P20)&gt;=0,(BS$6-$P20)&lt;=($Q20-$P20)),"."," ")</f>
        <v xml:space="preserve"> </v>
      </c>
      <c r="BT20" s="2" t="str">
        <f>IF(AND((BT$6-$P20)&gt;=0,(BT$6-$P20)&lt;=($Q20-$P20)),"."," ")</f>
        <v xml:space="preserve"> </v>
      </c>
      <c r="BU20" s="2" t="str">
        <f>IF(AND((BU$6-$P20)&gt;=0,(BU$6-$P20)&lt;=($Q20-$P20)),"."," ")</f>
        <v xml:space="preserve"> </v>
      </c>
      <c r="BV20" s="2" t="str">
        <f>IF(AND((BV$6-$P20)&gt;=0,(BV$6-$P20)&lt;=($Q20-$P20)),"."," ")</f>
        <v xml:space="preserve"> </v>
      </c>
      <c r="BW20" s="2" t="str">
        <f>IF(AND((BW$6-$P20)&gt;=0,(BW$6-$P20)&lt;=($Q20-$P20)),"."," ")</f>
        <v xml:space="preserve"> </v>
      </c>
      <c r="BX20" s="2" t="str">
        <f>IF(AND((BX$6-$P20)&gt;=0,(BX$6-$P20)&lt;=($Q20-$P20)),"."," ")</f>
        <v xml:space="preserve"> </v>
      </c>
      <c r="BY20" s="2" t="str">
        <f>IF(AND((BY$6-$P20)&gt;=0,(BY$6-$P20)&lt;=($Q20-$P20)),"."," ")</f>
        <v xml:space="preserve"> </v>
      </c>
      <c r="BZ20" s="2" t="str">
        <f>IF(AND((BZ$6-$P20)&gt;=0,(BZ$6-$P20)&lt;=($Q20-$P20)),"."," ")</f>
        <v>.</v>
      </c>
      <c r="CA20" s="2" t="str">
        <f>IF(AND((CA$6-$P20)&gt;=0,(CA$6-$P20)&lt;=($Q20-$P20)),"."," ")</f>
        <v xml:space="preserve"> </v>
      </c>
      <c r="CB20" s="2" t="str">
        <f>IF(AND((CB$6-$P20)&gt;=0,(CB$6-$P20)&lt;=($Q20-$P20)),"."," ")</f>
        <v xml:space="preserve"> </v>
      </c>
      <c r="CC20" s="2" t="str">
        <f>IF(AND((CC$6-$P20)&gt;=0,(CC$6-$P20)&lt;=($Q20-$P20)),"."," ")</f>
        <v xml:space="preserve"> </v>
      </c>
      <c r="CD20" s="2" t="str">
        <f t="shared" si="24"/>
        <v xml:space="preserve"> </v>
      </c>
      <c r="CE20" s="2" t="str">
        <f t="shared" si="24"/>
        <v xml:space="preserve"> </v>
      </c>
      <c r="CF20" s="2" t="str">
        <f t="shared" si="24"/>
        <v xml:space="preserve"> </v>
      </c>
      <c r="CG20" s="2" t="str">
        <f t="shared" si="24"/>
        <v xml:space="preserve"> </v>
      </c>
      <c r="CH20" s="2" t="str">
        <f t="shared" si="24"/>
        <v xml:space="preserve"> </v>
      </c>
      <c r="CI20" s="2" t="str">
        <f t="shared" si="24"/>
        <v xml:space="preserve"> </v>
      </c>
      <c r="CJ20" s="2" t="str">
        <f t="shared" si="24"/>
        <v xml:space="preserve"> </v>
      </c>
      <c r="CK20" s="2" t="str">
        <f t="shared" si="24"/>
        <v xml:space="preserve"> </v>
      </c>
      <c r="CL20" s="2" t="str">
        <f t="shared" si="24"/>
        <v xml:space="preserve"> </v>
      </c>
      <c r="CM20" s="2" t="str">
        <f t="shared" si="24"/>
        <v xml:space="preserve"> </v>
      </c>
      <c r="CN20" s="2" t="str">
        <f t="shared" si="24"/>
        <v xml:space="preserve"> </v>
      </c>
      <c r="CO20" s="2" t="str">
        <f t="shared" si="24"/>
        <v xml:space="preserve"> </v>
      </c>
      <c r="CP20" s="2" t="str">
        <f t="shared" si="24"/>
        <v xml:space="preserve"> </v>
      </c>
      <c r="CQ20" s="2" t="str">
        <f t="shared" si="24"/>
        <v xml:space="preserve"> </v>
      </c>
      <c r="CR20" s="2" t="str">
        <f t="shared" si="24"/>
        <v xml:space="preserve"> </v>
      </c>
    </row>
    <row r="21" spans="1:96">
      <c r="A21" s="21" t="str">
        <f>VLOOKUP(L21,Ubicacion!A:K,2,FALSE)</f>
        <v>LI3BR</v>
      </c>
      <c r="B21" s="21" t="str">
        <f>VLOOKUP(L21,Ubicacion!A:K,3,FALSE)</f>
        <v>LI3BC08</v>
      </c>
      <c r="C21" s="21" t="str">
        <f>VLOOKUP(L21,Ubicacion!A:K,4,FALSE)</f>
        <v>LIMA</v>
      </c>
      <c r="D21" s="21" t="str">
        <f>VLOOKUP(L21,Ubicacion!A:K,5,FALSE)</f>
        <v>SURQUILLO</v>
      </c>
      <c r="E21" s="21" t="str">
        <f>VLOOKUP(L21,Ubicacion!A:K,6,FALSE)</f>
        <v>Rural</v>
      </c>
      <c r="F21" s="21" t="str">
        <f>VLOOKUP(L21,Ubicacion!A:K,7,FALSE)</f>
        <v>8:00 - 16:00</v>
      </c>
      <c r="G21" s="21" t="str">
        <f>VLOOKUP(L21,Ubicacion!A:K,8,FALSE)</f>
        <v>FRIDAY</v>
      </c>
      <c r="H21" s="21">
        <f>VLOOKUP(L21,Ubicacion!A:K,9,FALSE)</f>
        <v>1</v>
      </c>
      <c r="I21" s="21">
        <f>VLOOKUP(L21,Ubicacion!A:K,10,FALSE)</f>
        <v>-12.121633820953001</v>
      </c>
      <c r="J21" s="21">
        <f>VLOOKUP(L21,Ubicacion!A:K,11,FALSE)</f>
        <v>-77.004785072428206</v>
      </c>
      <c r="K21" s="21" t="str">
        <f t="shared" si="3"/>
        <v>46156Grupo 1</v>
      </c>
      <c r="L21" s="21" t="s">
        <v>73</v>
      </c>
      <c r="M21" s="21">
        <v>1</v>
      </c>
      <c r="N21" s="24" t="s">
        <v>186</v>
      </c>
      <c r="O21" s="24" t="s">
        <v>171</v>
      </c>
      <c r="P21" s="23">
        <v>46156</v>
      </c>
      <c r="Q21" s="23">
        <f t="shared" si="14"/>
        <v>46156</v>
      </c>
      <c r="R21" s="24" t="str">
        <f ca="1">IF($A$1&lt;Q21,"On-time",IF(AND(Q21&lt;=$A$1,BJ21="OK"),"OK","NO OK"))</f>
        <v>On-time</v>
      </c>
      <c r="S21" s="24" t="str">
        <f t="shared" si="4"/>
        <v>THURSDAY</v>
      </c>
      <c r="T21" s="24">
        <f>VLOOKUP(L21,Ubicacion!A:AE,13,FALSE)</f>
        <v>15</v>
      </c>
      <c r="U21" s="24">
        <f>VLOOKUP(L21,Ubicacion!A:AE,14,FALSE)</f>
        <v>2</v>
      </c>
      <c r="V21" s="24">
        <f>VLOOKUP(L21,Ubicacion!A:AE,15,FALSE)</f>
        <v>2</v>
      </c>
      <c r="W21" s="24">
        <f>VLOOKUP(L21,Ubicacion!A:AE,16,FALSE)</f>
        <v>13</v>
      </c>
      <c r="X21" s="24">
        <f>VLOOKUP(L21,Ubicacion!A:AE,17,FALSE)</f>
        <v>4</v>
      </c>
      <c r="Y21" s="24">
        <f>VLOOKUP(L21,Ubicacion!A:AE,18,FALSE)</f>
        <v>4</v>
      </c>
      <c r="Z21" s="24">
        <f>VLOOKUP(L21,Ubicacion!A:AE,19,FALSE)</f>
        <v>0</v>
      </c>
      <c r="AA21" s="24">
        <f>VLOOKUP(L21,Ubicacion!A:AE,20,FALSE)</f>
        <v>0</v>
      </c>
      <c r="AB21" s="24">
        <f>VLOOKUP(L21,Ubicacion!A:AE,21,FALSE)</f>
        <v>0</v>
      </c>
      <c r="AC21" s="24">
        <f>VLOOKUP(L21,Ubicacion!A:AE,22,FALSE)</f>
        <v>2</v>
      </c>
      <c r="AD21" s="24">
        <f>VLOOKUP(L21,Ubicacion!A:AE,23,FALSE)</f>
        <v>0</v>
      </c>
      <c r="AE21" s="24">
        <f>VLOOKUP(L21,Ubicacion!A:AE,24,FALSE)</f>
        <v>0</v>
      </c>
      <c r="AF21" s="24">
        <f>VLOOKUP(L21,Ubicacion!A:AE,25,FALSE)</f>
        <v>0</v>
      </c>
      <c r="AG21" s="24">
        <f>VLOOKUP(L21,Ubicacion!A:AE,26,FALSE)</f>
        <v>2</v>
      </c>
      <c r="AH21" s="24">
        <f>VLOOKUP(L21,Ubicacion!A:AE,27,FALSE)</f>
        <v>2</v>
      </c>
      <c r="AI21" s="24">
        <f>VLOOKUP(L21,Ubicacion!A:AE,28,FALSE)</f>
        <v>5</v>
      </c>
      <c r="AJ21" s="24">
        <f>VLOOKUP(L21,Ubicacion!A:AE,29,FALSE)</f>
        <v>3</v>
      </c>
      <c r="AK21" s="24">
        <f>VLOOKUP(L21,Ubicacion!A:AE,30,FALSE)</f>
        <v>1</v>
      </c>
      <c r="AL21" s="24">
        <f>VLOOKUP(L21,Ubicacion!A:AE,31,FALSE)</f>
        <v>1</v>
      </c>
      <c r="AM21" s="25">
        <f t="shared" si="15"/>
        <v>0.66666666666666663</v>
      </c>
      <c r="AN21" s="25">
        <f t="shared" si="16"/>
        <v>0.5</v>
      </c>
      <c r="AO21" s="25">
        <f t="shared" si="17"/>
        <v>1</v>
      </c>
      <c r="AP21" s="25">
        <f t="shared" si="18"/>
        <v>0.15384615384615385</v>
      </c>
      <c r="AQ21" s="25">
        <f t="shared" si="19"/>
        <v>0.5</v>
      </c>
      <c r="AR21" s="25">
        <f t="shared" si="20"/>
        <v>0.25</v>
      </c>
      <c r="AS21" s="25" t="str">
        <f t="shared" si="21"/>
        <v>100%</v>
      </c>
      <c r="AT21" s="25" t="str">
        <f t="shared" si="22"/>
        <v>100%</v>
      </c>
      <c r="AU21" s="25" t="str">
        <f t="shared" si="23"/>
        <v>100%</v>
      </c>
      <c r="AV21" s="24">
        <v>10</v>
      </c>
      <c r="AW21" s="24">
        <v>1</v>
      </c>
      <c r="AX21" s="24">
        <v>2</v>
      </c>
      <c r="AY21" s="24">
        <v>2</v>
      </c>
      <c r="AZ21" s="24">
        <v>2</v>
      </c>
      <c r="BA21" s="24">
        <v>1</v>
      </c>
      <c r="BB21" s="24">
        <v>2</v>
      </c>
      <c r="BC21" s="24">
        <v>1</v>
      </c>
      <c r="BD21" s="24">
        <v>1</v>
      </c>
      <c r="BE21" s="24" t="s">
        <v>184</v>
      </c>
      <c r="BF21" s="24" t="s">
        <v>184</v>
      </c>
      <c r="BG21" s="24" t="s">
        <v>183</v>
      </c>
      <c r="BH21" s="24" t="s">
        <v>183</v>
      </c>
      <c r="BI21" s="24" t="s">
        <v>183</v>
      </c>
      <c r="BJ21" s="24" t="s">
        <v>183</v>
      </c>
      <c r="BK21" s="24"/>
      <c r="BL21" s="24"/>
      <c r="BM21" s="57"/>
      <c r="BN21" s="2" t="str">
        <f>IF(AND((BN$6-$P21)&gt;=0,(BN$6-$P21)&lt;=($Q21-$P21)),"."," ")</f>
        <v xml:space="preserve"> </v>
      </c>
      <c r="BO21" s="2" t="str">
        <f>IF(AND((BO$6-$P21)&gt;=0,(BO$6-$P21)&lt;=($Q21-$P21)),"."," ")</f>
        <v xml:space="preserve"> </v>
      </c>
      <c r="BP21" s="2" t="str">
        <f>IF(AND((BP$6-$P21)&gt;=0,(BP$6-$P21)&lt;=($Q21-$P21)),"."," ")</f>
        <v xml:space="preserve"> </v>
      </c>
      <c r="BQ21" s="2" t="str">
        <f>IF(AND((BQ$6-$P21)&gt;=0,(BQ$6-$P21)&lt;=($Q21-$P21)),"."," ")</f>
        <v xml:space="preserve"> </v>
      </c>
      <c r="BR21" s="2" t="str">
        <f>IF(AND((BR$6-$P21)&gt;=0,(BR$6-$P21)&lt;=($Q21-$P21)),"."," ")</f>
        <v xml:space="preserve"> </v>
      </c>
      <c r="BS21" s="2" t="str">
        <f>IF(AND((BS$6-$P21)&gt;=0,(BS$6-$P21)&lt;=($Q21-$P21)),"."," ")</f>
        <v xml:space="preserve"> </v>
      </c>
      <c r="BT21" s="2" t="str">
        <f>IF(AND((BT$6-$P21)&gt;=0,(BT$6-$P21)&lt;=($Q21-$P21)),"."," ")</f>
        <v xml:space="preserve"> </v>
      </c>
      <c r="BU21" s="2" t="str">
        <f>IF(AND((BU$6-$P21)&gt;=0,(BU$6-$P21)&lt;=($Q21-$P21)),"."," ")</f>
        <v xml:space="preserve"> </v>
      </c>
      <c r="BV21" s="2" t="str">
        <f>IF(AND((BV$6-$P21)&gt;=0,(BV$6-$P21)&lt;=($Q21-$P21)),"."," ")</f>
        <v xml:space="preserve"> </v>
      </c>
      <c r="BW21" s="2" t="str">
        <f>IF(AND((BW$6-$P21)&gt;=0,(BW$6-$P21)&lt;=($Q21-$P21)),"."," ")</f>
        <v xml:space="preserve"> </v>
      </c>
      <c r="BX21" s="2" t="str">
        <f>IF(AND((BX$6-$P21)&gt;=0,(BX$6-$P21)&lt;=($Q21-$P21)),"."," ")</f>
        <v xml:space="preserve"> </v>
      </c>
      <c r="BY21" s="2" t="str">
        <f>IF(AND((BY$6-$P21)&gt;=0,(BY$6-$P21)&lt;=($Q21-$P21)),"."," ")</f>
        <v xml:space="preserve"> </v>
      </c>
      <c r="BZ21" s="2" t="str">
        <f>IF(AND((BZ$6-$P21)&gt;=0,(BZ$6-$P21)&lt;=($Q21-$P21)),"."," ")</f>
        <v xml:space="preserve"> </v>
      </c>
      <c r="CA21" s="2" t="str">
        <f>IF(AND((CA$6-$P21)&gt;=0,(CA$6-$P21)&lt;=($Q21-$P21)),"."," ")</f>
        <v>.</v>
      </c>
      <c r="CB21" s="2" t="str">
        <f>IF(AND((CB$6-$P21)&gt;=0,(CB$6-$P21)&lt;=($Q21-$P21)),"."," ")</f>
        <v xml:space="preserve"> </v>
      </c>
      <c r="CC21" s="2" t="str">
        <f>IF(AND((CC$6-$P21)&gt;=0,(CC$6-$P21)&lt;=($Q21-$P21)),"."," ")</f>
        <v xml:space="preserve"> </v>
      </c>
      <c r="CD21" s="2" t="str">
        <f t="shared" si="24"/>
        <v xml:space="preserve"> </v>
      </c>
      <c r="CE21" s="2" t="str">
        <f t="shared" si="24"/>
        <v xml:space="preserve"> </v>
      </c>
      <c r="CF21" s="2" t="str">
        <f t="shared" si="24"/>
        <v xml:space="preserve"> </v>
      </c>
      <c r="CG21" s="2" t="str">
        <f t="shared" si="24"/>
        <v xml:space="preserve"> </v>
      </c>
      <c r="CH21" s="2" t="str">
        <f t="shared" si="24"/>
        <v xml:space="preserve"> </v>
      </c>
      <c r="CI21" s="2" t="str">
        <f t="shared" si="24"/>
        <v xml:space="preserve"> </v>
      </c>
      <c r="CJ21" s="2" t="str">
        <f t="shared" si="24"/>
        <v xml:space="preserve"> </v>
      </c>
      <c r="CK21" s="2" t="str">
        <f t="shared" si="24"/>
        <v xml:space="preserve"> </v>
      </c>
      <c r="CL21" s="2" t="str">
        <f t="shared" si="24"/>
        <v xml:space="preserve"> </v>
      </c>
      <c r="CM21" s="2" t="str">
        <f t="shared" si="24"/>
        <v xml:space="preserve"> </v>
      </c>
      <c r="CN21" s="2" t="str">
        <f t="shared" si="24"/>
        <v xml:space="preserve"> </v>
      </c>
      <c r="CO21" s="2" t="str">
        <f t="shared" si="24"/>
        <v xml:space="preserve"> </v>
      </c>
      <c r="CP21" s="2" t="str">
        <f t="shared" si="24"/>
        <v xml:space="preserve"> </v>
      </c>
      <c r="CQ21" s="2" t="str">
        <f t="shared" si="24"/>
        <v xml:space="preserve"> </v>
      </c>
      <c r="CR21" s="2" t="str">
        <f t="shared" si="24"/>
        <v xml:space="preserve"> </v>
      </c>
    </row>
    <row r="22" spans="1:96">
      <c r="A22" s="21" t="str">
        <f>VLOOKUP(L22,Ubicacion!A:K,2,FALSE)</f>
        <v>LI3BR</v>
      </c>
      <c r="B22" s="21" t="str">
        <f>VLOOKUP(L22,Ubicacion!A:K,3,FALSE)</f>
        <v>LI2BC13</v>
      </c>
      <c r="C22" s="21" t="str">
        <f>VLOOKUP(L22,Ubicacion!A:K,4,FALSE)</f>
        <v>LIMA</v>
      </c>
      <c r="D22" s="21" t="str">
        <f>VLOOKUP(L22,Ubicacion!A:K,5,FALSE)</f>
        <v>SAN BORJA</v>
      </c>
      <c r="E22" s="21" t="str">
        <f>VLOOKUP(L22,Ubicacion!A:K,6,FALSE)</f>
        <v>Rural</v>
      </c>
      <c r="F22" s="21" t="str">
        <f>VLOOKUP(L22,Ubicacion!A:K,7,FALSE)</f>
        <v>8:00 - 12:00</v>
      </c>
      <c r="G22" s="21" t="str">
        <f>VLOOKUP(L22,Ubicacion!A:K,8,FALSE)</f>
        <v>SATURDAY</v>
      </c>
      <c r="H22" s="21">
        <f>VLOOKUP(L22,Ubicacion!A:K,9,FALSE)</f>
        <v>1</v>
      </c>
      <c r="I22" s="21">
        <f>VLOOKUP(L22,Ubicacion!A:K,10,FALSE)</f>
        <v>-12.0852246012238</v>
      </c>
      <c r="J22" s="21">
        <f>VLOOKUP(L22,Ubicacion!A:K,11,FALSE)</f>
        <v>-76.996439040187695</v>
      </c>
      <c r="K22" s="21" t="str">
        <f t="shared" si="3"/>
        <v>46157Grupo 1</v>
      </c>
      <c r="L22" s="21" t="s">
        <v>74</v>
      </c>
      <c r="M22" s="21">
        <v>1</v>
      </c>
      <c r="N22" s="24" t="s">
        <v>186</v>
      </c>
      <c r="O22" s="24" t="s">
        <v>171</v>
      </c>
      <c r="P22" s="23">
        <v>46157</v>
      </c>
      <c r="Q22" s="23">
        <f t="shared" si="14"/>
        <v>46157</v>
      </c>
      <c r="R22" s="24" t="str">
        <f ca="1">IF($A$1&lt;Q22,"On-time",IF(AND(Q22&lt;=$A$1,BJ22="OK"),"OK","NO OK"))</f>
        <v>On-time</v>
      </c>
      <c r="S22" s="24" t="str">
        <f t="shared" si="4"/>
        <v>FRIDAY</v>
      </c>
      <c r="T22" s="24">
        <f>VLOOKUP(L22,Ubicacion!A:AE,13,FALSE)</f>
        <v>15</v>
      </c>
      <c r="U22" s="24">
        <f>VLOOKUP(L22,Ubicacion!A:AE,14,FALSE)</f>
        <v>2</v>
      </c>
      <c r="V22" s="24">
        <f>VLOOKUP(L22,Ubicacion!A:AE,15,FALSE)</f>
        <v>2</v>
      </c>
      <c r="W22" s="24">
        <f>VLOOKUP(L22,Ubicacion!A:AE,16,FALSE)</f>
        <v>13</v>
      </c>
      <c r="X22" s="24">
        <f>VLOOKUP(L22,Ubicacion!A:AE,17,FALSE)</f>
        <v>4</v>
      </c>
      <c r="Y22" s="24">
        <f>VLOOKUP(L22,Ubicacion!A:AE,18,FALSE)</f>
        <v>4</v>
      </c>
      <c r="Z22" s="24">
        <f>VLOOKUP(L22,Ubicacion!A:AE,19,FALSE)</f>
        <v>0</v>
      </c>
      <c r="AA22" s="24">
        <f>VLOOKUP(L22,Ubicacion!A:AE,20,FALSE)</f>
        <v>0</v>
      </c>
      <c r="AB22" s="24">
        <f>VLOOKUP(L22,Ubicacion!A:AE,21,FALSE)</f>
        <v>0</v>
      </c>
      <c r="AC22" s="24">
        <f>VLOOKUP(L22,Ubicacion!A:AE,22,FALSE)</f>
        <v>2</v>
      </c>
      <c r="AD22" s="24">
        <f>VLOOKUP(L22,Ubicacion!A:AE,23,FALSE)</f>
        <v>0</v>
      </c>
      <c r="AE22" s="24">
        <f>VLOOKUP(L22,Ubicacion!A:AE,24,FALSE)</f>
        <v>0</v>
      </c>
      <c r="AF22" s="24">
        <f>VLOOKUP(L22,Ubicacion!A:AE,25,FALSE)</f>
        <v>0</v>
      </c>
      <c r="AG22" s="24">
        <f>VLOOKUP(L22,Ubicacion!A:AE,26,FALSE)</f>
        <v>2</v>
      </c>
      <c r="AH22" s="24">
        <f>VLOOKUP(L22,Ubicacion!A:AE,27,FALSE)</f>
        <v>2</v>
      </c>
      <c r="AI22" s="24">
        <f>VLOOKUP(L22,Ubicacion!A:AE,28,FALSE)</f>
        <v>5</v>
      </c>
      <c r="AJ22" s="24">
        <f>VLOOKUP(L22,Ubicacion!A:AE,29,FALSE)</f>
        <v>3</v>
      </c>
      <c r="AK22" s="24">
        <f>VLOOKUP(L22,Ubicacion!A:AE,30,FALSE)</f>
        <v>1</v>
      </c>
      <c r="AL22" s="24">
        <f>VLOOKUP(L22,Ubicacion!A:AE,31,FALSE)</f>
        <v>1</v>
      </c>
      <c r="AM22" s="25">
        <f t="shared" si="15"/>
        <v>0.66666666666666663</v>
      </c>
      <c r="AN22" s="25">
        <f t="shared" si="16"/>
        <v>0.5</v>
      </c>
      <c r="AO22" s="25">
        <f t="shared" si="17"/>
        <v>1</v>
      </c>
      <c r="AP22" s="25">
        <f t="shared" si="18"/>
        <v>0.15384615384615385</v>
      </c>
      <c r="AQ22" s="25">
        <f t="shared" si="19"/>
        <v>0.5</v>
      </c>
      <c r="AR22" s="25">
        <f t="shared" si="20"/>
        <v>0.25</v>
      </c>
      <c r="AS22" s="25" t="str">
        <f t="shared" si="21"/>
        <v>100%</v>
      </c>
      <c r="AT22" s="25" t="str">
        <f t="shared" si="22"/>
        <v>100%</v>
      </c>
      <c r="AU22" s="25" t="str">
        <f t="shared" si="23"/>
        <v>100%</v>
      </c>
      <c r="AV22" s="24">
        <v>10</v>
      </c>
      <c r="AW22" s="24">
        <v>1</v>
      </c>
      <c r="AX22" s="24">
        <v>2</v>
      </c>
      <c r="AY22" s="24">
        <v>2</v>
      </c>
      <c r="AZ22" s="24">
        <v>2</v>
      </c>
      <c r="BA22" s="24">
        <v>1</v>
      </c>
      <c r="BB22" s="24">
        <v>2</v>
      </c>
      <c r="BC22" s="24">
        <v>1</v>
      </c>
      <c r="BD22" s="24">
        <v>1</v>
      </c>
      <c r="BE22" s="24" t="s">
        <v>184</v>
      </c>
      <c r="BF22" s="24" t="s">
        <v>184</v>
      </c>
      <c r="BG22" s="24" t="s">
        <v>183</v>
      </c>
      <c r="BH22" s="24" t="s">
        <v>183</v>
      </c>
      <c r="BI22" s="24" t="s">
        <v>183</v>
      </c>
      <c r="BJ22" s="24" t="s">
        <v>183</v>
      </c>
      <c r="BK22" s="24"/>
      <c r="BL22" s="24"/>
      <c r="BM22" s="57"/>
      <c r="BN22" s="2" t="str">
        <f>IF(AND((BN$6-$P22)&gt;=0,(BN$6-$P22)&lt;=($Q22-$P22)),"."," ")</f>
        <v xml:space="preserve"> </v>
      </c>
      <c r="BO22" s="2" t="str">
        <f>IF(AND((BO$6-$P22)&gt;=0,(BO$6-$P22)&lt;=($Q22-$P22)),"."," ")</f>
        <v xml:space="preserve"> </v>
      </c>
      <c r="BP22" s="2" t="str">
        <f>IF(AND((BP$6-$P22)&gt;=0,(BP$6-$P22)&lt;=($Q22-$P22)),"."," ")</f>
        <v xml:space="preserve"> </v>
      </c>
      <c r="BQ22" s="2" t="str">
        <f>IF(AND((BQ$6-$P22)&gt;=0,(BQ$6-$P22)&lt;=($Q22-$P22)),"."," ")</f>
        <v xml:space="preserve"> </v>
      </c>
      <c r="BR22" s="2" t="str">
        <f>IF(AND((BR$6-$P22)&gt;=0,(BR$6-$P22)&lt;=($Q22-$P22)),"."," ")</f>
        <v xml:space="preserve"> </v>
      </c>
      <c r="BS22" s="2" t="str">
        <f>IF(AND((BS$6-$P22)&gt;=0,(BS$6-$P22)&lt;=($Q22-$P22)),"."," ")</f>
        <v xml:space="preserve"> </v>
      </c>
      <c r="BT22" s="2" t="str">
        <f>IF(AND((BT$6-$P22)&gt;=0,(BT$6-$P22)&lt;=($Q22-$P22)),"."," ")</f>
        <v xml:space="preserve"> </v>
      </c>
      <c r="BU22" s="2" t="str">
        <f>IF(AND((BU$6-$P22)&gt;=0,(BU$6-$P22)&lt;=($Q22-$P22)),"."," ")</f>
        <v xml:space="preserve"> </v>
      </c>
      <c r="BV22" s="2" t="str">
        <f>IF(AND((BV$6-$P22)&gt;=0,(BV$6-$P22)&lt;=($Q22-$P22)),"."," ")</f>
        <v xml:space="preserve"> </v>
      </c>
      <c r="BW22" s="2" t="str">
        <f>IF(AND((BW$6-$P22)&gt;=0,(BW$6-$P22)&lt;=($Q22-$P22)),"."," ")</f>
        <v xml:space="preserve"> </v>
      </c>
      <c r="BX22" s="2" t="str">
        <f>IF(AND((BX$6-$P22)&gt;=0,(BX$6-$P22)&lt;=($Q22-$P22)),"."," ")</f>
        <v xml:space="preserve"> </v>
      </c>
      <c r="BY22" s="2" t="str">
        <f>IF(AND((BY$6-$P22)&gt;=0,(BY$6-$P22)&lt;=($Q22-$P22)),"."," ")</f>
        <v xml:space="preserve"> </v>
      </c>
      <c r="BZ22" s="2" t="str">
        <f>IF(AND((BZ$6-$P22)&gt;=0,(BZ$6-$P22)&lt;=($Q22-$P22)),"."," ")</f>
        <v xml:space="preserve"> </v>
      </c>
      <c r="CA22" s="2" t="str">
        <f>IF(AND((CA$6-$P22)&gt;=0,(CA$6-$P22)&lt;=($Q22-$P22)),"."," ")</f>
        <v xml:space="preserve"> </v>
      </c>
      <c r="CB22" s="2" t="str">
        <f>IF(AND((CB$6-$P22)&gt;=0,(CB$6-$P22)&lt;=($Q22-$P22)),"."," ")</f>
        <v>.</v>
      </c>
      <c r="CC22" s="2" t="str">
        <f>IF(AND((CC$6-$P22)&gt;=0,(CC$6-$P22)&lt;=($Q22-$P22)),"."," ")</f>
        <v xml:space="preserve"> </v>
      </c>
      <c r="CD22" s="2" t="str">
        <f t="shared" si="24"/>
        <v xml:space="preserve"> </v>
      </c>
      <c r="CE22" s="2" t="str">
        <f t="shared" si="24"/>
        <v xml:space="preserve"> </v>
      </c>
      <c r="CF22" s="2" t="str">
        <f t="shared" si="24"/>
        <v xml:space="preserve"> </v>
      </c>
      <c r="CG22" s="2" t="str">
        <f t="shared" si="24"/>
        <v xml:space="preserve"> </v>
      </c>
      <c r="CH22" s="2" t="str">
        <f t="shared" si="24"/>
        <v xml:space="preserve"> </v>
      </c>
      <c r="CI22" s="2" t="str">
        <f t="shared" si="24"/>
        <v xml:space="preserve"> </v>
      </c>
      <c r="CJ22" s="2" t="str">
        <f t="shared" si="24"/>
        <v xml:space="preserve"> </v>
      </c>
      <c r="CK22" s="2" t="str">
        <f t="shared" si="24"/>
        <v xml:space="preserve"> </v>
      </c>
      <c r="CL22" s="2" t="str">
        <f t="shared" si="24"/>
        <v xml:space="preserve"> </v>
      </c>
      <c r="CM22" s="2" t="str">
        <f t="shared" si="24"/>
        <v xml:space="preserve"> </v>
      </c>
      <c r="CN22" s="2" t="str">
        <f t="shared" si="24"/>
        <v xml:space="preserve"> </v>
      </c>
      <c r="CO22" s="2" t="str">
        <f t="shared" si="24"/>
        <v xml:space="preserve"> </v>
      </c>
      <c r="CP22" s="2" t="str">
        <f t="shared" si="24"/>
        <v xml:space="preserve"> </v>
      </c>
      <c r="CQ22" s="2" t="str">
        <f t="shared" si="24"/>
        <v xml:space="preserve"> </v>
      </c>
      <c r="CR22" s="2" t="str">
        <f t="shared" si="24"/>
        <v xml:space="preserve"> </v>
      </c>
    </row>
    <row r="23" spans="1:96">
      <c r="A23" s="21" t="str">
        <f>VLOOKUP(L23,Ubicacion!A:K,2,FALSE)</f>
        <v>LI3BR</v>
      </c>
      <c r="B23" s="21" t="str">
        <f>VLOOKUP(L23,Ubicacion!A:K,3,FALSE)</f>
        <v>LI3BC08</v>
      </c>
      <c r="C23" s="21" t="str">
        <f>VLOOKUP(L23,Ubicacion!A:K,4,FALSE)</f>
        <v>LIMA</v>
      </c>
      <c r="D23" s="21" t="str">
        <f>VLOOKUP(L23,Ubicacion!A:K,5,FALSE)</f>
        <v>MIRAFLORES</v>
      </c>
      <c r="E23" s="21" t="str">
        <f>VLOOKUP(L23,Ubicacion!A:K,6,FALSE)</f>
        <v>BTS Upgrade</v>
      </c>
      <c r="F23" s="21" t="str">
        <f>VLOOKUP(L23,Ubicacion!A:K,7,FALSE)</f>
        <v>8:00 - 16:00</v>
      </c>
      <c r="G23" s="21" t="str">
        <f>VLOOKUP(L23,Ubicacion!A:K,8,FALSE)</f>
        <v>SUNDAY</v>
      </c>
      <c r="H23" s="21">
        <f>VLOOKUP(L23,Ubicacion!A:K,9,FALSE)</f>
        <v>2</v>
      </c>
      <c r="I23" s="21">
        <f>VLOOKUP(L23,Ubicacion!A:K,10,FALSE)</f>
        <v>-12.1108234538157</v>
      </c>
      <c r="J23" s="21">
        <f>VLOOKUP(L23,Ubicacion!A:K,11,FALSE)</f>
        <v>-77.036815228192395</v>
      </c>
      <c r="K23" s="21" t="str">
        <f t="shared" si="3"/>
        <v>46158Grupo 1</v>
      </c>
      <c r="L23" s="21" t="s">
        <v>75</v>
      </c>
      <c r="M23" s="21">
        <v>1</v>
      </c>
      <c r="N23" s="24" t="s">
        <v>186</v>
      </c>
      <c r="O23" s="24" t="s">
        <v>171</v>
      </c>
      <c r="P23" s="23">
        <v>46158</v>
      </c>
      <c r="Q23" s="23">
        <f t="shared" si="14"/>
        <v>46158</v>
      </c>
      <c r="R23" s="24" t="str">
        <f ca="1">IF($A$1&lt;Q23,"On-time",IF(AND(Q23&lt;=$A$1,BJ23="OK"),"OK","NO OK"))</f>
        <v>On-time</v>
      </c>
      <c r="S23" s="24" t="str">
        <f t="shared" si="4"/>
        <v>SATURDAY</v>
      </c>
      <c r="T23" s="24">
        <f>VLOOKUP(L23,Ubicacion!A:AE,13,FALSE)</f>
        <v>15</v>
      </c>
      <c r="U23" s="24">
        <f>VLOOKUP(L23,Ubicacion!A:AE,14,FALSE)</f>
        <v>2</v>
      </c>
      <c r="V23" s="24">
        <f>VLOOKUP(L23,Ubicacion!A:AE,15,FALSE)</f>
        <v>2</v>
      </c>
      <c r="W23" s="24">
        <f>VLOOKUP(L23,Ubicacion!A:AE,16,FALSE)</f>
        <v>13</v>
      </c>
      <c r="X23" s="24">
        <f>VLOOKUP(L23,Ubicacion!A:AE,17,FALSE)</f>
        <v>4</v>
      </c>
      <c r="Y23" s="24">
        <f>VLOOKUP(L23,Ubicacion!A:AE,18,FALSE)</f>
        <v>4</v>
      </c>
      <c r="Z23" s="24">
        <f>VLOOKUP(L23,Ubicacion!A:AE,19,FALSE)</f>
        <v>0</v>
      </c>
      <c r="AA23" s="24">
        <f>VLOOKUP(L23,Ubicacion!A:AE,20,FALSE)</f>
        <v>0</v>
      </c>
      <c r="AB23" s="24">
        <f>VLOOKUP(L23,Ubicacion!A:AE,21,FALSE)</f>
        <v>0</v>
      </c>
      <c r="AC23" s="24">
        <f>VLOOKUP(L23,Ubicacion!A:AE,22,FALSE)</f>
        <v>2</v>
      </c>
      <c r="AD23" s="24">
        <f>VLOOKUP(L23,Ubicacion!A:AE,23,FALSE)</f>
        <v>0</v>
      </c>
      <c r="AE23" s="24">
        <f>VLOOKUP(L23,Ubicacion!A:AE,24,FALSE)</f>
        <v>0</v>
      </c>
      <c r="AF23" s="24">
        <f>VLOOKUP(L23,Ubicacion!A:AE,25,FALSE)</f>
        <v>0</v>
      </c>
      <c r="AG23" s="24">
        <f>VLOOKUP(L23,Ubicacion!A:AE,26,FALSE)</f>
        <v>2</v>
      </c>
      <c r="AH23" s="24">
        <f>VLOOKUP(L23,Ubicacion!A:AE,27,FALSE)</f>
        <v>2</v>
      </c>
      <c r="AI23" s="24">
        <f>VLOOKUP(L23,Ubicacion!A:AE,28,FALSE)</f>
        <v>5</v>
      </c>
      <c r="AJ23" s="24">
        <f>VLOOKUP(L23,Ubicacion!A:AE,29,FALSE)</f>
        <v>3</v>
      </c>
      <c r="AK23" s="24">
        <f>VLOOKUP(L23,Ubicacion!A:AE,30,FALSE)</f>
        <v>1</v>
      </c>
      <c r="AL23" s="24">
        <f>VLOOKUP(L23,Ubicacion!A:AE,31,FALSE)</f>
        <v>1</v>
      </c>
      <c r="AM23" s="25">
        <f t="shared" si="15"/>
        <v>0.66666666666666663</v>
      </c>
      <c r="AN23" s="25">
        <f t="shared" si="16"/>
        <v>0.5</v>
      </c>
      <c r="AO23" s="25">
        <f t="shared" si="17"/>
        <v>1</v>
      </c>
      <c r="AP23" s="25">
        <f t="shared" si="18"/>
        <v>0.15384615384615385</v>
      </c>
      <c r="AQ23" s="25">
        <f t="shared" si="19"/>
        <v>0.5</v>
      </c>
      <c r="AR23" s="25">
        <f t="shared" si="20"/>
        <v>0.25</v>
      </c>
      <c r="AS23" s="25" t="str">
        <f t="shared" si="21"/>
        <v>100%</v>
      </c>
      <c r="AT23" s="25" t="str">
        <f t="shared" si="22"/>
        <v>100%</v>
      </c>
      <c r="AU23" s="25" t="str">
        <f t="shared" si="23"/>
        <v>100%</v>
      </c>
      <c r="AV23" s="24">
        <v>10</v>
      </c>
      <c r="AW23" s="24">
        <v>1</v>
      </c>
      <c r="AX23" s="24">
        <v>2</v>
      </c>
      <c r="AY23" s="24">
        <v>2</v>
      </c>
      <c r="AZ23" s="24">
        <v>2</v>
      </c>
      <c r="BA23" s="24">
        <v>1</v>
      </c>
      <c r="BB23" s="24">
        <v>2</v>
      </c>
      <c r="BC23" s="24">
        <v>1</v>
      </c>
      <c r="BD23" s="24">
        <v>1</v>
      </c>
      <c r="BE23" s="24" t="s">
        <v>184</v>
      </c>
      <c r="BF23" s="24" t="s">
        <v>184</v>
      </c>
      <c r="BG23" s="24" t="s">
        <v>183</v>
      </c>
      <c r="BH23" s="24" t="s">
        <v>183</v>
      </c>
      <c r="BI23" s="24" t="s">
        <v>183</v>
      </c>
      <c r="BJ23" s="24" t="s">
        <v>183</v>
      </c>
      <c r="BK23" s="24"/>
      <c r="BL23" s="24"/>
      <c r="BM23" s="57"/>
      <c r="BN23" s="2" t="str">
        <f>IF(AND((BN$6-$P23)&gt;=0,(BN$6-$P23)&lt;=($Q23-$P23)),"."," ")</f>
        <v xml:space="preserve"> </v>
      </c>
      <c r="BO23" s="2" t="str">
        <f>IF(AND((BO$6-$P23)&gt;=0,(BO$6-$P23)&lt;=($Q23-$P23)),"."," ")</f>
        <v xml:space="preserve"> </v>
      </c>
      <c r="BP23" s="2" t="str">
        <f>IF(AND((BP$6-$P23)&gt;=0,(BP$6-$P23)&lt;=($Q23-$P23)),"."," ")</f>
        <v xml:space="preserve"> </v>
      </c>
      <c r="BQ23" s="2" t="str">
        <f>IF(AND((BQ$6-$P23)&gt;=0,(BQ$6-$P23)&lt;=($Q23-$P23)),"."," ")</f>
        <v xml:space="preserve"> </v>
      </c>
      <c r="BR23" s="2" t="str">
        <f>IF(AND((BR$6-$P23)&gt;=0,(BR$6-$P23)&lt;=($Q23-$P23)),"."," ")</f>
        <v xml:space="preserve"> </v>
      </c>
      <c r="BS23" s="2" t="str">
        <f>IF(AND((BS$6-$P23)&gt;=0,(BS$6-$P23)&lt;=($Q23-$P23)),"."," ")</f>
        <v xml:space="preserve"> </v>
      </c>
      <c r="BT23" s="2" t="str">
        <f>IF(AND((BT$6-$P23)&gt;=0,(BT$6-$P23)&lt;=($Q23-$P23)),"."," ")</f>
        <v xml:space="preserve"> </v>
      </c>
      <c r="BU23" s="2" t="str">
        <f>IF(AND((BU$6-$P23)&gt;=0,(BU$6-$P23)&lt;=($Q23-$P23)),"."," ")</f>
        <v xml:space="preserve"> </v>
      </c>
      <c r="BV23" s="2" t="str">
        <f>IF(AND((BV$6-$P23)&gt;=0,(BV$6-$P23)&lt;=($Q23-$P23)),"."," ")</f>
        <v xml:space="preserve"> </v>
      </c>
      <c r="BW23" s="2" t="str">
        <f>IF(AND((BW$6-$P23)&gt;=0,(BW$6-$P23)&lt;=($Q23-$P23)),"."," ")</f>
        <v xml:space="preserve"> </v>
      </c>
      <c r="BX23" s="2" t="str">
        <f>IF(AND((BX$6-$P23)&gt;=0,(BX$6-$P23)&lt;=($Q23-$P23)),"."," ")</f>
        <v xml:space="preserve"> </v>
      </c>
      <c r="BY23" s="2" t="str">
        <f>IF(AND((BY$6-$P23)&gt;=0,(BY$6-$P23)&lt;=($Q23-$P23)),"."," ")</f>
        <v xml:space="preserve"> </v>
      </c>
      <c r="BZ23" s="2" t="str">
        <f>IF(AND((BZ$6-$P23)&gt;=0,(BZ$6-$P23)&lt;=($Q23-$P23)),"."," ")</f>
        <v xml:space="preserve"> </v>
      </c>
      <c r="CA23" s="2" t="str">
        <f>IF(AND((CA$6-$P23)&gt;=0,(CA$6-$P23)&lt;=($Q23-$P23)),"."," ")</f>
        <v xml:space="preserve"> </v>
      </c>
      <c r="CB23" s="2" t="str">
        <f>IF(AND((CB$6-$P23)&gt;=0,(CB$6-$P23)&lt;=($Q23-$P23)),"."," ")</f>
        <v xml:space="preserve"> </v>
      </c>
      <c r="CC23" s="2" t="str">
        <f>IF(AND((CC$6-$P23)&gt;=0,(CC$6-$P23)&lt;=($Q23-$P23)),"."," ")</f>
        <v>.</v>
      </c>
      <c r="CD23" s="2" t="str">
        <f t="shared" si="24"/>
        <v xml:space="preserve"> </v>
      </c>
      <c r="CE23" s="2" t="str">
        <f t="shared" si="24"/>
        <v xml:space="preserve"> </v>
      </c>
      <c r="CF23" s="2" t="str">
        <f t="shared" si="24"/>
        <v xml:space="preserve"> </v>
      </c>
      <c r="CG23" s="2" t="str">
        <f t="shared" si="24"/>
        <v xml:space="preserve"> </v>
      </c>
      <c r="CH23" s="2" t="str">
        <f t="shared" si="24"/>
        <v xml:space="preserve"> </v>
      </c>
      <c r="CI23" s="2" t="str">
        <f t="shared" si="24"/>
        <v xml:space="preserve"> </v>
      </c>
      <c r="CJ23" s="2" t="str">
        <f t="shared" si="24"/>
        <v xml:space="preserve"> </v>
      </c>
      <c r="CK23" s="2" t="str">
        <f t="shared" si="24"/>
        <v xml:space="preserve"> </v>
      </c>
      <c r="CL23" s="2" t="str">
        <f t="shared" si="24"/>
        <v xml:space="preserve"> </v>
      </c>
      <c r="CM23" s="2" t="str">
        <f t="shared" si="24"/>
        <v xml:space="preserve"> </v>
      </c>
      <c r="CN23" s="2" t="str">
        <f t="shared" si="24"/>
        <v xml:space="preserve"> </v>
      </c>
      <c r="CO23" s="2" t="str">
        <f t="shared" si="24"/>
        <v xml:space="preserve"> </v>
      </c>
      <c r="CP23" s="2" t="str">
        <f t="shared" si="24"/>
        <v xml:space="preserve"> </v>
      </c>
      <c r="CQ23" s="2" t="str">
        <f t="shared" si="24"/>
        <v xml:space="preserve"> </v>
      </c>
      <c r="CR23" s="2" t="str">
        <f t="shared" si="24"/>
        <v xml:space="preserve"> </v>
      </c>
    </row>
    <row r="24" spans="1:96">
      <c r="A24" s="21" t="str">
        <f>VLOOKUP(L24,Ubicacion!A:K,2,FALSE)</f>
        <v>LI3BR</v>
      </c>
      <c r="B24" s="21" t="str">
        <f>VLOOKUP(L24,Ubicacion!A:K,3,FALSE)</f>
        <v>LI3BC08</v>
      </c>
      <c r="C24" s="21" t="str">
        <f>VLOOKUP(L24,Ubicacion!A:K,4,FALSE)</f>
        <v>LIMA</v>
      </c>
      <c r="D24" s="21" t="str">
        <f>VLOOKUP(L24,Ubicacion!A:K,5,FALSE)</f>
        <v>MIRAFLORES</v>
      </c>
      <c r="E24" s="21" t="str">
        <f>VLOOKUP(L24,Ubicacion!A:K,6,FALSE)</f>
        <v>BTS Upgrade</v>
      </c>
      <c r="F24" s="21" t="str">
        <f>VLOOKUP(L24,Ubicacion!A:K,7,FALSE)</f>
        <v>8:00 - 14:00</v>
      </c>
      <c r="G24" s="21" t="str">
        <f>VLOOKUP(L24,Ubicacion!A:K,8,FALSE)</f>
        <v>WEEKDAY</v>
      </c>
      <c r="H24" s="21">
        <f>VLOOKUP(L24,Ubicacion!A:K,9,FALSE)</f>
        <v>2</v>
      </c>
      <c r="I24" s="21">
        <f>VLOOKUP(L24,Ubicacion!A:K,10,FALSE)</f>
        <v>-12.1153010813366</v>
      </c>
      <c r="J24" s="21">
        <f>VLOOKUP(L24,Ubicacion!A:K,11,FALSE)</f>
        <v>-77.046340754846895</v>
      </c>
      <c r="K24" s="21" t="str">
        <f t="shared" si="3"/>
        <v>46159Grupo 1</v>
      </c>
      <c r="L24" s="21" t="s">
        <v>76</v>
      </c>
      <c r="M24" s="21">
        <v>1</v>
      </c>
      <c r="N24" s="24" t="s">
        <v>186</v>
      </c>
      <c r="O24" s="24" t="s">
        <v>171</v>
      </c>
      <c r="P24" s="23">
        <v>46159</v>
      </c>
      <c r="Q24" s="23">
        <f t="shared" si="14"/>
        <v>46159</v>
      </c>
      <c r="R24" s="24" t="str">
        <f ca="1">IF($A$1&lt;Q24,"On-time",IF(AND(Q24&lt;=$A$1,BJ24="OK"),"OK","NO OK"))</f>
        <v>On-time</v>
      </c>
      <c r="S24" s="24" t="str">
        <f t="shared" si="4"/>
        <v>SUNDAY</v>
      </c>
      <c r="T24" s="24">
        <f>VLOOKUP(L24,Ubicacion!A:AE,13,FALSE)</f>
        <v>15</v>
      </c>
      <c r="U24" s="24">
        <f>VLOOKUP(L24,Ubicacion!A:AE,14,FALSE)</f>
        <v>2</v>
      </c>
      <c r="V24" s="24">
        <f>VLOOKUP(L24,Ubicacion!A:AE,15,FALSE)</f>
        <v>2</v>
      </c>
      <c r="W24" s="24">
        <f>VLOOKUP(L24,Ubicacion!A:AE,16,FALSE)</f>
        <v>13</v>
      </c>
      <c r="X24" s="24">
        <f>VLOOKUP(L24,Ubicacion!A:AE,17,FALSE)</f>
        <v>4</v>
      </c>
      <c r="Y24" s="24">
        <f>VLOOKUP(L24,Ubicacion!A:AE,18,FALSE)</f>
        <v>4</v>
      </c>
      <c r="Z24" s="24">
        <f>VLOOKUP(L24,Ubicacion!A:AE,19,FALSE)</f>
        <v>0</v>
      </c>
      <c r="AA24" s="24">
        <f>VLOOKUP(L24,Ubicacion!A:AE,20,FALSE)</f>
        <v>0</v>
      </c>
      <c r="AB24" s="24">
        <f>VLOOKUP(L24,Ubicacion!A:AE,21,FALSE)</f>
        <v>0</v>
      </c>
      <c r="AC24" s="24">
        <f>VLOOKUP(L24,Ubicacion!A:AE,22,FALSE)</f>
        <v>2</v>
      </c>
      <c r="AD24" s="24">
        <f>VLOOKUP(L24,Ubicacion!A:AE,23,FALSE)</f>
        <v>0</v>
      </c>
      <c r="AE24" s="24">
        <f>VLOOKUP(L24,Ubicacion!A:AE,24,FALSE)</f>
        <v>0</v>
      </c>
      <c r="AF24" s="24">
        <f>VLOOKUP(L24,Ubicacion!A:AE,25,FALSE)</f>
        <v>0</v>
      </c>
      <c r="AG24" s="24">
        <f>VLOOKUP(L24,Ubicacion!A:AE,26,FALSE)</f>
        <v>2</v>
      </c>
      <c r="AH24" s="24">
        <f>VLOOKUP(L24,Ubicacion!A:AE,27,FALSE)</f>
        <v>2</v>
      </c>
      <c r="AI24" s="24">
        <f>VLOOKUP(L24,Ubicacion!A:AE,28,FALSE)</f>
        <v>5</v>
      </c>
      <c r="AJ24" s="24">
        <f>VLOOKUP(L24,Ubicacion!A:AE,29,FALSE)</f>
        <v>3</v>
      </c>
      <c r="AK24" s="24">
        <f>VLOOKUP(L24,Ubicacion!A:AE,30,FALSE)</f>
        <v>1</v>
      </c>
      <c r="AL24" s="24">
        <f>VLOOKUP(L24,Ubicacion!A:AE,31,FALSE)</f>
        <v>1</v>
      </c>
      <c r="AM24" s="25">
        <f t="shared" si="15"/>
        <v>0.66666666666666663</v>
      </c>
      <c r="AN24" s="25">
        <f t="shared" si="16"/>
        <v>0.5</v>
      </c>
      <c r="AO24" s="25">
        <f t="shared" si="17"/>
        <v>1</v>
      </c>
      <c r="AP24" s="25">
        <f t="shared" si="18"/>
        <v>0.15384615384615385</v>
      </c>
      <c r="AQ24" s="25">
        <f t="shared" si="19"/>
        <v>0.5</v>
      </c>
      <c r="AR24" s="25">
        <f t="shared" si="20"/>
        <v>0.25</v>
      </c>
      <c r="AS24" s="25" t="str">
        <f t="shared" si="21"/>
        <v>100%</v>
      </c>
      <c r="AT24" s="25" t="str">
        <f t="shared" si="22"/>
        <v>100%</v>
      </c>
      <c r="AU24" s="25" t="str">
        <f t="shared" si="23"/>
        <v>100%</v>
      </c>
      <c r="AV24" s="24">
        <v>10</v>
      </c>
      <c r="AW24" s="24">
        <v>1</v>
      </c>
      <c r="AX24" s="24">
        <v>2</v>
      </c>
      <c r="AY24" s="24">
        <v>2</v>
      </c>
      <c r="AZ24" s="24">
        <v>2</v>
      </c>
      <c r="BA24" s="24">
        <v>1</v>
      </c>
      <c r="BB24" s="24">
        <v>2</v>
      </c>
      <c r="BC24" s="24">
        <v>1</v>
      </c>
      <c r="BD24" s="24">
        <v>1</v>
      </c>
      <c r="BE24" s="24" t="s">
        <v>184</v>
      </c>
      <c r="BF24" s="24" t="s">
        <v>184</v>
      </c>
      <c r="BG24" s="24" t="s">
        <v>183</v>
      </c>
      <c r="BH24" s="24" t="s">
        <v>183</v>
      </c>
      <c r="BI24" s="24" t="s">
        <v>183</v>
      </c>
      <c r="BJ24" s="24" t="s">
        <v>183</v>
      </c>
      <c r="BK24" s="24"/>
      <c r="BL24" s="24"/>
      <c r="BM24" s="57"/>
      <c r="BN24" s="2" t="str">
        <f>IF(AND((BN$6-$P24)&gt;=0,(BN$6-$P24)&lt;=($Q24-$P24)),"."," ")</f>
        <v xml:space="preserve"> </v>
      </c>
      <c r="BO24" s="2" t="str">
        <f>IF(AND((BO$6-$P24)&gt;=0,(BO$6-$P24)&lt;=($Q24-$P24)),"."," ")</f>
        <v xml:space="preserve"> </v>
      </c>
      <c r="BP24" s="2" t="str">
        <f>IF(AND((BP$6-$P24)&gt;=0,(BP$6-$P24)&lt;=($Q24-$P24)),"."," ")</f>
        <v xml:space="preserve"> </v>
      </c>
      <c r="BQ24" s="2" t="str">
        <f>IF(AND((BQ$6-$P24)&gt;=0,(BQ$6-$P24)&lt;=($Q24-$P24)),"."," ")</f>
        <v xml:space="preserve"> </v>
      </c>
      <c r="BR24" s="2" t="str">
        <f>IF(AND((BR$6-$P24)&gt;=0,(BR$6-$P24)&lt;=($Q24-$P24)),"."," ")</f>
        <v xml:space="preserve"> </v>
      </c>
      <c r="BS24" s="2" t="str">
        <f>IF(AND((BS$6-$P24)&gt;=0,(BS$6-$P24)&lt;=($Q24-$P24)),"."," ")</f>
        <v xml:space="preserve"> </v>
      </c>
      <c r="BT24" s="2" t="str">
        <f>IF(AND((BT$6-$P24)&gt;=0,(BT$6-$P24)&lt;=($Q24-$P24)),"."," ")</f>
        <v xml:space="preserve"> </v>
      </c>
      <c r="BU24" s="2" t="str">
        <f>IF(AND((BU$6-$P24)&gt;=0,(BU$6-$P24)&lt;=($Q24-$P24)),"."," ")</f>
        <v xml:space="preserve"> </v>
      </c>
      <c r="BV24" s="2" t="str">
        <f>IF(AND((BV$6-$P24)&gt;=0,(BV$6-$P24)&lt;=($Q24-$P24)),"."," ")</f>
        <v xml:space="preserve"> </v>
      </c>
      <c r="BW24" s="2" t="str">
        <f>IF(AND((BW$6-$P24)&gt;=0,(BW$6-$P24)&lt;=($Q24-$P24)),"."," ")</f>
        <v xml:space="preserve"> </v>
      </c>
      <c r="BX24" s="2" t="str">
        <f>IF(AND((BX$6-$P24)&gt;=0,(BX$6-$P24)&lt;=($Q24-$P24)),"."," ")</f>
        <v xml:space="preserve"> </v>
      </c>
      <c r="BY24" s="2" t="str">
        <f>IF(AND((BY$6-$P24)&gt;=0,(BY$6-$P24)&lt;=($Q24-$P24)),"."," ")</f>
        <v xml:space="preserve"> </v>
      </c>
      <c r="BZ24" s="2" t="str">
        <f>IF(AND((BZ$6-$P24)&gt;=0,(BZ$6-$P24)&lt;=($Q24-$P24)),"."," ")</f>
        <v xml:space="preserve"> </v>
      </c>
      <c r="CA24" s="2" t="str">
        <f>IF(AND((CA$6-$P24)&gt;=0,(CA$6-$P24)&lt;=($Q24-$P24)),"."," ")</f>
        <v xml:space="preserve"> </v>
      </c>
      <c r="CB24" s="2" t="str">
        <f>IF(AND((CB$6-$P24)&gt;=0,(CB$6-$P24)&lt;=($Q24-$P24)),"."," ")</f>
        <v xml:space="preserve"> </v>
      </c>
      <c r="CC24" s="2" t="str">
        <f>IF(AND((CC$6-$P24)&gt;=0,(CC$6-$P24)&lt;=($Q24-$P24)),"."," ")</f>
        <v xml:space="preserve"> </v>
      </c>
      <c r="CD24" s="2" t="str">
        <f t="shared" si="24"/>
        <v>.</v>
      </c>
      <c r="CE24" s="2" t="str">
        <f t="shared" si="24"/>
        <v xml:space="preserve"> </v>
      </c>
      <c r="CF24" s="2" t="str">
        <f t="shared" si="24"/>
        <v xml:space="preserve"> </v>
      </c>
      <c r="CG24" s="2" t="str">
        <f t="shared" si="24"/>
        <v xml:space="preserve"> </v>
      </c>
      <c r="CH24" s="2" t="str">
        <f t="shared" si="24"/>
        <v xml:space="preserve"> </v>
      </c>
      <c r="CI24" s="2" t="str">
        <f t="shared" si="24"/>
        <v xml:space="preserve"> </v>
      </c>
      <c r="CJ24" s="2" t="str">
        <f t="shared" si="24"/>
        <v xml:space="preserve"> </v>
      </c>
      <c r="CK24" s="2" t="str">
        <f t="shared" si="24"/>
        <v xml:space="preserve"> </v>
      </c>
      <c r="CL24" s="2" t="str">
        <f t="shared" si="24"/>
        <v xml:space="preserve"> </v>
      </c>
      <c r="CM24" s="2" t="str">
        <f t="shared" si="24"/>
        <v xml:space="preserve"> </v>
      </c>
      <c r="CN24" s="2" t="str">
        <f t="shared" si="24"/>
        <v xml:space="preserve"> </v>
      </c>
      <c r="CO24" s="2" t="str">
        <f t="shared" si="24"/>
        <v xml:space="preserve"> </v>
      </c>
      <c r="CP24" s="2" t="str">
        <f t="shared" si="24"/>
        <v xml:space="preserve"> </v>
      </c>
      <c r="CQ24" s="2" t="str">
        <f t="shared" si="24"/>
        <v xml:space="preserve"> </v>
      </c>
      <c r="CR24" s="2" t="str">
        <f t="shared" si="24"/>
        <v xml:space="preserve"> </v>
      </c>
    </row>
    <row r="25" spans="1:96">
      <c r="A25" s="21" t="str">
        <f>VLOOKUP(L25,Ubicacion!A:K,2,FALSE)</f>
        <v>LI3BR</v>
      </c>
      <c r="B25" s="21" t="str">
        <f>VLOOKUP(L25,Ubicacion!A:K,3,FALSE)</f>
        <v>LI3BC08</v>
      </c>
      <c r="C25" s="21" t="str">
        <f>VLOOKUP(L25,Ubicacion!A:K,4,FALSE)</f>
        <v>LIMA</v>
      </c>
      <c r="D25" s="21" t="str">
        <f>VLOOKUP(L25,Ubicacion!A:K,5,FALSE)</f>
        <v>SURQUILLO</v>
      </c>
      <c r="E25" s="21" t="str">
        <f>VLOOKUP(L25,Ubicacion!A:K,6,FALSE)</f>
        <v>BTS Upgrade</v>
      </c>
      <c r="F25" s="21" t="str">
        <f>VLOOKUP(L25,Ubicacion!A:K,7,FALSE)</f>
        <v>8:00 - 16:00</v>
      </c>
      <c r="G25" s="21" t="str">
        <f>VLOOKUP(L25,Ubicacion!A:K,8,FALSE)</f>
        <v>WEEKEND</v>
      </c>
      <c r="H25" s="21">
        <f>VLOOKUP(L25,Ubicacion!A:K,9,FALSE)</f>
        <v>2</v>
      </c>
      <c r="I25" s="21">
        <f>VLOOKUP(L25,Ubicacion!A:K,10,FALSE)</f>
        <v>-12.1130247517098</v>
      </c>
      <c r="J25" s="21">
        <f>VLOOKUP(L25,Ubicacion!A:K,11,FALSE)</f>
        <v>-77.018553552811497</v>
      </c>
      <c r="K25" s="21" t="str">
        <f t="shared" si="3"/>
        <v>46160Grupo 1</v>
      </c>
      <c r="L25" s="21" t="s">
        <v>77</v>
      </c>
      <c r="M25" s="21">
        <v>1</v>
      </c>
      <c r="N25" s="24" t="s">
        <v>186</v>
      </c>
      <c r="O25" s="24" t="s">
        <v>171</v>
      </c>
      <c r="P25" s="23">
        <v>46160</v>
      </c>
      <c r="Q25" s="23">
        <f t="shared" si="14"/>
        <v>46160</v>
      </c>
      <c r="R25" s="24" t="str">
        <f ca="1">IF($A$1&lt;Q25,"On-time",IF(AND(Q25&lt;=$A$1,BJ25="OK"),"OK","NO OK"))</f>
        <v>On-time</v>
      </c>
      <c r="S25" s="24" t="str">
        <f t="shared" si="4"/>
        <v>MONDAY</v>
      </c>
      <c r="T25" s="24">
        <f>VLOOKUP(L25,Ubicacion!A:AE,13,FALSE)</f>
        <v>15</v>
      </c>
      <c r="U25" s="24">
        <f>VLOOKUP(L25,Ubicacion!A:AE,14,FALSE)</f>
        <v>2</v>
      </c>
      <c r="V25" s="24">
        <f>VLOOKUP(L25,Ubicacion!A:AE,15,FALSE)</f>
        <v>2</v>
      </c>
      <c r="W25" s="24">
        <f>VLOOKUP(L25,Ubicacion!A:AE,16,FALSE)</f>
        <v>13</v>
      </c>
      <c r="X25" s="24">
        <f>VLOOKUP(L25,Ubicacion!A:AE,17,FALSE)</f>
        <v>4</v>
      </c>
      <c r="Y25" s="24">
        <f>VLOOKUP(L25,Ubicacion!A:AE,18,FALSE)</f>
        <v>4</v>
      </c>
      <c r="Z25" s="24">
        <f>VLOOKUP(L25,Ubicacion!A:AE,19,FALSE)</f>
        <v>0</v>
      </c>
      <c r="AA25" s="24">
        <f>VLOOKUP(L25,Ubicacion!A:AE,20,FALSE)</f>
        <v>0</v>
      </c>
      <c r="AB25" s="24">
        <f>VLOOKUP(L25,Ubicacion!A:AE,21,FALSE)</f>
        <v>0</v>
      </c>
      <c r="AC25" s="24">
        <f>VLOOKUP(L25,Ubicacion!A:AE,22,FALSE)</f>
        <v>2</v>
      </c>
      <c r="AD25" s="24">
        <f>VLOOKUP(L25,Ubicacion!A:AE,23,FALSE)</f>
        <v>0</v>
      </c>
      <c r="AE25" s="24">
        <f>VLOOKUP(L25,Ubicacion!A:AE,24,FALSE)</f>
        <v>0</v>
      </c>
      <c r="AF25" s="24">
        <f>VLOOKUP(L25,Ubicacion!A:AE,25,FALSE)</f>
        <v>0</v>
      </c>
      <c r="AG25" s="24">
        <f>VLOOKUP(L25,Ubicacion!A:AE,26,FALSE)</f>
        <v>2</v>
      </c>
      <c r="AH25" s="24">
        <f>VLOOKUP(L25,Ubicacion!A:AE,27,FALSE)</f>
        <v>2</v>
      </c>
      <c r="AI25" s="24">
        <f>VLOOKUP(L25,Ubicacion!A:AE,28,FALSE)</f>
        <v>5</v>
      </c>
      <c r="AJ25" s="24">
        <f>VLOOKUP(L25,Ubicacion!A:AE,29,FALSE)</f>
        <v>3</v>
      </c>
      <c r="AK25" s="24">
        <f>VLOOKUP(L25,Ubicacion!A:AE,30,FALSE)</f>
        <v>1</v>
      </c>
      <c r="AL25" s="24">
        <f>VLOOKUP(L25,Ubicacion!A:AE,31,FALSE)</f>
        <v>1</v>
      </c>
      <c r="AM25" s="25">
        <f t="shared" si="15"/>
        <v>0.66666666666666663</v>
      </c>
      <c r="AN25" s="25">
        <f t="shared" si="16"/>
        <v>0.5</v>
      </c>
      <c r="AO25" s="25">
        <f t="shared" si="17"/>
        <v>1</v>
      </c>
      <c r="AP25" s="25">
        <f t="shared" si="18"/>
        <v>0.15384615384615385</v>
      </c>
      <c r="AQ25" s="25">
        <f t="shared" si="19"/>
        <v>0.5</v>
      </c>
      <c r="AR25" s="25">
        <f t="shared" si="20"/>
        <v>0.25</v>
      </c>
      <c r="AS25" s="25" t="str">
        <f t="shared" si="21"/>
        <v>100%</v>
      </c>
      <c r="AT25" s="25" t="str">
        <f t="shared" si="22"/>
        <v>100%</v>
      </c>
      <c r="AU25" s="25" t="str">
        <f t="shared" si="23"/>
        <v>100%</v>
      </c>
      <c r="AV25" s="24">
        <v>10</v>
      </c>
      <c r="AW25" s="24">
        <v>1</v>
      </c>
      <c r="AX25" s="24">
        <v>2</v>
      </c>
      <c r="AY25" s="24">
        <v>2</v>
      </c>
      <c r="AZ25" s="24">
        <v>2</v>
      </c>
      <c r="BA25" s="24">
        <v>1</v>
      </c>
      <c r="BB25" s="24">
        <v>2</v>
      </c>
      <c r="BC25" s="24">
        <v>1</v>
      </c>
      <c r="BD25" s="24">
        <v>1</v>
      </c>
      <c r="BE25" s="24" t="s">
        <v>184</v>
      </c>
      <c r="BF25" s="24" t="s">
        <v>184</v>
      </c>
      <c r="BG25" s="24" t="s">
        <v>183</v>
      </c>
      <c r="BH25" s="24" t="s">
        <v>183</v>
      </c>
      <c r="BI25" s="24" t="s">
        <v>183</v>
      </c>
      <c r="BJ25" s="24" t="s">
        <v>183</v>
      </c>
      <c r="BK25" s="24"/>
      <c r="BL25" s="24"/>
      <c r="BM25" s="57"/>
      <c r="BN25" s="2" t="str">
        <f>IF(AND((BN$6-$P25)&gt;=0,(BN$6-$P25)&lt;=($Q25-$P25)),"."," ")</f>
        <v xml:space="preserve"> </v>
      </c>
      <c r="BO25" s="2" t="str">
        <f>IF(AND((BO$6-$P25)&gt;=0,(BO$6-$P25)&lt;=($Q25-$P25)),"."," ")</f>
        <v xml:space="preserve"> </v>
      </c>
      <c r="BP25" s="2" t="str">
        <f>IF(AND((BP$6-$P25)&gt;=0,(BP$6-$P25)&lt;=($Q25-$P25)),"."," ")</f>
        <v xml:space="preserve"> </v>
      </c>
      <c r="BQ25" s="2" t="str">
        <f>IF(AND((BQ$6-$P25)&gt;=0,(BQ$6-$P25)&lt;=($Q25-$P25)),"."," ")</f>
        <v xml:space="preserve"> </v>
      </c>
      <c r="BR25" s="2" t="str">
        <f>IF(AND((BR$6-$P25)&gt;=0,(BR$6-$P25)&lt;=($Q25-$P25)),"."," ")</f>
        <v xml:space="preserve"> </v>
      </c>
      <c r="BS25" s="2" t="str">
        <f>IF(AND((BS$6-$P25)&gt;=0,(BS$6-$P25)&lt;=($Q25-$P25)),"."," ")</f>
        <v xml:space="preserve"> </v>
      </c>
      <c r="BT25" s="2" t="str">
        <f>IF(AND((BT$6-$P25)&gt;=0,(BT$6-$P25)&lt;=($Q25-$P25)),"."," ")</f>
        <v xml:space="preserve"> </v>
      </c>
      <c r="BU25" s="2" t="str">
        <f>IF(AND((BU$6-$P25)&gt;=0,(BU$6-$P25)&lt;=($Q25-$P25)),"."," ")</f>
        <v xml:space="preserve"> </v>
      </c>
      <c r="BV25" s="2" t="str">
        <f>IF(AND((BV$6-$P25)&gt;=0,(BV$6-$P25)&lt;=($Q25-$P25)),"."," ")</f>
        <v xml:space="preserve"> </v>
      </c>
      <c r="BW25" s="2" t="str">
        <f>IF(AND((BW$6-$P25)&gt;=0,(BW$6-$P25)&lt;=($Q25-$P25)),"."," ")</f>
        <v xml:space="preserve"> </v>
      </c>
      <c r="BX25" s="2" t="str">
        <f>IF(AND((BX$6-$P25)&gt;=0,(BX$6-$P25)&lt;=($Q25-$P25)),"."," ")</f>
        <v xml:space="preserve"> </v>
      </c>
      <c r="BY25" s="2" t="str">
        <f>IF(AND((BY$6-$P25)&gt;=0,(BY$6-$P25)&lt;=($Q25-$P25)),"."," ")</f>
        <v xml:space="preserve"> </v>
      </c>
      <c r="BZ25" s="2" t="str">
        <f>IF(AND((BZ$6-$P25)&gt;=0,(BZ$6-$P25)&lt;=($Q25-$P25)),"."," ")</f>
        <v xml:space="preserve"> </v>
      </c>
      <c r="CA25" s="2" t="str">
        <f>IF(AND((CA$6-$P25)&gt;=0,(CA$6-$P25)&lt;=($Q25-$P25)),"."," ")</f>
        <v xml:space="preserve"> </v>
      </c>
      <c r="CB25" s="2" t="str">
        <f>IF(AND((CB$6-$P25)&gt;=0,(CB$6-$P25)&lt;=($Q25-$P25)),"."," ")</f>
        <v xml:space="preserve"> </v>
      </c>
      <c r="CC25" s="2" t="str">
        <f>IF(AND((CC$6-$P25)&gt;=0,(CC$6-$P25)&lt;=($Q25-$P25)),"."," ")</f>
        <v xml:space="preserve"> </v>
      </c>
      <c r="CD25" s="2" t="str">
        <f t="shared" si="24"/>
        <v xml:space="preserve"> </v>
      </c>
      <c r="CE25" s="2" t="str">
        <f t="shared" si="24"/>
        <v>.</v>
      </c>
      <c r="CF25" s="2" t="str">
        <f t="shared" si="24"/>
        <v xml:space="preserve"> </v>
      </c>
      <c r="CG25" s="2" t="str">
        <f t="shared" si="24"/>
        <v xml:space="preserve"> </v>
      </c>
      <c r="CH25" s="2" t="str">
        <f t="shared" si="24"/>
        <v xml:space="preserve"> </v>
      </c>
      <c r="CI25" s="2" t="str">
        <f t="shared" si="24"/>
        <v xml:space="preserve"> </v>
      </c>
      <c r="CJ25" s="2" t="str">
        <f t="shared" si="24"/>
        <v xml:space="preserve"> </v>
      </c>
      <c r="CK25" s="2" t="str">
        <f t="shared" si="24"/>
        <v xml:space="preserve"> </v>
      </c>
      <c r="CL25" s="2" t="str">
        <f t="shared" si="24"/>
        <v xml:space="preserve"> </v>
      </c>
      <c r="CM25" s="2" t="str">
        <f t="shared" si="24"/>
        <v xml:space="preserve"> </v>
      </c>
      <c r="CN25" s="2" t="str">
        <f t="shared" si="24"/>
        <v xml:space="preserve"> </v>
      </c>
      <c r="CO25" s="2" t="str">
        <f t="shared" si="24"/>
        <v xml:space="preserve"> </v>
      </c>
      <c r="CP25" s="2" t="str">
        <f t="shared" si="24"/>
        <v xml:space="preserve"> </v>
      </c>
      <c r="CQ25" s="2" t="str">
        <f t="shared" si="24"/>
        <v xml:space="preserve"> </v>
      </c>
      <c r="CR25" s="2" t="str">
        <f t="shared" si="24"/>
        <v xml:space="preserve"> </v>
      </c>
    </row>
    <row r="26" spans="1:96">
      <c r="A26" s="21" t="str">
        <f>VLOOKUP(L26,Ubicacion!A:K,2,FALSE)</f>
        <v>LI3BR</v>
      </c>
      <c r="B26" s="21" t="str">
        <f>VLOOKUP(L26,Ubicacion!A:K,3,FALSE)</f>
        <v>LI3BC08</v>
      </c>
      <c r="C26" s="21" t="str">
        <f>VLOOKUP(L26,Ubicacion!A:K,4,FALSE)</f>
        <v>LIMA</v>
      </c>
      <c r="D26" s="21" t="str">
        <f>VLOOKUP(L26,Ubicacion!A:K,5,FALSE)</f>
        <v>SURQUILLO</v>
      </c>
      <c r="E26" s="21" t="str">
        <f>VLOOKUP(L26,Ubicacion!A:K,6,FALSE)</f>
        <v>BTS Upgrade</v>
      </c>
      <c r="F26" s="21" t="str">
        <f>VLOOKUP(L26,Ubicacion!A:K,7,FALSE)</f>
        <v>8:00 - 16:00</v>
      </c>
      <c r="G26" s="21" t="str">
        <f>VLOOKUP(L26,Ubicacion!A:K,8,FALSE)</f>
        <v>SUNDAY</v>
      </c>
      <c r="H26" s="21">
        <f>VLOOKUP(L26,Ubicacion!A:K,9,FALSE)</f>
        <v>2</v>
      </c>
      <c r="I26" s="21">
        <f>VLOOKUP(L26,Ubicacion!A:K,10,FALSE)</f>
        <v>-12.1129057535562</v>
      </c>
      <c r="J26" s="21">
        <f>VLOOKUP(L26,Ubicacion!A:K,11,FALSE)</f>
        <v>-77.0001823463341</v>
      </c>
      <c r="K26" s="21" t="str">
        <f t="shared" si="3"/>
        <v>46161Grupo 1</v>
      </c>
      <c r="L26" s="21" t="s">
        <v>78</v>
      </c>
      <c r="M26" s="21">
        <v>1</v>
      </c>
      <c r="N26" s="24" t="s">
        <v>186</v>
      </c>
      <c r="O26" s="24" t="s">
        <v>171</v>
      </c>
      <c r="P26" s="23">
        <v>46161</v>
      </c>
      <c r="Q26" s="23">
        <f t="shared" si="14"/>
        <v>46161</v>
      </c>
      <c r="R26" s="24" t="str">
        <f ca="1">IF($A$1&lt;Q26,"On-time",IF(AND(Q26&lt;=$A$1,BJ26="OK"),"OK","NO OK"))</f>
        <v>On-time</v>
      </c>
      <c r="S26" s="24" t="str">
        <f t="shared" si="4"/>
        <v>TUESDAY</v>
      </c>
      <c r="T26" s="24">
        <f>VLOOKUP(L26,Ubicacion!A:AE,13,FALSE)</f>
        <v>15</v>
      </c>
      <c r="U26" s="24">
        <f>VLOOKUP(L26,Ubicacion!A:AE,14,FALSE)</f>
        <v>2</v>
      </c>
      <c r="V26" s="24">
        <f>VLOOKUP(L26,Ubicacion!A:AE,15,FALSE)</f>
        <v>2</v>
      </c>
      <c r="W26" s="24">
        <f>VLOOKUP(L26,Ubicacion!A:AE,16,FALSE)</f>
        <v>13</v>
      </c>
      <c r="X26" s="24">
        <f>VLOOKUP(L26,Ubicacion!A:AE,17,FALSE)</f>
        <v>4</v>
      </c>
      <c r="Y26" s="24">
        <f>VLOOKUP(L26,Ubicacion!A:AE,18,FALSE)</f>
        <v>4</v>
      </c>
      <c r="Z26" s="24">
        <f>VLOOKUP(L26,Ubicacion!A:AE,19,FALSE)</f>
        <v>0</v>
      </c>
      <c r="AA26" s="24">
        <f>VLOOKUP(L26,Ubicacion!A:AE,20,FALSE)</f>
        <v>0</v>
      </c>
      <c r="AB26" s="24">
        <f>VLOOKUP(L26,Ubicacion!A:AE,21,FALSE)</f>
        <v>0</v>
      </c>
      <c r="AC26" s="24">
        <f>VLOOKUP(L26,Ubicacion!A:AE,22,FALSE)</f>
        <v>2</v>
      </c>
      <c r="AD26" s="24">
        <f>VLOOKUP(L26,Ubicacion!A:AE,23,FALSE)</f>
        <v>0</v>
      </c>
      <c r="AE26" s="24">
        <f>VLOOKUP(L26,Ubicacion!A:AE,24,FALSE)</f>
        <v>0</v>
      </c>
      <c r="AF26" s="24">
        <f>VLOOKUP(L26,Ubicacion!A:AE,25,FALSE)</f>
        <v>0</v>
      </c>
      <c r="AG26" s="24">
        <f>VLOOKUP(L26,Ubicacion!A:AE,26,FALSE)</f>
        <v>2</v>
      </c>
      <c r="AH26" s="24">
        <f>VLOOKUP(L26,Ubicacion!A:AE,27,FALSE)</f>
        <v>2</v>
      </c>
      <c r="AI26" s="24">
        <f>VLOOKUP(L26,Ubicacion!A:AE,28,FALSE)</f>
        <v>5</v>
      </c>
      <c r="AJ26" s="24">
        <f>VLOOKUP(L26,Ubicacion!A:AE,29,FALSE)</f>
        <v>3</v>
      </c>
      <c r="AK26" s="24">
        <f>VLOOKUP(L26,Ubicacion!A:AE,30,FALSE)</f>
        <v>1</v>
      </c>
      <c r="AL26" s="24">
        <f>VLOOKUP(L26,Ubicacion!A:AE,31,FALSE)</f>
        <v>1</v>
      </c>
      <c r="AM26" s="25">
        <f t="shared" si="15"/>
        <v>0.66666666666666663</v>
      </c>
      <c r="AN26" s="25">
        <f t="shared" si="16"/>
        <v>0.5</v>
      </c>
      <c r="AO26" s="25">
        <f t="shared" si="17"/>
        <v>1</v>
      </c>
      <c r="AP26" s="25">
        <f t="shared" si="18"/>
        <v>0.15384615384615385</v>
      </c>
      <c r="AQ26" s="25">
        <f t="shared" si="19"/>
        <v>0.5</v>
      </c>
      <c r="AR26" s="25">
        <f t="shared" si="20"/>
        <v>0.25</v>
      </c>
      <c r="AS26" s="25" t="str">
        <f t="shared" si="21"/>
        <v>100%</v>
      </c>
      <c r="AT26" s="25" t="str">
        <f t="shared" si="22"/>
        <v>100%</v>
      </c>
      <c r="AU26" s="25" t="str">
        <f t="shared" si="23"/>
        <v>100%</v>
      </c>
      <c r="AV26" s="24">
        <v>10</v>
      </c>
      <c r="AW26" s="24">
        <v>1</v>
      </c>
      <c r="AX26" s="24">
        <v>2</v>
      </c>
      <c r="AY26" s="24">
        <v>2</v>
      </c>
      <c r="AZ26" s="24">
        <v>2</v>
      </c>
      <c r="BA26" s="24">
        <v>1</v>
      </c>
      <c r="BB26" s="24">
        <v>2</v>
      </c>
      <c r="BC26" s="24">
        <v>1</v>
      </c>
      <c r="BD26" s="24">
        <v>1</v>
      </c>
      <c r="BE26" s="24" t="s">
        <v>184</v>
      </c>
      <c r="BF26" s="24" t="s">
        <v>184</v>
      </c>
      <c r="BG26" s="24" t="s">
        <v>183</v>
      </c>
      <c r="BH26" s="24" t="s">
        <v>183</v>
      </c>
      <c r="BI26" s="24" t="s">
        <v>183</v>
      </c>
      <c r="BJ26" s="24" t="s">
        <v>183</v>
      </c>
      <c r="BK26" s="24"/>
      <c r="BL26" s="24"/>
      <c r="BM26" s="57"/>
      <c r="BN26" s="2" t="str">
        <f>IF(AND((BN$6-$P26)&gt;=0,(BN$6-$P26)&lt;=($Q26-$P26)),"."," ")</f>
        <v xml:space="preserve"> </v>
      </c>
      <c r="BO26" s="2" t="str">
        <f>IF(AND((BO$6-$P26)&gt;=0,(BO$6-$P26)&lt;=($Q26-$P26)),"."," ")</f>
        <v xml:space="preserve"> </v>
      </c>
      <c r="BP26" s="2" t="str">
        <f>IF(AND((BP$6-$P26)&gt;=0,(BP$6-$P26)&lt;=($Q26-$P26)),"."," ")</f>
        <v xml:space="preserve"> </v>
      </c>
      <c r="BQ26" s="2" t="str">
        <f>IF(AND((BQ$6-$P26)&gt;=0,(BQ$6-$P26)&lt;=($Q26-$P26)),"."," ")</f>
        <v xml:space="preserve"> </v>
      </c>
      <c r="BR26" s="2" t="str">
        <f>IF(AND((BR$6-$P26)&gt;=0,(BR$6-$P26)&lt;=($Q26-$P26)),"."," ")</f>
        <v xml:space="preserve"> </v>
      </c>
      <c r="BS26" s="2" t="str">
        <f>IF(AND((BS$6-$P26)&gt;=0,(BS$6-$P26)&lt;=($Q26-$P26)),"."," ")</f>
        <v xml:space="preserve"> </v>
      </c>
      <c r="BT26" s="2" t="str">
        <f>IF(AND((BT$6-$P26)&gt;=0,(BT$6-$P26)&lt;=($Q26-$P26)),"."," ")</f>
        <v xml:space="preserve"> </v>
      </c>
      <c r="BU26" s="2" t="str">
        <f>IF(AND((BU$6-$P26)&gt;=0,(BU$6-$P26)&lt;=($Q26-$P26)),"."," ")</f>
        <v xml:space="preserve"> </v>
      </c>
      <c r="BV26" s="2" t="str">
        <f>IF(AND((BV$6-$P26)&gt;=0,(BV$6-$P26)&lt;=($Q26-$P26)),"."," ")</f>
        <v xml:space="preserve"> </v>
      </c>
      <c r="BW26" s="2" t="str">
        <f>IF(AND((BW$6-$P26)&gt;=0,(BW$6-$P26)&lt;=($Q26-$P26)),"."," ")</f>
        <v xml:space="preserve"> </v>
      </c>
      <c r="BX26" s="2" t="str">
        <f>IF(AND((BX$6-$P26)&gt;=0,(BX$6-$P26)&lt;=($Q26-$P26)),"."," ")</f>
        <v xml:space="preserve"> </v>
      </c>
      <c r="BY26" s="2" t="str">
        <f>IF(AND((BY$6-$P26)&gt;=0,(BY$6-$P26)&lt;=($Q26-$P26)),"."," ")</f>
        <v xml:space="preserve"> </v>
      </c>
      <c r="BZ26" s="2" t="str">
        <f>IF(AND((BZ$6-$P26)&gt;=0,(BZ$6-$P26)&lt;=($Q26-$P26)),"."," ")</f>
        <v xml:space="preserve"> </v>
      </c>
      <c r="CA26" s="2" t="str">
        <f>IF(AND((CA$6-$P26)&gt;=0,(CA$6-$P26)&lt;=($Q26-$P26)),"."," ")</f>
        <v xml:space="preserve"> </v>
      </c>
      <c r="CB26" s="2" t="str">
        <f>IF(AND((CB$6-$P26)&gt;=0,(CB$6-$P26)&lt;=($Q26-$P26)),"."," ")</f>
        <v xml:space="preserve"> </v>
      </c>
      <c r="CC26" s="2" t="str">
        <f>IF(AND((CC$6-$P26)&gt;=0,(CC$6-$P26)&lt;=($Q26-$P26)),"."," ")</f>
        <v xml:space="preserve"> </v>
      </c>
      <c r="CD26" s="2" t="str">
        <f t="shared" si="24"/>
        <v xml:space="preserve"> </v>
      </c>
      <c r="CE26" s="2" t="str">
        <f t="shared" si="24"/>
        <v xml:space="preserve"> </v>
      </c>
      <c r="CF26" s="2" t="str">
        <f t="shared" si="24"/>
        <v>.</v>
      </c>
      <c r="CG26" s="2" t="str">
        <f t="shared" si="24"/>
        <v xml:space="preserve"> </v>
      </c>
      <c r="CH26" s="2" t="str">
        <f t="shared" si="24"/>
        <v xml:space="preserve"> </v>
      </c>
      <c r="CI26" s="2" t="str">
        <f t="shared" si="24"/>
        <v xml:space="preserve"> </v>
      </c>
      <c r="CJ26" s="2" t="str">
        <f t="shared" si="24"/>
        <v xml:space="preserve"> </v>
      </c>
      <c r="CK26" s="2" t="str">
        <f t="shared" si="24"/>
        <v xml:space="preserve"> </v>
      </c>
      <c r="CL26" s="2" t="str">
        <f t="shared" si="24"/>
        <v xml:space="preserve"> </v>
      </c>
      <c r="CM26" s="2" t="str">
        <f t="shared" si="24"/>
        <v xml:space="preserve"> </v>
      </c>
      <c r="CN26" s="2" t="str">
        <f t="shared" si="24"/>
        <v xml:space="preserve"> </v>
      </c>
      <c r="CO26" s="2" t="str">
        <f t="shared" si="24"/>
        <v xml:space="preserve"> </v>
      </c>
      <c r="CP26" s="2" t="str">
        <f t="shared" si="24"/>
        <v xml:space="preserve"> </v>
      </c>
      <c r="CQ26" s="2" t="str">
        <f t="shared" si="24"/>
        <v xml:space="preserve"> </v>
      </c>
      <c r="CR26" s="2" t="str">
        <f t="shared" si="24"/>
        <v xml:space="preserve"> </v>
      </c>
    </row>
    <row r="27" spans="1:96">
      <c r="A27" s="21" t="str">
        <f>VLOOKUP(L27,Ubicacion!A:K,2,FALSE)</f>
        <v>LI3BR</v>
      </c>
      <c r="B27" s="21" t="str">
        <f>VLOOKUP(L27,Ubicacion!A:K,3,FALSE)</f>
        <v>LI3BC10</v>
      </c>
      <c r="C27" s="21" t="str">
        <f>VLOOKUP(L27,Ubicacion!A:K,4,FALSE)</f>
        <v>LIMA</v>
      </c>
      <c r="D27" s="21" t="str">
        <f>VLOOKUP(L27,Ubicacion!A:K,5,FALSE)</f>
        <v>PACHACAMAC</v>
      </c>
      <c r="E27" s="21" t="str">
        <f>VLOOKUP(L27,Ubicacion!A:K,6,FALSE)</f>
        <v>BTS Upgrade</v>
      </c>
      <c r="F27" s="21" t="str">
        <f>VLOOKUP(L27,Ubicacion!A:K,7,FALSE)</f>
        <v>8:00 - 16:00</v>
      </c>
      <c r="G27" s="21" t="str">
        <f>VLOOKUP(L27,Ubicacion!A:K,8,FALSE)</f>
        <v>MONDAY</v>
      </c>
      <c r="H27" s="21">
        <f>VLOOKUP(L27,Ubicacion!A:K,9,FALSE)</f>
        <v>2</v>
      </c>
      <c r="I27" s="21">
        <f>VLOOKUP(L27,Ubicacion!A:K,10,FALSE)</f>
        <v>-12.1038395053413</v>
      </c>
      <c r="J27" s="21">
        <f>VLOOKUP(L27,Ubicacion!A:K,11,FALSE)</f>
        <v>-76.870789476252796</v>
      </c>
      <c r="K27" s="21" t="str">
        <f t="shared" si="3"/>
        <v>46162Grupo 2</v>
      </c>
      <c r="L27" s="21" t="s">
        <v>79</v>
      </c>
      <c r="M27" s="21">
        <v>1</v>
      </c>
      <c r="N27" s="24" t="s">
        <v>186</v>
      </c>
      <c r="O27" s="24" t="s">
        <v>191</v>
      </c>
      <c r="P27" s="23">
        <v>46162</v>
      </c>
      <c r="Q27" s="23">
        <f t="shared" si="14"/>
        <v>46162</v>
      </c>
      <c r="R27" s="24" t="str">
        <f ca="1">IF($A$1&lt;Q27,"On-time",IF(AND(Q27&lt;=$A$1,BJ27="OK"),"OK","NO OK"))</f>
        <v>On-time</v>
      </c>
      <c r="S27" s="24" t="str">
        <f t="shared" si="4"/>
        <v>WEDNESDAY</v>
      </c>
      <c r="T27" s="24">
        <f>VLOOKUP(L27,Ubicacion!A:AE,13,FALSE)</f>
        <v>15</v>
      </c>
      <c r="U27" s="24">
        <f>VLOOKUP(L27,Ubicacion!A:AE,14,FALSE)</f>
        <v>2</v>
      </c>
      <c r="V27" s="24">
        <f>VLOOKUP(L27,Ubicacion!A:AE,15,FALSE)</f>
        <v>2</v>
      </c>
      <c r="W27" s="24">
        <f>VLOOKUP(L27,Ubicacion!A:AE,16,FALSE)</f>
        <v>13</v>
      </c>
      <c r="X27" s="24">
        <f>VLOOKUP(L27,Ubicacion!A:AE,17,FALSE)</f>
        <v>4</v>
      </c>
      <c r="Y27" s="24">
        <f>VLOOKUP(L27,Ubicacion!A:AE,18,FALSE)</f>
        <v>4</v>
      </c>
      <c r="Z27" s="24">
        <f>VLOOKUP(L27,Ubicacion!A:AE,19,FALSE)</f>
        <v>0</v>
      </c>
      <c r="AA27" s="24">
        <f>VLOOKUP(L27,Ubicacion!A:AE,20,FALSE)</f>
        <v>0</v>
      </c>
      <c r="AB27" s="24">
        <f>VLOOKUP(L27,Ubicacion!A:AE,21,FALSE)</f>
        <v>0</v>
      </c>
      <c r="AC27" s="24">
        <f>VLOOKUP(L27,Ubicacion!A:AE,22,FALSE)</f>
        <v>2</v>
      </c>
      <c r="AD27" s="24">
        <f>VLOOKUP(L27,Ubicacion!A:AE,23,FALSE)</f>
        <v>0</v>
      </c>
      <c r="AE27" s="24">
        <f>VLOOKUP(L27,Ubicacion!A:AE,24,FALSE)</f>
        <v>0</v>
      </c>
      <c r="AF27" s="24">
        <f>VLOOKUP(L27,Ubicacion!A:AE,25,FALSE)</f>
        <v>0</v>
      </c>
      <c r="AG27" s="24">
        <f>VLOOKUP(L27,Ubicacion!A:AE,26,FALSE)</f>
        <v>2</v>
      </c>
      <c r="AH27" s="24">
        <f>VLOOKUP(L27,Ubicacion!A:AE,27,FALSE)</f>
        <v>2</v>
      </c>
      <c r="AI27" s="24">
        <f>VLOOKUP(L27,Ubicacion!A:AE,28,FALSE)</f>
        <v>5</v>
      </c>
      <c r="AJ27" s="24">
        <f>VLOOKUP(L27,Ubicacion!A:AE,29,FALSE)</f>
        <v>3</v>
      </c>
      <c r="AK27" s="24">
        <f>VLOOKUP(L27,Ubicacion!A:AE,30,FALSE)</f>
        <v>1</v>
      </c>
      <c r="AL27" s="24">
        <f>VLOOKUP(L27,Ubicacion!A:AE,31,FALSE)</f>
        <v>1</v>
      </c>
      <c r="AM27" s="25">
        <f t="shared" si="15"/>
        <v>0.66666666666666663</v>
      </c>
      <c r="AN27" s="25">
        <f t="shared" si="16"/>
        <v>0.5</v>
      </c>
      <c r="AO27" s="25">
        <f t="shared" si="17"/>
        <v>1</v>
      </c>
      <c r="AP27" s="25">
        <f t="shared" si="18"/>
        <v>0.15384615384615385</v>
      </c>
      <c r="AQ27" s="25">
        <f t="shared" si="19"/>
        <v>0.5</v>
      </c>
      <c r="AR27" s="25">
        <f t="shared" si="20"/>
        <v>0.25</v>
      </c>
      <c r="AS27" s="25" t="str">
        <f t="shared" si="21"/>
        <v>100%</v>
      </c>
      <c r="AT27" s="25" t="str">
        <f t="shared" si="22"/>
        <v>100%</v>
      </c>
      <c r="AU27" s="25" t="str">
        <f t="shared" si="23"/>
        <v>100%</v>
      </c>
      <c r="AV27" s="24">
        <v>10</v>
      </c>
      <c r="AW27" s="24">
        <v>1</v>
      </c>
      <c r="AX27" s="24">
        <v>2</v>
      </c>
      <c r="AY27" s="24">
        <v>2</v>
      </c>
      <c r="AZ27" s="24">
        <v>2</v>
      </c>
      <c r="BA27" s="24">
        <v>1</v>
      </c>
      <c r="BB27" s="24">
        <v>2</v>
      </c>
      <c r="BC27" s="24">
        <v>1</v>
      </c>
      <c r="BD27" s="24">
        <v>1</v>
      </c>
      <c r="BE27" s="24" t="s">
        <v>184</v>
      </c>
      <c r="BF27" s="24" t="s">
        <v>184</v>
      </c>
      <c r="BG27" s="24" t="s">
        <v>183</v>
      </c>
      <c r="BH27" s="24" t="s">
        <v>183</v>
      </c>
      <c r="BI27" s="24" t="s">
        <v>183</v>
      </c>
      <c r="BJ27" s="24" t="s">
        <v>183</v>
      </c>
      <c r="BK27" s="24"/>
      <c r="BL27" s="24"/>
      <c r="BM27" s="57"/>
      <c r="BN27" s="2" t="str">
        <f>IF(AND((BN$6-$P27)&gt;=0,(BN$6-$P27)&lt;=($Q27-$P27)),"."," ")</f>
        <v xml:space="preserve"> </v>
      </c>
      <c r="BO27" s="2" t="str">
        <f>IF(AND((BO$6-$P27)&gt;=0,(BO$6-$P27)&lt;=($Q27-$P27)),"."," ")</f>
        <v xml:space="preserve"> </v>
      </c>
      <c r="BP27" s="2" t="str">
        <f>IF(AND((BP$6-$P27)&gt;=0,(BP$6-$P27)&lt;=($Q27-$P27)),"."," ")</f>
        <v xml:space="preserve"> </v>
      </c>
      <c r="BQ27" s="2" t="str">
        <f>IF(AND((BQ$6-$P27)&gt;=0,(BQ$6-$P27)&lt;=($Q27-$P27)),"."," ")</f>
        <v xml:space="preserve"> </v>
      </c>
      <c r="BR27" s="2" t="str">
        <f>IF(AND((BR$6-$P27)&gt;=0,(BR$6-$P27)&lt;=($Q27-$P27)),"."," ")</f>
        <v xml:space="preserve"> </v>
      </c>
      <c r="BS27" s="2" t="str">
        <f>IF(AND((BS$6-$P27)&gt;=0,(BS$6-$P27)&lt;=($Q27-$P27)),"."," ")</f>
        <v xml:space="preserve"> </v>
      </c>
      <c r="BT27" s="2" t="str">
        <f>IF(AND((BT$6-$P27)&gt;=0,(BT$6-$P27)&lt;=($Q27-$P27)),"."," ")</f>
        <v xml:space="preserve"> </v>
      </c>
      <c r="BU27" s="2" t="str">
        <f>IF(AND((BU$6-$P27)&gt;=0,(BU$6-$P27)&lt;=($Q27-$P27)),"."," ")</f>
        <v xml:space="preserve"> </v>
      </c>
      <c r="BV27" s="2" t="str">
        <f>IF(AND((BV$6-$P27)&gt;=0,(BV$6-$P27)&lt;=($Q27-$P27)),"."," ")</f>
        <v xml:space="preserve"> </v>
      </c>
      <c r="BW27" s="2" t="str">
        <f>IF(AND((BW$6-$P27)&gt;=0,(BW$6-$P27)&lt;=($Q27-$P27)),"."," ")</f>
        <v xml:space="preserve"> </v>
      </c>
      <c r="BX27" s="2" t="str">
        <f>IF(AND((BX$6-$P27)&gt;=0,(BX$6-$P27)&lt;=($Q27-$P27)),"."," ")</f>
        <v xml:space="preserve"> </v>
      </c>
      <c r="BY27" s="2" t="str">
        <f>IF(AND((BY$6-$P27)&gt;=0,(BY$6-$P27)&lt;=($Q27-$P27)),"."," ")</f>
        <v xml:space="preserve"> </v>
      </c>
      <c r="BZ27" s="2" t="str">
        <f>IF(AND((BZ$6-$P27)&gt;=0,(BZ$6-$P27)&lt;=($Q27-$P27)),"."," ")</f>
        <v xml:space="preserve"> </v>
      </c>
      <c r="CA27" s="2" t="str">
        <f>IF(AND((CA$6-$P27)&gt;=0,(CA$6-$P27)&lt;=($Q27-$P27)),"."," ")</f>
        <v xml:space="preserve"> </v>
      </c>
      <c r="CB27" s="2" t="str">
        <f>IF(AND((CB$6-$P27)&gt;=0,(CB$6-$P27)&lt;=($Q27-$P27)),"."," ")</f>
        <v xml:space="preserve"> </v>
      </c>
      <c r="CC27" s="2" t="str">
        <f>IF(AND((CC$6-$P27)&gt;=0,(CC$6-$P27)&lt;=($Q27-$P27)),"."," ")</f>
        <v xml:space="preserve"> </v>
      </c>
      <c r="CD27" s="2" t="str">
        <f t="shared" si="24"/>
        <v xml:space="preserve"> </v>
      </c>
      <c r="CE27" s="2" t="str">
        <f t="shared" si="24"/>
        <v xml:space="preserve"> </v>
      </c>
      <c r="CF27" s="2" t="str">
        <f t="shared" si="24"/>
        <v xml:space="preserve"> </v>
      </c>
      <c r="CG27" s="2" t="str">
        <f t="shared" si="24"/>
        <v>.</v>
      </c>
      <c r="CH27" s="2" t="str">
        <f t="shared" si="24"/>
        <v xml:space="preserve"> </v>
      </c>
      <c r="CI27" s="2" t="str">
        <f t="shared" si="24"/>
        <v xml:space="preserve"> </v>
      </c>
      <c r="CJ27" s="2" t="str">
        <f t="shared" si="24"/>
        <v xml:space="preserve"> </v>
      </c>
      <c r="CK27" s="2" t="str">
        <f t="shared" si="24"/>
        <v xml:space="preserve"> </v>
      </c>
      <c r="CL27" s="2" t="str">
        <f t="shared" si="24"/>
        <v xml:space="preserve"> </v>
      </c>
      <c r="CM27" s="2" t="str">
        <f t="shared" si="24"/>
        <v xml:space="preserve"> </v>
      </c>
      <c r="CN27" s="2" t="str">
        <f t="shared" si="24"/>
        <v xml:space="preserve"> </v>
      </c>
      <c r="CO27" s="2" t="str">
        <f t="shared" si="24"/>
        <v xml:space="preserve"> </v>
      </c>
      <c r="CP27" s="2" t="str">
        <f t="shared" si="24"/>
        <v xml:space="preserve"> </v>
      </c>
      <c r="CQ27" s="2" t="str">
        <f t="shared" si="24"/>
        <v xml:space="preserve"> </v>
      </c>
      <c r="CR27" s="2" t="str">
        <f t="shared" si="24"/>
        <v xml:space="preserve"> </v>
      </c>
    </row>
    <row r="28" spans="1:96">
      <c r="A28" s="21" t="str">
        <f>VLOOKUP(L28,Ubicacion!A:K,2,FALSE)</f>
        <v>LI3BR</v>
      </c>
      <c r="B28" s="21" t="str">
        <f>VLOOKUP(L28,Ubicacion!A:K,3,FALSE)</f>
        <v>LI2BC11</v>
      </c>
      <c r="C28" s="21" t="str">
        <f>VLOOKUP(L28,Ubicacion!A:K,4,FALSE)</f>
        <v>LIMA</v>
      </c>
      <c r="D28" s="21" t="str">
        <f>VLOOKUP(L28,Ubicacion!A:K,5,FALSE)</f>
        <v>LA MOLINA</v>
      </c>
      <c r="E28" s="21" t="str">
        <f>VLOOKUP(L28,Ubicacion!A:K,6,FALSE)</f>
        <v>BTS Upgrade</v>
      </c>
      <c r="F28" s="21" t="str">
        <f>VLOOKUP(L28,Ubicacion!A:K,7,FALSE)</f>
        <v>8:00 - 16:00</v>
      </c>
      <c r="G28" s="21" t="str">
        <f>VLOOKUP(L28,Ubicacion!A:K,8,FALSE)</f>
        <v>TUESDAY</v>
      </c>
      <c r="H28" s="21">
        <f>VLOOKUP(L28,Ubicacion!A:K,9,FALSE)</f>
        <v>2</v>
      </c>
      <c r="I28" s="21">
        <f>VLOOKUP(L28,Ubicacion!A:K,10,FALSE)</f>
        <v>-12.089833622560599</v>
      </c>
      <c r="J28" s="21">
        <f>VLOOKUP(L28,Ubicacion!A:K,11,FALSE)</f>
        <v>-76.948812748903606</v>
      </c>
      <c r="K28" s="21" t="str">
        <f t="shared" si="3"/>
        <v>46163Grupo 2</v>
      </c>
      <c r="L28" s="21" t="s">
        <v>80</v>
      </c>
      <c r="M28" s="21">
        <v>1</v>
      </c>
      <c r="N28" s="24" t="s">
        <v>186</v>
      </c>
      <c r="O28" s="24" t="s">
        <v>191</v>
      </c>
      <c r="P28" s="23">
        <v>46163</v>
      </c>
      <c r="Q28" s="23">
        <f t="shared" si="14"/>
        <v>46163</v>
      </c>
      <c r="R28" s="24" t="str">
        <f ca="1">IF($A$1&lt;Q28,"On-time",IF(AND(Q28&lt;=$A$1,BJ28="OK"),"OK","NO OK"))</f>
        <v>On-time</v>
      </c>
      <c r="S28" s="24" t="str">
        <f t="shared" si="4"/>
        <v>THURSDAY</v>
      </c>
      <c r="T28" s="24">
        <f>VLOOKUP(L28,Ubicacion!A:AE,13,FALSE)</f>
        <v>15</v>
      </c>
      <c r="U28" s="24">
        <f>VLOOKUP(L28,Ubicacion!A:AE,14,FALSE)</f>
        <v>2</v>
      </c>
      <c r="V28" s="24">
        <f>VLOOKUP(L28,Ubicacion!A:AE,15,FALSE)</f>
        <v>2</v>
      </c>
      <c r="W28" s="24">
        <f>VLOOKUP(L28,Ubicacion!A:AE,16,FALSE)</f>
        <v>13</v>
      </c>
      <c r="X28" s="24">
        <f>VLOOKUP(L28,Ubicacion!A:AE,17,FALSE)</f>
        <v>4</v>
      </c>
      <c r="Y28" s="24">
        <f>VLOOKUP(L28,Ubicacion!A:AE,18,FALSE)</f>
        <v>4</v>
      </c>
      <c r="Z28" s="24">
        <f>VLOOKUP(L28,Ubicacion!A:AE,19,FALSE)</f>
        <v>0</v>
      </c>
      <c r="AA28" s="24">
        <f>VLOOKUP(L28,Ubicacion!A:AE,20,FALSE)</f>
        <v>0</v>
      </c>
      <c r="AB28" s="24">
        <f>VLOOKUP(L28,Ubicacion!A:AE,21,FALSE)</f>
        <v>0</v>
      </c>
      <c r="AC28" s="24">
        <f>VLOOKUP(L28,Ubicacion!A:AE,22,FALSE)</f>
        <v>2</v>
      </c>
      <c r="AD28" s="24">
        <f>VLOOKUP(L28,Ubicacion!A:AE,23,FALSE)</f>
        <v>0</v>
      </c>
      <c r="AE28" s="24">
        <f>VLOOKUP(L28,Ubicacion!A:AE,24,FALSE)</f>
        <v>0</v>
      </c>
      <c r="AF28" s="24">
        <f>VLOOKUP(L28,Ubicacion!A:AE,25,FALSE)</f>
        <v>0</v>
      </c>
      <c r="AG28" s="24">
        <f>VLOOKUP(L28,Ubicacion!A:AE,26,FALSE)</f>
        <v>2</v>
      </c>
      <c r="AH28" s="24">
        <f>VLOOKUP(L28,Ubicacion!A:AE,27,FALSE)</f>
        <v>2</v>
      </c>
      <c r="AI28" s="24">
        <f>VLOOKUP(L28,Ubicacion!A:AE,28,FALSE)</f>
        <v>5</v>
      </c>
      <c r="AJ28" s="24">
        <f>VLOOKUP(L28,Ubicacion!A:AE,29,FALSE)</f>
        <v>3</v>
      </c>
      <c r="AK28" s="24">
        <f>VLOOKUP(L28,Ubicacion!A:AE,30,FALSE)</f>
        <v>1</v>
      </c>
      <c r="AL28" s="24">
        <f>VLOOKUP(L28,Ubicacion!A:AE,31,FALSE)</f>
        <v>1</v>
      </c>
      <c r="AM28" s="25">
        <f t="shared" si="15"/>
        <v>0.66666666666666663</v>
      </c>
      <c r="AN28" s="25">
        <f t="shared" si="16"/>
        <v>0.5</v>
      </c>
      <c r="AO28" s="25">
        <f t="shared" si="17"/>
        <v>1</v>
      </c>
      <c r="AP28" s="25">
        <f t="shared" si="18"/>
        <v>0.15384615384615385</v>
      </c>
      <c r="AQ28" s="25">
        <f t="shared" si="19"/>
        <v>0.5</v>
      </c>
      <c r="AR28" s="25">
        <f t="shared" si="20"/>
        <v>0.25</v>
      </c>
      <c r="AS28" s="25" t="str">
        <f t="shared" si="21"/>
        <v>100%</v>
      </c>
      <c r="AT28" s="25" t="str">
        <f t="shared" si="22"/>
        <v>100%</v>
      </c>
      <c r="AU28" s="25" t="str">
        <f t="shared" si="23"/>
        <v>100%</v>
      </c>
      <c r="AV28" s="24">
        <v>10</v>
      </c>
      <c r="AW28" s="24">
        <v>1</v>
      </c>
      <c r="AX28" s="24">
        <v>2</v>
      </c>
      <c r="AY28" s="24">
        <v>2</v>
      </c>
      <c r="AZ28" s="24">
        <v>2</v>
      </c>
      <c r="BA28" s="24">
        <v>1</v>
      </c>
      <c r="BB28" s="24">
        <v>2</v>
      </c>
      <c r="BC28" s="24">
        <v>1</v>
      </c>
      <c r="BD28" s="24">
        <v>1</v>
      </c>
      <c r="BE28" s="24" t="s">
        <v>184</v>
      </c>
      <c r="BF28" s="24" t="s">
        <v>184</v>
      </c>
      <c r="BG28" s="24" t="s">
        <v>183</v>
      </c>
      <c r="BH28" s="24" t="s">
        <v>183</v>
      </c>
      <c r="BI28" s="24" t="s">
        <v>183</v>
      </c>
      <c r="BJ28" s="24" t="s">
        <v>183</v>
      </c>
      <c r="BK28" s="24"/>
      <c r="BL28" s="24"/>
      <c r="BM28" s="57"/>
      <c r="BN28" s="2" t="str">
        <f>IF(AND((BN$6-$P28)&gt;=0,(BN$6-$P28)&lt;=($Q28-$P28)),"."," ")</f>
        <v xml:space="preserve"> </v>
      </c>
      <c r="BO28" s="2" t="str">
        <f>IF(AND((BO$6-$P28)&gt;=0,(BO$6-$P28)&lt;=($Q28-$P28)),"."," ")</f>
        <v xml:space="preserve"> </v>
      </c>
      <c r="BP28" s="2" t="str">
        <f>IF(AND((BP$6-$P28)&gt;=0,(BP$6-$P28)&lt;=($Q28-$P28)),"."," ")</f>
        <v xml:space="preserve"> </v>
      </c>
      <c r="BQ28" s="2" t="str">
        <f>IF(AND((BQ$6-$P28)&gt;=0,(BQ$6-$P28)&lt;=($Q28-$P28)),"."," ")</f>
        <v xml:space="preserve"> </v>
      </c>
      <c r="BR28" s="2" t="str">
        <f>IF(AND((BR$6-$P28)&gt;=0,(BR$6-$P28)&lt;=($Q28-$P28)),"."," ")</f>
        <v xml:space="preserve"> </v>
      </c>
      <c r="BS28" s="2" t="str">
        <f>IF(AND((BS$6-$P28)&gt;=0,(BS$6-$P28)&lt;=($Q28-$P28)),"."," ")</f>
        <v xml:space="preserve"> </v>
      </c>
      <c r="BT28" s="2" t="str">
        <f>IF(AND((BT$6-$P28)&gt;=0,(BT$6-$P28)&lt;=($Q28-$P28)),"."," ")</f>
        <v xml:space="preserve"> </v>
      </c>
      <c r="BU28" s="2" t="str">
        <f>IF(AND((BU$6-$P28)&gt;=0,(BU$6-$P28)&lt;=($Q28-$P28)),"."," ")</f>
        <v xml:space="preserve"> </v>
      </c>
      <c r="BV28" s="2" t="str">
        <f>IF(AND((BV$6-$P28)&gt;=0,(BV$6-$P28)&lt;=($Q28-$P28)),"."," ")</f>
        <v xml:space="preserve"> </v>
      </c>
      <c r="BW28" s="2" t="str">
        <f>IF(AND((BW$6-$P28)&gt;=0,(BW$6-$P28)&lt;=($Q28-$P28)),"."," ")</f>
        <v xml:space="preserve"> </v>
      </c>
      <c r="BX28" s="2" t="str">
        <f>IF(AND((BX$6-$P28)&gt;=0,(BX$6-$P28)&lt;=($Q28-$P28)),"."," ")</f>
        <v xml:space="preserve"> </v>
      </c>
      <c r="BY28" s="2" t="str">
        <f>IF(AND((BY$6-$P28)&gt;=0,(BY$6-$P28)&lt;=($Q28-$P28)),"."," ")</f>
        <v xml:space="preserve"> </v>
      </c>
      <c r="BZ28" s="2" t="str">
        <f>IF(AND((BZ$6-$P28)&gt;=0,(BZ$6-$P28)&lt;=($Q28-$P28)),"."," ")</f>
        <v xml:space="preserve"> </v>
      </c>
      <c r="CA28" s="2" t="str">
        <f>IF(AND((CA$6-$P28)&gt;=0,(CA$6-$P28)&lt;=($Q28-$P28)),"."," ")</f>
        <v xml:space="preserve"> </v>
      </c>
      <c r="CB28" s="2" t="str">
        <f>IF(AND((CB$6-$P28)&gt;=0,(CB$6-$P28)&lt;=($Q28-$P28)),"."," ")</f>
        <v xml:space="preserve"> </v>
      </c>
      <c r="CC28" s="2" t="str">
        <f>IF(AND((CC$6-$P28)&gt;=0,(CC$6-$P28)&lt;=($Q28-$P28)),"."," ")</f>
        <v xml:space="preserve"> </v>
      </c>
      <c r="CD28" s="2" t="str">
        <f t="shared" si="24"/>
        <v xml:space="preserve"> </v>
      </c>
      <c r="CE28" s="2" t="str">
        <f t="shared" si="24"/>
        <v xml:space="preserve"> </v>
      </c>
      <c r="CF28" s="2" t="str">
        <f t="shared" si="24"/>
        <v xml:space="preserve"> </v>
      </c>
      <c r="CG28" s="2" t="str">
        <f t="shared" si="24"/>
        <v xml:space="preserve"> </v>
      </c>
      <c r="CH28" s="2" t="str">
        <f t="shared" si="24"/>
        <v>.</v>
      </c>
      <c r="CI28" s="2" t="str">
        <f t="shared" si="24"/>
        <v xml:space="preserve"> </v>
      </c>
      <c r="CJ28" s="2" t="str">
        <f t="shared" si="24"/>
        <v xml:space="preserve"> </v>
      </c>
      <c r="CK28" s="2" t="str">
        <f t="shared" si="24"/>
        <v xml:space="preserve"> </v>
      </c>
      <c r="CL28" s="2" t="str">
        <f t="shared" si="24"/>
        <v xml:space="preserve"> </v>
      </c>
      <c r="CM28" s="2" t="str">
        <f t="shared" si="24"/>
        <v xml:space="preserve"> </v>
      </c>
      <c r="CN28" s="2" t="str">
        <f t="shared" si="24"/>
        <v xml:space="preserve"> </v>
      </c>
      <c r="CO28" s="2" t="str">
        <f t="shared" si="24"/>
        <v xml:space="preserve"> </v>
      </c>
      <c r="CP28" s="2" t="str">
        <f t="shared" si="24"/>
        <v xml:space="preserve"> </v>
      </c>
      <c r="CQ28" s="2" t="str">
        <f t="shared" si="24"/>
        <v xml:space="preserve"> </v>
      </c>
      <c r="CR28" s="2" t="str">
        <f t="shared" si="24"/>
        <v xml:space="preserve"> </v>
      </c>
    </row>
    <row r="29" spans="1:96">
      <c r="A29" s="21" t="str">
        <f>VLOOKUP(L29,Ubicacion!A:K,2,FALSE)</f>
        <v>LI3BR</v>
      </c>
      <c r="B29" s="21" t="str">
        <f>VLOOKUP(L29,Ubicacion!A:K,3,FALSE)</f>
        <v>LI2BC11</v>
      </c>
      <c r="C29" s="21" t="str">
        <f>VLOOKUP(L29,Ubicacion!A:K,4,FALSE)</f>
        <v>LIMA</v>
      </c>
      <c r="D29" s="21" t="str">
        <f>VLOOKUP(L29,Ubicacion!A:K,5,FALSE)</f>
        <v>LA MOLINA</v>
      </c>
      <c r="E29" s="21" t="str">
        <f>VLOOKUP(L29,Ubicacion!A:K,6,FALSE)</f>
        <v>BTS Upgrade</v>
      </c>
      <c r="F29" s="21" t="str">
        <f>VLOOKUP(L29,Ubicacion!A:K,7,FALSE)</f>
        <v>8:00 - 12:00</v>
      </c>
      <c r="G29" s="21" t="str">
        <f>VLOOKUP(L29,Ubicacion!A:K,8,FALSE)</f>
        <v>WEDNESDAY</v>
      </c>
      <c r="H29" s="21">
        <f>VLOOKUP(L29,Ubicacion!A:K,9,FALSE)</f>
        <v>2</v>
      </c>
      <c r="I29" s="21">
        <f>VLOOKUP(L29,Ubicacion!A:K,10,FALSE)</f>
        <v>-12.113763298102</v>
      </c>
      <c r="J29" s="21">
        <f>VLOOKUP(L29,Ubicacion!A:K,11,FALSE)</f>
        <v>-76.936205497674806</v>
      </c>
      <c r="K29" s="21" t="str">
        <f t="shared" si="3"/>
        <v>46164Grupo 2</v>
      </c>
      <c r="L29" s="21" t="s">
        <v>81</v>
      </c>
      <c r="M29" s="21">
        <v>1</v>
      </c>
      <c r="N29" s="24" t="s">
        <v>186</v>
      </c>
      <c r="O29" s="24" t="s">
        <v>191</v>
      </c>
      <c r="P29" s="23">
        <v>46164</v>
      </c>
      <c r="Q29" s="23">
        <f t="shared" si="14"/>
        <v>46164</v>
      </c>
      <c r="R29" s="24" t="str">
        <f ca="1">IF($A$1&lt;Q29,"On-time",IF(AND(Q29&lt;=$A$1,BJ29="OK"),"OK","NO OK"))</f>
        <v>On-time</v>
      </c>
      <c r="S29" s="24" t="str">
        <f t="shared" si="4"/>
        <v>FRIDAY</v>
      </c>
      <c r="T29" s="24">
        <f>VLOOKUP(L29,Ubicacion!A:AE,13,FALSE)</f>
        <v>15</v>
      </c>
      <c r="U29" s="24">
        <f>VLOOKUP(L29,Ubicacion!A:AE,14,FALSE)</f>
        <v>2</v>
      </c>
      <c r="V29" s="24">
        <f>VLOOKUP(L29,Ubicacion!A:AE,15,FALSE)</f>
        <v>2</v>
      </c>
      <c r="W29" s="24">
        <f>VLOOKUP(L29,Ubicacion!A:AE,16,FALSE)</f>
        <v>13</v>
      </c>
      <c r="X29" s="24">
        <f>VLOOKUP(L29,Ubicacion!A:AE,17,FALSE)</f>
        <v>4</v>
      </c>
      <c r="Y29" s="24">
        <f>VLOOKUP(L29,Ubicacion!A:AE,18,FALSE)</f>
        <v>4</v>
      </c>
      <c r="Z29" s="24">
        <f>VLOOKUP(L29,Ubicacion!A:AE,19,FALSE)</f>
        <v>0</v>
      </c>
      <c r="AA29" s="24">
        <f>VLOOKUP(L29,Ubicacion!A:AE,20,FALSE)</f>
        <v>0</v>
      </c>
      <c r="AB29" s="24">
        <f>VLOOKUP(L29,Ubicacion!A:AE,21,FALSE)</f>
        <v>0</v>
      </c>
      <c r="AC29" s="24">
        <f>VLOOKUP(L29,Ubicacion!A:AE,22,FALSE)</f>
        <v>2</v>
      </c>
      <c r="AD29" s="24">
        <f>VLOOKUP(L29,Ubicacion!A:AE,23,FALSE)</f>
        <v>0</v>
      </c>
      <c r="AE29" s="24">
        <f>VLOOKUP(L29,Ubicacion!A:AE,24,FALSE)</f>
        <v>0</v>
      </c>
      <c r="AF29" s="24">
        <f>VLOOKUP(L29,Ubicacion!A:AE,25,FALSE)</f>
        <v>0</v>
      </c>
      <c r="AG29" s="24">
        <f>VLOOKUP(L29,Ubicacion!A:AE,26,FALSE)</f>
        <v>2</v>
      </c>
      <c r="AH29" s="24">
        <f>VLOOKUP(L29,Ubicacion!A:AE,27,FALSE)</f>
        <v>2</v>
      </c>
      <c r="AI29" s="24">
        <f>VLOOKUP(L29,Ubicacion!A:AE,28,FALSE)</f>
        <v>5</v>
      </c>
      <c r="AJ29" s="24">
        <f>VLOOKUP(L29,Ubicacion!A:AE,29,FALSE)</f>
        <v>3</v>
      </c>
      <c r="AK29" s="24">
        <f>VLOOKUP(L29,Ubicacion!A:AE,30,FALSE)</f>
        <v>1</v>
      </c>
      <c r="AL29" s="24">
        <f>VLOOKUP(L29,Ubicacion!A:AE,31,FALSE)</f>
        <v>1</v>
      </c>
      <c r="AM29" s="25">
        <f t="shared" si="15"/>
        <v>0.66666666666666663</v>
      </c>
      <c r="AN29" s="25">
        <f t="shared" si="16"/>
        <v>0.5</v>
      </c>
      <c r="AO29" s="25">
        <f t="shared" si="17"/>
        <v>1</v>
      </c>
      <c r="AP29" s="25">
        <f t="shared" si="18"/>
        <v>0.15384615384615385</v>
      </c>
      <c r="AQ29" s="25">
        <f t="shared" si="19"/>
        <v>0.5</v>
      </c>
      <c r="AR29" s="25">
        <f t="shared" si="20"/>
        <v>0.25</v>
      </c>
      <c r="AS29" s="25" t="str">
        <f t="shared" si="21"/>
        <v>100%</v>
      </c>
      <c r="AT29" s="25" t="str">
        <f t="shared" si="22"/>
        <v>100%</v>
      </c>
      <c r="AU29" s="25" t="str">
        <f t="shared" si="23"/>
        <v>100%</v>
      </c>
      <c r="AV29" s="24">
        <v>10</v>
      </c>
      <c r="AW29" s="24">
        <v>1</v>
      </c>
      <c r="AX29" s="24">
        <v>2</v>
      </c>
      <c r="AY29" s="24">
        <v>2</v>
      </c>
      <c r="AZ29" s="24">
        <v>2</v>
      </c>
      <c r="BA29" s="24">
        <v>1</v>
      </c>
      <c r="BB29" s="24">
        <v>2</v>
      </c>
      <c r="BC29" s="24">
        <v>1</v>
      </c>
      <c r="BD29" s="24">
        <v>1</v>
      </c>
      <c r="BE29" s="24" t="s">
        <v>184</v>
      </c>
      <c r="BF29" s="24" t="s">
        <v>184</v>
      </c>
      <c r="BG29" s="24" t="s">
        <v>183</v>
      </c>
      <c r="BH29" s="24" t="s">
        <v>183</v>
      </c>
      <c r="BI29" s="24" t="s">
        <v>183</v>
      </c>
      <c r="BJ29" s="24" t="s">
        <v>183</v>
      </c>
      <c r="BK29" s="24"/>
      <c r="BL29" s="24"/>
      <c r="BM29" s="57"/>
      <c r="BN29" s="2" t="str">
        <f>IF(AND((BN$6-$P29)&gt;=0,(BN$6-$P29)&lt;=($Q29-$P29)),"."," ")</f>
        <v xml:space="preserve"> </v>
      </c>
      <c r="BO29" s="2" t="str">
        <f>IF(AND((BO$6-$P29)&gt;=0,(BO$6-$P29)&lt;=($Q29-$P29)),"."," ")</f>
        <v xml:space="preserve"> </v>
      </c>
      <c r="BP29" s="2" t="str">
        <f>IF(AND((BP$6-$P29)&gt;=0,(BP$6-$P29)&lt;=($Q29-$P29)),"."," ")</f>
        <v xml:space="preserve"> </v>
      </c>
      <c r="BQ29" s="2" t="str">
        <f>IF(AND((BQ$6-$P29)&gt;=0,(BQ$6-$P29)&lt;=($Q29-$P29)),"."," ")</f>
        <v xml:space="preserve"> </v>
      </c>
      <c r="BR29" s="2" t="str">
        <f>IF(AND((BR$6-$P29)&gt;=0,(BR$6-$P29)&lt;=($Q29-$P29)),"."," ")</f>
        <v xml:space="preserve"> </v>
      </c>
      <c r="BS29" s="2" t="str">
        <f>IF(AND((BS$6-$P29)&gt;=0,(BS$6-$P29)&lt;=($Q29-$P29)),"."," ")</f>
        <v xml:space="preserve"> </v>
      </c>
      <c r="BT29" s="2" t="str">
        <f>IF(AND((BT$6-$P29)&gt;=0,(BT$6-$P29)&lt;=($Q29-$P29)),"."," ")</f>
        <v xml:space="preserve"> </v>
      </c>
      <c r="BU29" s="2" t="str">
        <f>IF(AND((BU$6-$P29)&gt;=0,(BU$6-$P29)&lt;=($Q29-$P29)),"."," ")</f>
        <v xml:space="preserve"> </v>
      </c>
      <c r="BV29" s="2" t="str">
        <f>IF(AND((BV$6-$P29)&gt;=0,(BV$6-$P29)&lt;=($Q29-$P29)),"."," ")</f>
        <v xml:space="preserve"> </v>
      </c>
      <c r="BW29" s="2" t="str">
        <f>IF(AND((BW$6-$P29)&gt;=0,(BW$6-$P29)&lt;=($Q29-$P29)),"."," ")</f>
        <v xml:space="preserve"> </v>
      </c>
      <c r="BX29" s="2" t="str">
        <f>IF(AND((BX$6-$P29)&gt;=0,(BX$6-$P29)&lt;=($Q29-$P29)),"."," ")</f>
        <v xml:space="preserve"> </v>
      </c>
      <c r="BY29" s="2" t="str">
        <f>IF(AND((BY$6-$P29)&gt;=0,(BY$6-$P29)&lt;=($Q29-$P29)),"."," ")</f>
        <v xml:space="preserve"> </v>
      </c>
      <c r="BZ29" s="2" t="str">
        <f>IF(AND((BZ$6-$P29)&gt;=0,(BZ$6-$P29)&lt;=($Q29-$P29)),"."," ")</f>
        <v xml:space="preserve"> </v>
      </c>
      <c r="CA29" s="2" t="str">
        <f>IF(AND((CA$6-$P29)&gt;=0,(CA$6-$P29)&lt;=($Q29-$P29)),"."," ")</f>
        <v xml:space="preserve"> </v>
      </c>
      <c r="CB29" s="2" t="str">
        <f>IF(AND((CB$6-$P29)&gt;=0,(CB$6-$P29)&lt;=($Q29-$P29)),"."," ")</f>
        <v xml:space="preserve"> </v>
      </c>
      <c r="CC29" s="2" t="str">
        <f>IF(AND((CC$6-$P29)&gt;=0,(CC$6-$P29)&lt;=($Q29-$P29)),"."," ")</f>
        <v xml:space="preserve"> </v>
      </c>
      <c r="CD29" s="2" t="str">
        <f t="shared" si="24"/>
        <v xml:space="preserve"> </v>
      </c>
      <c r="CE29" s="2" t="str">
        <f t="shared" si="24"/>
        <v xml:space="preserve"> </v>
      </c>
      <c r="CF29" s="2" t="str">
        <f t="shared" si="24"/>
        <v xml:space="preserve"> </v>
      </c>
      <c r="CG29" s="2" t="str">
        <f t="shared" si="24"/>
        <v xml:space="preserve"> </v>
      </c>
      <c r="CH29" s="2" t="str">
        <f t="shared" si="24"/>
        <v xml:space="preserve"> </v>
      </c>
      <c r="CI29" s="2" t="str">
        <f t="shared" si="24"/>
        <v>.</v>
      </c>
      <c r="CJ29" s="2" t="str">
        <f t="shared" si="24"/>
        <v xml:space="preserve"> </v>
      </c>
      <c r="CK29" s="2" t="str">
        <f t="shared" si="24"/>
        <v xml:space="preserve"> </v>
      </c>
      <c r="CL29" s="2" t="str">
        <f t="shared" si="24"/>
        <v xml:space="preserve"> </v>
      </c>
      <c r="CM29" s="2" t="str">
        <f t="shared" si="24"/>
        <v xml:space="preserve"> </v>
      </c>
      <c r="CN29" s="2" t="str">
        <f t="shared" si="24"/>
        <v xml:space="preserve"> </v>
      </c>
      <c r="CO29" s="2" t="str">
        <f t="shared" si="24"/>
        <v xml:space="preserve"> </v>
      </c>
      <c r="CP29" s="2" t="str">
        <f t="shared" si="24"/>
        <v xml:space="preserve"> </v>
      </c>
      <c r="CQ29" s="2" t="str">
        <f t="shared" si="24"/>
        <v xml:space="preserve"> </v>
      </c>
      <c r="CR29" s="2" t="str">
        <f t="shared" si="24"/>
        <v xml:space="preserve"> </v>
      </c>
    </row>
    <row r="30" spans="1:96">
      <c r="A30" s="21" t="str">
        <f>VLOOKUP(L30,Ubicacion!A:K,2,FALSE)</f>
        <v>LI3BR</v>
      </c>
      <c r="B30" s="21" t="str">
        <f>VLOOKUP(L30,Ubicacion!A:K,3,FALSE)</f>
        <v>LI2BC11</v>
      </c>
      <c r="C30" s="21" t="str">
        <f>VLOOKUP(L30,Ubicacion!A:K,4,FALSE)</f>
        <v>LIMA</v>
      </c>
      <c r="D30" s="21" t="str">
        <f>VLOOKUP(L30,Ubicacion!A:K,5,FALSE)</f>
        <v>LA MOLINA</v>
      </c>
      <c r="E30" s="21" t="str">
        <f>VLOOKUP(L30,Ubicacion!A:K,6,FALSE)</f>
        <v>BTS Upgrade</v>
      </c>
      <c r="F30" s="21" t="str">
        <f>VLOOKUP(L30,Ubicacion!A:K,7,FALSE)</f>
        <v>8:00 - 12:00</v>
      </c>
      <c r="G30" s="21" t="str">
        <f>VLOOKUP(L30,Ubicacion!A:K,8,FALSE)</f>
        <v>THURSDAY</v>
      </c>
      <c r="H30" s="21">
        <f>VLOOKUP(L30,Ubicacion!A:K,9,FALSE)</f>
        <v>2</v>
      </c>
      <c r="I30" s="21">
        <f>VLOOKUP(L30,Ubicacion!A:K,10,FALSE)</f>
        <v>-12.103824090070299</v>
      </c>
      <c r="J30" s="21">
        <f>VLOOKUP(L30,Ubicacion!A:K,11,FALSE)</f>
        <v>-76.941484141096495</v>
      </c>
      <c r="K30" s="21" t="str">
        <f t="shared" si="3"/>
        <v>46165Grupo 2</v>
      </c>
      <c r="L30" s="21" t="s">
        <v>82</v>
      </c>
      <c r="M30" s="21">
        <v>1</v>
      </c>
      <c r="N30" s="22" t="s">
        <v>185</v>
      </c>
      <c r="O30" s="24" t="s">
        <v>191</v>
      </c>
      <c r="P30" s="23">
        <v>46165</v>
      </c>
      <c r="Q30" s="23">
        <f t="shared" si="14"/>
        <v>46165</v>
      </c>
      <c r="R30" s="24" t="str">
        <f ca="1">IF($A$1&lt;Q30,"On-time",IF(AND(Q30&lt;=$A$1,BJ30="OK"),"OK","NO OK"))</f>
        <v>On-time</v>
      </c>
      <c r="S30" s="24" t="str">
        <f t="shared" si="4"/>
        <v>SATURDAY</v>
      </c>
      <c r="T30" s="24">
        <f>VLOOKUP(L30,Ubicacion!A:AE,13,FALSE)</f>
        <v>15</v>
      </c>
      <c r="U30" s="24">
        <f>VLOOKUP(L30,Ubicacion!A:AE,14,FALSE)</f>
        <v>2</v>
      </c>
      <c r="V30" s="24">
        <f>VLOOKUP(L30,Ubicacion!A:AE,15,FALSE)</f>
        <v>2</v>
      </c>
      <c r="W30" s="24">
        <f>VLOOKUP(L30,Ubicacion!A:AE,16,FALSE)</f>
        <v>13</v>
      </c>
      <c r="X30" s="24">
        <f>VLOOKUP(L30,Ubicacion!A:AE,17,FALSE)</f>
        <v>4</v>
      </c>
      <c r="Y30" s="24">
        <f>VLOOKUP(L30,Ubicacion!A:AE,18,FALSE)</f>
        <v>4</v>
      </c>
      <c r="Z30" s="24">
        <f>VLOOKUP(L30,Ubicacion!A:AE,19,FALSE)</f>
        <v>0</v>
      </c>
      <c r="AA30" s="24">
        <f>VLOOKUP(L30,Ubicacion!A:AE,20,FALSE)</f>
        <v>0</v>
      </c>
      <c r="AB30" s="24">
        <f>VLOOKUP(L30,Ubicacion!A:AE,21,FALSE)</f>
        <v>0</v>
      </c>
      <c r="AC30" s="24">
        <f>VLOOKUP(L30,Ubicacion!A:AE,22,FALSE)</f>
        <v>2</v>
      </c>
      <c r="AD30" s="24">
        <f>VLOOKUP(L30,Ubicacion!A:AE,23,FALSE)</f>
        <v>0</v>
      </c>
      <c r="AE30" s="24">
        <f>VLOOKUP(L30,Ubicacion!A:AE,24,FALSE)</f>
        <v>0</v>
      </c>
      <c r="AF30" s="24">
        <f>VLOOKUP(L30,Ubicacion!A:AE,25,FALSE)</f>
        <v>0</v>
      </c>
      <c r="AG30" s="24">
        <f>VLOOKUP(L30,Ubicacion!A:AE,26,FALSE)</f>
        <v>2</v>
      </c>
      <c r="AH30" s="24">
        <f>VLOOKUP(L30,Ubicacion!A:AE,27,FALSE)</f>
        <v>2</v>
      </c>
      <c r="AI30" s="24">
        <f>VLOOKUP(L30,Ubicacion!A:AE,28,FALSE)</f>
        <v>5</v>
      </c>
      <c r="AJ30" s="24">
        <f>VLOOKUP(L30,Ubicacion!A:AE,29,FALSE)</f>
        <v>3</v>
      </c>
      <c r="AK30" s="24">
        <f>VLOOKUP(L30,Ubicacion!A:AE,30,FALSE)</f>
        <v>1</v>
      </c>
      <c r="AL30" s="24">
        <f>VLOOKUP(L30,Ubicacion!A:AE,31,FALSE)</f>
        <v>1</v>
      </c>
      <c r="AM30" s="25">
        <f t="shared" si="15"/>
        <v>0.66666666666666663</v>
      </c>
      <c r="AN30" s="25">
        <f t="shared" si="16"/>
        <v>0.5</v>
      </c>
      <c r="AO30" s="25">
        <f t="shared" si="17"/>
        <v>1</v>
      </c>
      <c r="AP30" s="25">
        <f t="shared" si="18"/>
        <v>0.15384615384615385</v>
      </c>
      <c r="AQ30" s="25">
        <f t="shared" si="19"/>
        <v>0.5</v>
      </c>
      <c r="AR30" s="25">
        <f t="shared" si="20"/>
        <v>0.25</v>
      </c>
      <c r="AS30" s="25" t="str">
        <f t="shared" si="21"/>
        <v>100%</v>
      </c>
      <c r="AT30" s="25" t="str">
        <f t="shared" si="22"/>
        <v>100%</v>
      </c>
      <c r="AU30" s="25" t="str">
        <f t="shared" si="23"/>
        <v>100%</v>
      </c>
      <c r="AV30" s="24">
        <v>10</v>
      </c>
      <c r="AW30" s="24">
        <v>1</v>
      </c>
      <c r="AX30" s="24">
        <v>2</v>
      </c>
      <c r="AY30" s="24">
        <v>2</v>
      </c>
      <c r="AZ30" s="24">
        <v>2</v>
      </c>
      <c r="BA30" s="24">
        <v>1</v>
      </c>
      <c r="BB30" s="24">
        <v>2</v>
      </c>
      <c r="BC30" s="24">
        <v>1</v>
      </c>
      <c r="BD30" s="24">
        <v>1</v>
      </c>
      <c r="BE30" s="24" t="s">
        <v>184</v>
      </c>
      <c r="BF30" s="24" t="s">
        <v>184</v>
      </c>
      <c r="BG30" s="24" t="s">
        <v>183</v>
      </c>
      <c r="BH30" s="24" t="s">
        <v>183</v>
      </c>
      <c r="BI30" s="24" t="s">
        <v>183</v>
      </c>
      <c r="BJ30" s="24" t="s">
        <v>183</v>
      </c>
      <c r="BK30" s="24"/>
      <c r="BL30" s="24"/>
      <c r="BM30" s="57"/>
      <c r="BN30" s="2" t="str">
        <f>IF(AND((BN$6-$P30)&gt;=0,(BN$6-$P30)&lt;=($Q30-$P30)),"."," ")</f>
        <v xml:space="preserve"> </v>
      </c>
      <c r="BO30" s="2" t="str">
        <f>IF(AND((BO$6-$P30)&gt;=0,(BO$6-$P30)&lt;=($Q30-$P30)),"."," ")</f>
        <v xml:space="preserve"> </v>
      </c>
      <c r="BP30" s="2" t="str">
        <f>IF(AND((BP$6-$P30)&gt;=0,(BP$6-$P30)&lt;=($Q30-$P30)),"."," ")</f>
        <v xml:space="preserve"> </v>
      </c>
      <c r="BQ30" s="2" t="str">
        <f>IF(AND((BQ$6-$P30)&gt;=0,(BQ$6-$P30)&lt;=($Q30-$P30)),"."," ")</f>
        <v xml:space="preserve"> </v>
      </c>
      <c r="BR30" s="2" t="str">
        <f>IF(AND((BR$6-$P30)&gt;=0,(BR$6-$P30)&lt;=($Q30-$P30)),"."," ")</f>
        <v xml:space="preserve"> </v>
      </c>
      <c r="BS30" s="2" t="str">
        <f>IF(AND((BS$6-$P30)&gt;=0,(BS$6-$P30)&lt;=($Q30-$P30)),"."," ")</f>
        <v xml:space="preserve"> </v>
      </c>
      <c r="BT30" s="2" t="str">
        <f>IF(AND((BT$6-$P30)&gt;=0,(BT$6-$P30)&lt;=($Q30-$P30)),"."," ")</f>
        <v xml:space="preserve"> </v>
      </c>
      <c r="BU30" s="2" t="str">
        <f>IF(AND((BU$6-$P30)&gt;=0,(BU$6-$P30)&lt;=($Q30-$P30)),"."," ")</f>
        <v xml:space="preserve"> </v>
      </c>
      <c r="BV30" s="2" t="str">
        <f>IF(AND((BV$6-$P30)&gt;=0,(BV$6-$P30)&lt;=($Q30-$P30)),"."," ")</f>
        <v xml:space="preserve"> </v>
      </c>
      <c r="BW30" s="2" t="str">
        <f>IF(AND((BW$6-$P30)&gt;=0,(BW$6-$P30)&lt;=($Q30-$P30)),"."," ")</f>
        <v xml:space="preserve"> </v>
      </c>
      <c r="BX30" s="2" t="str">
        <f>IF(AND((BX$6-$P30)&gt;=0,(BX$6-$P30)&lt;=($Q30-$P30)),"."," ")</f>
        <v xml:space="preserve"> </v>
      </c>
      <c r="BY30" s="2" t="str">
        <f>IF(AND((BY$6-$P30)&gt;=0,(BY$6-$P30)&lt;=($Q30-$P30)),"."," ")</f>
        <v xml:space="preserve"> </v>
      </c>
      <c r="BZ30" s="2" t="str">
        <f>IF(AND((BZ$6-$P30)&gt;=0,(BZ$6-$P30)&lt;=($Q30-$P30)),"."," ")</f>
        <v xml:space="preserve"> </v>
      </c>
      <c r="CA30" s="2" t="str">
        <f>IF(AND((CA$6-$P30)&gt;=0,(CA$6-$P30)&lt;=($Q30-$P30)),"."," ")</f>
        <v xml:space="preserve"> </v>
      </c>
      <c r="CB30" s="2" t="str">
        <f>IF(AND((CB$6-$P30)&gt;=0,(CB$6-$P30)&lt;=($Q30-$P30)),"."," ")</f>
        <v xml:space="preserve"> </v>
      </c>
      <c r="CC30" s="2" t="str">
        <f>IF(AND((CC$6-$P30)&gt;=0,(CC$6-$P30)&lt;=($Q30-$P30)),"."," ")</f>
        <v xml:space="preserve"> </v>
      </c>
      <c r="CD30" s="2" t="str">
        <f t="shared" si="24"/>
        <v xml:space="preserve"> </v>
      </c>
      <c r="CE30" s="2" t="str">
        <f t="shared" si="24"/>
        <v xml:space="preserve"> </v>
      </c>
      <c r="CF30" s="2" t="str">
        <f t="shared" si="24"/>
        <v xml:space="preserve"> </v>
      </c>
      <c r="CG30" s="2" t="str">
        <f t="shared" si="24"/>
        <v xml:space="preserve"> </v>
      </c>
      <c r="CH30" s="2" t="str">
        <f t="shared" si="24"/>
        <v xml:space="preserve"> </v>
      </c>
      <c r="CI30" s="2" t="str">
        <f t="shared" si="24"/>
        <v xml:space="preserve"> </v>
      </c>
      <c r="CJ30" s="2" t="str">
        <f t="shared" si="24"/>
        <v>.</v>
      </c>
      <c r="CK30" s="2" t="str">
        <f t="shared" si="24"/>
        <v xml:space="preserve"> </v>
      </c>
      <c r="CL30" s="2" t="str">
        <f t="shared" si="24"/>
        <v xml:space="preserve"> </v>
      </c>
      <c r="CM30" s="2" t="str">
        <f t="shared" si="24"/>
        <v xml:space="preserve"> </v>
      </c>
      <c r="CN30" s="2" t="str">
        <f t="shared" si="24"/>
        <v xml:space="preserve"> </v>
      </c>
      <c r="CO30" s="2" t="str">
        <f t="shared" si="24"/>
        <v xml:space="preserve"> </v>
      </c>
      <c r="CP30" s="2" t="str">
        <f t="shared" si="24"/>
        <v xml:space="preserve"> </v>
      </c>
      <c r="CQ30" s="2" t="str">
        <f t="shared" si="24"/>
        <v xml:space="preserve"> </v>
      </c>
      <c r="CR30" s="2" t="str">
        <f t="shared" si="24"/>
        <v xml:space="preserve"> </v>
      </c>
    </row>
    <row r="31" spans="1:96">
      <c r="A31" s="21" t="str">
        <f>VLOOKUP(L31,Ubicacion!A:K,2,FALSE)</f>
        <v>LI3BR</v>
      </c>
      <c r="B31" s="21" t="str">
        <f>VLOOKUP(L31,Ubicacion!A:K,3,FALSE)</f>
        <v>LI2BC11</v>
      </c>
      <c r="C31" s="21" t="str">
        <f>VLOOKUP(L31,Ubicacion!A:K,4,FALSE)</f>
        <v>LIMA</v>
      </c>
      <c r="D31" s="21" t="str">
        <f>VLOOKUP(L31,Ubicacion!A:K,5,FALSE)</f>
        <v>LA MOLINA</v>
      </c>
      <c r="E31" s="21" t="str">
        <f>VLOOKUP(L31,Ubicacion!A:K,6,FALSE)</f>
        <v>BTS Upgrade</v>
      </c>
      <c r="F31" s="21" t="str">
        <f>VLOOKUP(L31,Ubicacion!A:K,7,FALSE)</f>
        <v>8:00 - 13:00</v>
      </c>
      <c r="G31" s="21" t="str">
        <f>VLOOKUP(L31,Ubicacion!A:K,8,FALSE)</f>
        <v>FRIDAY</v>
      </c>
      <c r="H31" s="21">
        <f>VLOOKUP(L31,Ubicacion!A:K,9,FALSE)</f>
        <v>2</v>
      </c>
      <c r="I31" s="21">
        <f>VLOOKUP(L31,Ubicacion!A:K,10,FALSE)</f>
        <v>-12.0851681083972</v>
      </c>
      <c r="J31" s="21">
        <f>VLOOKUP(L31,Ubicacion!A:K,11,FALSE)</f>
        <v>-76.924100626377694</v>
      </c>
      <c r="K31" s="21" t="str">
        <f t="shared" si="3"/>
        <v>46166Grupo 2</v>
      </c>
      <c r="L31" s="21" t="s">
        <v>83</v>
      </c>
      <c r="M31" s="21">
        <v>1</v>
      </c>
      <c r="N31" s="24" t="s">
        <v>186</v>
      </c>
      <c r="O31" s="24" t="s">
        <v>191</v>
      </c>
      <c r="P31" s="23">
        <v>46166</v>
      </c>
      <c r="Q31" s="23">
        <f t="shared" si="14"/>
        <v>46166</v>
      </c>
      <c r="R31" s="24" t="str">
        <f ca="1">IF($A$1&lt;Q31,"On-time",IF(AND(Q31&lt;=$A$1,BJ31="OK"),"OK","NO OK"))</f>
        <v>On-time</v>
      </c>
      <c r="S31" s="24" t="str">
        <f t="shared" si="4"/>
        <v>SUNDAY</v>
      </c>
      <c r="T31" s="24">
        <f>VLOOKUP(L31,Ubicacion!A:AE,13,FALSE)</f>
        <v>15</v>
      </c>
      <c r="U31" s="24">
        <f>VLOOKUP(L31,Ubicacion!A:AE,14,FALSE)</f>
        <v>2</v>
      </c>
      <c r="V31" s="24">
        <f>VLOOKUP(L31,Ubicacion!A:AE,15,FALSE)</f>
        <v>2</v>
      </c>
      <c r="W31" s="24">
        <f>VLOOKUP(L31,Ubicacion!A:AE,16,FALSE)</f>
        <v>13</v>
      </c>
      <c r="X31" s="24">
        <f>VLOOKUP(L31,Ubicacion!A:AE,17,FALSE)</f>
        <v>4</v>
      </c>
      <c r="Y31" s="24">
        <f>VLOOKUP(L31,Ubicacion!A:AE,18,FALSE)</f>
        <v>4</v>
      </c>
      <c r="Z31" s="24">
        <f>VLOOKUP(L31,Ubicacion!A:AE,19,FALSE)</f>
        <v>0</v>
      </c>
      <c r="AA31" s="24">
        <f>VLOOKUP(L31,Ubicacion!A:AE,20,FALSE)</f>
        <v>0</v>
      </c>
      <c r="AB31" s="24">
        <f>VLOOKUP(L31,Ubicacion!A:AE,21,FALSE)</f>
        <v>0</v>
      </c>
      <c r="AC31" s="24">
        <f>VLOOKUP(L31,Ubicacion!A:AE,22,FALSE)</f>
        <v>2</v>
      </c>
      <c r="AD31" s="24">
        <f>VLOOKUP(L31,Ubicacion!A:AE,23,FALSE)</f>
        <v>0</v>
      </c>
      <c r="AE31" s="24">
        <f>VLOOKUP(L31,Ubicacion!A:AE,24,FALSE)</f>
        <v>0</v>
      </c>
      <c r="AF31" s="24">
        <f>VLOOKUP(L31,Ubicacion!A:AE,25,FALSE)</f>
        <v>0</v>
      </c>
      <c r="AG31" s="24">
        <f>VLOOKUP(L31,Ubicacion!A:AE,26,FALSE)</f>
        <v>2</v>
      </c>
      <c r="AH31" s="24">
        <f>VLOOKUP(L31,Ubicacion!A:AE,27,FALSE)</f>
        <v>2</v>
      </c>
      <c r="AI31" s="24">
        <f>VLOOKUP(L31,Ubicacion!A:AE,28,FALSE)</f>
        <v>5</v>
      </c>
      <c r="AJ31" s="24">
        <f>VLOOKUP(L31,Ubicacion!A:AE,29,FALSE)</f>
        <v>3</v>
      </c>
      <c r="AK31" s="24">
        <f>VLOOKUP(L31,Ubicacion!A:AE,30,FALSE)</f>
        <v>1</v>
      </c>
      <c r="AL31" s="24">
        <f>VLOOKUP(L31,Ubicacion!A:AE,31,FALSE)</f>
        <v>1</v>
      </c>
      <c r="AM31" s="25">
        <f t="shared" si="15"/>
        <v>0.66666666666666663</v>
      </c>
      <c r="AN31" s="25">
        <f t="shared" si="16"/>
        <v>0.5</v>
      </c>
      <c r="AO31" s="25">
        <f t="shared" si="17"/>
        <v>1</v>
      </c>
      <c r="AP31" s="25">
        <f t="shared" si="18"/>
        <v>0.15384615384615385</v>
      </c>
      <c r="AQ31" s="25">
        <f t="shared" si="19"/>
        <v>0.5</v>
      </c>
      <c r="AR31" s="25">
        <f t="shared" si="20"/>
        <v>0.25</v>
      </c>
      <c r="AS31" s="25" t="str">
        <f t="shared" si="21"/>
        <v>100%</v>
      </c>
      <c r="AT31" s="25" t="str">
        <f t="shared" si="22"/>
        <v>100%</v>
      </c>
      <c r="AU31" s="25" t="str">
        <f t="shared" si="23"/>
        <v>100%</v>
      </c>
      <c r="AV31" s="24">
        <v>10</v>
      </c>
      <c r="AW31" s="24">
        <v>1</v>
      </c>
      <c r="AX31" s="24">
        <v>2</v>
      </c>
      <c r="AY31" s="24">
        <v>2</v>
      </c>
      <c r="AZ31" s="24">
        <v>2</v>
      </c>
      <c r="BA31" s="24">
        <v>1</v>
      </c>
      <c r="BB31" s="24">
        <v>2</v>
      </c>
      <c r="BC31" s="24">
        <v>1</v>
      </c>
      <c r="BD31" s="24">
        <v>1</v>
      </c>
      <c r="BE31" s="24" t="s">
        <v>184</v>
      </c>
      <c r="BF31" s="24" t="s">
        <v>184</v>
      </c>
      <c r="BG31" s="24" t="s">
        <v>183</v>
      </c>
      <c r="BH31" s="24" t="s">
        <v>183</v>
      </c>
      <c r="BI31" s="24" t="s">
        <v>183</v>
      </c>
      <c r="BJ31" s="24" t="s">
        <v>183</v>
      </c>
      <c r="BK31" s="24"/>
      <c r="BL31" s="24"/>
      <c r="BM31" s="57"/>
      <c r="BN31" s="2" t="str">
        <f>IF(AND((BN$6-$P31)&gt;=0,(BN$6-$P31)&lt;=($Q31-$P31)),"."," ")</f>
        <v xml:space="preserve"> </v>
      </c>
      <c r="BO31" s="2" t="str">
        <f>IF(AND((BO$6-$P31)&gt;=0,(BO$6-$P31)&lt;=($Q31-$P31)),"."," ")</f>
        <v xml:space="preserve"> </v>
      </c>
      <c r="BP31" s="2" t="str">
        <f>IF(AND((BP$6-$P31)&gt;=0,(BP$6-$P31)&lt;=($Q31-$P31)),"."," ")</f>
        <v xml:space="preserve"> </v>
      </c>
      <c r="BQ31" s="2" t="str">
        <f>IF(AND((BQ$6-$P31)&gt;=0,(BQ$6-$P31)&lt;=($Q31-$P31)),"."," ")</f>
        <v xml:space="preserve"> </v>
      </c>
      <c r="BR31" s="2" t="str">
        <f>IF(AND((BR$6-$P31)&gt;=0,(BR$6-$P31)&lt;=($Q31-$P31)),"."," ")</f>
        <v xml:space="preserve"> </v>
      </c>
      <c r="BS31" s="2" t="str">
        <f>IF(AND((BS$6-$P31)&gt;=0,(BS$6-$P31)&lt;=($Q31-$P31)),"."," ")</f>
        <v xml:space="preserve"> </v>
      </c>
      <c r="BT31" s="2" t="str">
        <f>IF(AND((BT$6-$P31)&gt;=0,(BT$6-$P31)&lt;=($Q31-$P31)),"."," ")</f>
        <v xml:space="preserve"> </v>
      </c>
      <c r="BU31" s="2" t="str">
        <f t="shared" ref="BU31:CJ32" si="25">IF(AND((BU$6-$P31)&gt;=0,(BU$6-$P31)&lt;=($Q31-$P31)),"."," ")</f>
        <v xml:space="preserve"> </v>
      </c>
      <c r="BV31" s="2" t="str">
        <f t="shared" si="25"/>
        <v xml:space="preserve"> </v>
      </c>
      <c r="BW31" s="2" t="str">
        <f t="shared" si="25"/>
        <v xml:space="preserve"> </v>
      </c>
      <c r="BX31" s="2" t="str">
        <f t="shared" si="25"/>
        <v xml:space="preserve"> </v>
      </c>
      <c r="BY31" s="2" t="str">
        <f t="shared" si="25"/>
        <v xml:space="preserve"> </v>
      </c>
      <c r="BZ31" s="2" t="str">
        <f t="shared" si="25"/>
        <v xml:space="preserve"> </v>
      </c>
      <c r="CA31" s="2" t="str">
        <f t="shared" si="25"/>
        <v xml:space="preserve"> </v>
      </c>
      <c r="CB31" s="2" t="str">
        <f t="shared" si="25"/>
        <v xml:space="preserve"> </v>
      </c>
      <c r="CC31" s="2" t="str">
        <f t="shared" si="25"/>
        <v xml:space="preserve"> </v>
      </c>
      <c r="CD31" s="2" t="str">
        <f t="shared" si="25"/>
        <v xml:space="preserve"> </v>
      </c>
      <c r="CE31" s="2" t="str">
        <f t="shared" si="25"/>
        <v xml:space="preserve"> </v>
      </c>
      <c r="CF31" s="2" t="str">
        <f t="shared" si="25"/>
        <v xml:space="preserve"> </v>
      </c>
      <c r="CG31" s="2" t="str">
        <f t="shared" si="25"/>
        <v xml:space="preserve"> </v>
      </c>
      <c r="CH31" s="2" t="str">
        <f t="shared" si="25"/>
        <v xml:space="preserve"> </v>
      </c>
      <c r="CI31" s="2" t="str">
        <f t="shared" si="25"/>
        <v xml:space="preserve"> </v>
      </c>
      <c r="CJ31" s="2" t="str">
        <f t="shared" si="25"/>
        <v xml:space="preserve"> </v>
      </c>
      <c r="CK31" s="2" t="str">
        <f t="shared" si="24"/>
        <v>.</v>
      </c>
      <c r="CL31" s="2" t="str">
        <f t="shared" si="24"/>
        <v xml:space="preserve"> </v>
      </c>
      <c r="CM31" s="2" t="str">
        <f t="shared" si="24"/>
        <v xml:space="preserve"> </v>
      </c>
      <c r="CN31" s="2" t="str">
        <f t="shared" si="24"/>
        <v xml:space="preserve"> </v>
      </c>
      <c r="CO31" s="2" t="str">
        <f t="shared" si="24"/>
        <v xml:space="preserve"> </v>
      </c>
      <c r="CP31" s="2" t="str">
        <f t="shared" si="24"/>
        <v xml:space="preserve"> </v>
      </c>
      <c r="CQ31" s="2" t="str">
        <f t="shared" si="24"/>
        <v xml:space="preserve"> </v>
      </c>
      <c r="CR31" s="2" t="str">
        <f t="shared" si="24"/>
        <v xml:space="preserve"> </v>
      </c>
    </row>
    <row r="32" spans="1:96">
      <c r="A32" s="21" t="str">
        <f>VLOOKUP(L32,Ubicacion!A:K,2,FALSE)</f>
        <v>LI3BR</v>
      </c>
      <c r="B32" s="21" t="str">
        <f>VLOOKUP(L32,Ubicacion!A:K,3,FALSE)</f>
        <v>LI2BC11</v>
      </c>
      <c r="C32" s="21" t="str">
        <f>VLOOKUP(L32,Ubicacion!A:K,4,FALSE)</f>
        <v>LIMA</v>
      </c>
      <c r="D32" s="21" t="str">
        <f>VLOOKUP(L32,Ubicacion!A:K,5,FALSE)</f>
        <v>LA MOLINA</v>
      </c>
      <c r="E32" s="21" t="str">
        <f>VLOOKUP(L32,Ubicacion!A:K,6,FALSE)</f>
        <v>BTS Upgrade</v>
      </c>
      <c r="F32" s="21" t="str">
        <f>VLOOKUP(L32,Ubicacion!A:K,7,FALSE)</f>
        <v>09:00 - 17:00</v>
      </c>
      <c r="G32" s="21" t="str">
        <f>VLOOKUP(L32,Ubicacion!A:K,8,FALSE)</f>
        <v>SATURDAY</v>
      </c>
      <c r="H32" s="21">
        <f>VLOOKUP(L32,Ubicacion!A:K,9,FALSE)</f>
        <v>2</v>
      </c>
      <c r="I32" s="21">
        <f>VLOOKUP(L32,Ubicacion!A:K,10,FALSE)</f>
        <v>-12.0826872789464</v>
      </c>
      <c r="J32" s="21">
        <f>VLOOKUP(L32,Ubicacion!A:K,11,FALSE)</f>
        <v>-76.928163247112806</v>
      </c>
      <c r="K32" s="21" t="str">
        <f t="shared" si="3"/>
        <v>46167Grupo 2</v>
      </c>
      <c r="L32" s="21" t="s">
        <v>84</v>
      </c>
      <c r="M32" s="21">
        <v>1</v>
      </c>
      <c r="N32" s="24" t="s">
        <v>187</v>
      </c>
      <c r="O32" s="24" t="s">
        <v>191</v>
      </c>
      <c r="P32" s="23">
        <v>46167</v>
      </c>
      <c r="Q32" s="23">
        <f t="shared" si="14"/>
        <v>46167</v>
      </c>
      <c r="R32" s="24" t="str">
        <f ca="1">IF($A$1&lt;Q32,"On-time",IF(AND(Q32&lt;=$A$1,BJ32="OK"),"OK","NO OK"))</f>
        <v>On-time</v>
      </c>
      <c r="S32" s="24" t="str">
        <f t="shared" si="4"/>
        <v>MONDAY</v>
      </c>
      <c r="T32" s="24">
        <f>VLOOKUP(L32,Ubicacion!A:AE,13,FALSE)</f>
        <v>15</v>
      </c>
      <c r="U32" s="24">
        <f>VLOOKUP(L32,Ubicacion!A:AE,14,FALSE)</f>
        <v>23</v>
      </c>
      <c r="V32" s="24">
        <f>VLOOKUP(L32,Ubicacion!A:AE,15,FALSE)</f>
        <v>2</v>
      </c>
      <c r="W32" s="24">
        <f>VLOOKUP(L32,Ubicacion!A:AE,16,FALSE)</f>
        <v>5</v>
      </c>
      <c r="X32" s="24">
        <f>VLOOKUP(L32,Ubicacion!A:AE,17,FALSE)</f>
        <v>5</v>
      </c>
      <c r="Y32" s="24">
        <f>VLOOKUP(L32,Ubicacion!A:AE,18,FALSE)</f>
        <v>0</v>
      </c>
      <c r="Z32" s="24">
        <f>VLOOKUP(L32,Ubicacion!A:AE,19,FALSE)</f>
        <v>0</v>
      </c>
      <c r="AA32" s="24">
        <f>VLOOKUP(L32,Ubicacion!A:AE,20,FALSE)</f>
        <v>0</v>
      </c>
      <c r="AB32" s="24">
        <f>VLOOKUP(L32,Ubicacion!A:AE,21,FALSE)</f>
        <v>0</v>
      </c>
      <c r="AC32" s="24">
        <f>VLOOKUP(L32,Ubicacion!A:AE,22,FALSE)</f>
        <v>4</v>
      </c>
      <c r="AD32" s="24">
        <f>VLOOKUP(L32,Ubicacion!A:AE,23,FALSE)</f>
        <v>0</v>
      </c>
      <c r="AE32" s="24">
        <f>VLOOKUP(L32,Ubicacion!A:AE,24,FALSE)</f>
        <v>0</v>
      </c>
      <c r="AF32" s="24">
        <f>VLOOKUP(L32,Ubicacion!A:AE,25,FALSE)</f>
        <v>0</v>
      </c>
      <c r="AG32" s="24">
        <f>VLOOKUP(L32,Ubicacion!A:AE,26,FALSE)</f>
        <v>4</v>
      </c>
      <c r="AH32" s="24">
        <f>VLOOKUP(L32,Ubicacion!A:AE,27,FALSE)</f>
        <v>2</v>
      </c>
      <c r="AI32" s="24">
        <f>VLOOKUP(L32,Ubicacion!A:AE,28,FALSE)</f>
        <v>5</v>
      </c>
      <c r="AJ32" s="24">
        <f>VLOOKUP(L32,Ubicacion!A:AE,29,FALSE)</f>
        <v>3</v>
      </c>
      <c r="AK32" s="24">
        <f>VLOOKUP(L32,Ubicacion!A:AE,30,FALSE)</f>
        <v>1</v>
      </c>
      <c r="AL32" s="24">
        <f>VLOOKUP(L32,Ubicacion!A:AE,31,FALSE)</f>
        <v>1</v>
      </c>
      <c r="AM32" s="25">
        <f t="shared" si="15"/>
        <v>0.66666666666666663</v>
      </c>
      <c r="AN32" s="25">
        <f t="shared" si="16"/>
        <v>4.3478260869565216E-2</v>
      </c>
      <c r="AO32" s="25">
        <f t="shared" si="17"/>
        <v>1</v>
      </c>
      <c r="AP32" s="25">
        <f t="shared" si="18"/>
        <v>0.4</v>
      </c>
      <c r="AQ32" s="25">
        <f t="shared" si="19"/>
        <v>0.4</v>
      </c>
      <c r="AR32" s="25" t="str">
        <f t="shared" si="20"/>
        <v>100%</v>
      </c>
      <c r="AS32" s="25" t="str">
        <f t="shared" si="21"/>
        <v>100%</v>
      </c>
      <c r="AT32" s="25" t="str">
        <f t="shared" si="22"/>
        <v>100%</v>
      </c>
      <c r="AU32" s="25" t="str">
        <f t="shared" si="23"/>
        <v>100%</v>
      </c>
      <c r="AV32" s="24">
        <v>10</v>
      </c>
      <c r="AW32" s="24">
        <v>1</v>
      </c>
      <c r="AX32" s="24">
        <v>2</v>
      </c>
      <c r="AY32" s="24">
        <v>2</v>
      </c>
      <c r="AZ32" s="24">
        <v>2</v>
      </c>
      <c r="BA32" s="24">
        <v>1</v>
      </c>
      <c r="BB32" s="24">
        <v>2</v>
      </c>
      <c r="BC32" s="24">
        <v>1</v>
      </c>
      <c r="BD32" s="24">
        <v>1</v>
      </c>
      <c r="BE32" s="24" t="s">
        <v>184</v>
      </c>
      <c r="BF32" s="24" t="s">
        <v>184</v>
      </c>
      <c r="BG32" s="24" t="s">
        <v>183</v>
      </c>
      <c r="BH32" s="24" t="s">
        <v>183</v>
      </c>
      <c r="BI32" s="24" t="s">
        <v>183</v>
      </c>
      <c r="BJ32" s="24" t="s">
        <v>183</v>
      </c>
      <c r="BK32" s="24"/>
      <c r="BL32" s="24"/>
      <c r="BM32" s="57"/>
      <c r="BN32" s="2" t="str">
        <f t="shared" ref="BN32:CC56" si="26">IF(AND((BN$6-$P32)&gt;=0,(BN$6-$P32)&lt;=($Q32-$P32)),"."," ")</f>
        <v xml:space="preserve"> </v>
      </c>
      <c r="BO32" s="2" t="str">
        <f t="shared" si="26"/>
        <v xml:space="preserve"> </v>
      </c>
      <c r="BP32" s="2" t="str">
        <f t="shared" si="26"/>
        <v xml:space="preserve"> </v>
      </c>
      <c r="BQ32" s="2" t="str">
        <f t="shared" si="26"/>
        <v xml:space="preserve"> </v>
      </c>
      <c r="BR32" s="2" t="str">
        <f t="shared" si="26"/>
        <v xml:space="preserve"> </v>
      </c>
      <c r="BS32" s="2" t="str">
        <f t="shared" si="26"/>
        <v xml:space="preserve"> </v>
      </c>
      <c r="BT32" s="2" t="str">
        <f t="shared" si="26"/>
        <v xml:space="preserve"> </v>
      </c>
      <c r="BU32" s="2" t="str">
        <f t="shared" si="26"/>
        <v xml:space="preserve"> </v>
      </c>
      <c r="BV32" s="2" t="str">
        <f t="shared" si="26"/>
        <v xml:space="preserve"> </v>
      </c>
      <c r="BW32" s="2" t="str">
        <f t="shared" si="26"/>
        <v xml:space="preserve"> </v>
      </c>
      <c r="BX32" s="2" t="str">
        <f t="shared" si="26"/>
        <v xml:space="preserve"> </v>
      </c>
      <c r="BY32" s="2" t="str">
        <f t="shared" si="26"/>
        <v xml:space="preserve"> </v>
      </c>
      <c r="BZ32" s="2" t="str">
        <f t="shared" si="26"/>
        <v xml:space="preserve"> </v>
      </c>
      <c r="CA32" s="2" t="str">
        <f t="shared" si="26"/>
        <v xml:space="preserve"> </v>
      </c>
      <c r="CB32" s="2" t="str">
        <f t="shared" si="26"/>
        <v xml:space="preserve"> </v>
      </c>
      <c r="CC32" s="2" t="str">
        <f t="shared" si="26"/>
        <v xml:space="preserve"> </v>
      </c>
      <c r="CD32" s="2" t="str">
        <f t="shared" si="25"/>
        <v xml:space="preserve"> </v>
      </c>
      <c r="CE32" s="2" t="str">
        <f t="shared" si="25"/>
        <v xml:space="preserve"> </v>
      </c>
      <c r="CF32" s="2" t="str">
        <f t="shared" si="25"/>
        <v xml:space="preserve"> </v>
      </c>
      <c r="CG32" s="2" t="str">
        <f t="shared" si="25"/>
        <v xml:space="preserve"> </v>
      </c>
      <c r="CH32" s="2" t="str">
        <f t="shared" si="25"/>
        <v xml:space="preserve"> </v>
      </c>
      <c r="CI32" s="2" t="str">
        <f t="shared" si="25"/>
        <v xml:space="preserve"> </v>
      </c>
      <c r="CJ32" s="2" t="str">
        <f t="shared" si="25"/>
        <v xml:space="preserve"> </v>
      </c>
      <c r="CK32" s="2" t="str">
        <f t="shared" si="24"/>
        <v xml:space="preserve"> </v>
      </c>
      <c r="CL32" s="2" t="str">
        <f t="shared" si="24"/>
        <v>.</v>
      </c>
      <c r="CM32" s="2" t="str">
        <f t="shared" si="24"/>
        <v xml:space="preserve"> </v>
      </c>
      <c r="CN32" s="2" t="str">
        <f t="shared" si="24"/>
        <v xml:space="preserve"> </v>
      </c>
      <c r="CO32" s="2" t="str">
        <f t="shared" si="24"/>
        <v xml:space="preserve"> </v>
      </c>
      <c r="CP32" s="2" t="str">
        <f t="shared" si="24"/>
        <v xml:space="preserve"> </v>
      </c>
      <c r="CQ32" s="2" t="str">
        <f t="shared" si="24"/>
        <v xml:space="preserve"> </v>
      </c>
      <c r="CR32" s="2" t="str">
        <f t="shared" ref="BO32:CR41" si="27">IF(AND((CR$6-$P32)&gt;=0,(CR$6-$P32)&lt;=($Q32-$P32)),"."," ")</f>
        <v xml:space="preserve"> </v>
      </c>
    </row>
    <row r="33" spans="1:96">
      <c r="A33" s="21" t="str">
        <f>VLOOKUP(L33,Ubicacion!A:K,2,FALSE)</f>
        <v>LI3BR</v>
      </c>
      <c r="B33" s="21" t="str">
        <f>VLOOKUP(L33,Ubicacion!A:K,3,FALSE)</f>
        <v>LI2BC11</v>
      </c>
      <c r="C33" s="21" t="str">
        <f>VLOOKUP(L33,Ubicacion!A:K,4,FALSE)</f>
        <v>LIMA</v>
      </c>
      <c r="D33" s="21" t="str">
        <f>VLOOKUP(L33,Ubicacion!A:K,5,FALSE)</f>
        <v>LA MOLINA</v>
      </c>
      <c r="E33" s="21" t="str">
        <f>VLOOKUP(L33,Ubicacion!A:K,6,FALSE)</f>
        <v>BTS Upgrade</v>
      </c>
      <c r="F33" s="21" t="str">
        <f>VLOOKUP(L33,Ubicacion!A:K,7,FALSE)</f>
        <v>09:00 - 17:00</v>
      </c>
      <c r="G33" s="21" t="str">
        <f>VLOOKUP(L33,Ubicacion!A:K,8,FALSE)</f>
        <v>SUNDAY</v>
      </c>
      <c r="H33" s="21">
        <f>VLOOKUP(L33,Ubicacion!A:K,9,FALSE)</f>
        <v>2</v>
      </c>
      <c r="I33" s="21">
        <f>VLOOKUP(L33,Ubicacion!A:K,10,FALSE)</f>
        <v>-12.0859817780558</v>
      </c>
      <c r="J33" s="21">
        <f>VLOOKUP(L33,Ubicacion!A:K,11,FALSE)</f>
        <v>-76.902639914120201</v>
      </c>
      <c r="K33" s="21" t="str">
        <f t="shared" si="3"/>
        <v>46168Grupo 2</v>
      </c>
      <c r="L33" s="21" t="s">
        <v>85</v>
      </c>
      <c r="M33" s="21">
        <v>1</v>
      </c>
      <c r="N33" s="24" t="s">
        <v>186</v>
      </c>
      <c r="O33" s="24" t="s">
        <v>191</v>
      </c>
      <c r="P33" s="23">
        <v>46168</v>
      </c>
      <c r="Q33" s="23">
        <f t="shared" si="14"/>
        <v>46168</v>
      </c>
      <c r="R33" s="24" t="str">
        <f ca="1">IF($A$1&lt;Q33,"On-time",IF(AND(Q33&lt;=$A$1,BJ33="OK"),"OK","NO OK"))</f>
        <v>On-time</v>
      </c>
      <c r="S33" s="24" t="str">
        <f t="shared" si="4"/>
        <v>TUESDAY</v>
      </c>
      <c r="T33" s="24">
        <f>VLOOKUP(L33,Ubicacion!A:AE,13,FALSE)</f>
        <v>15</v>
      </c>
      <c r="U33" s="24">
        <f>VLOOKUP(L33,Ubicacion!A:AE,14,FALSE)</f>
        <v>23</v>
      </c>
      <c r="V33" s="24">
        <f>VLOOKUP(L33,Ubicacion!A:AE,15,FALSE)</f>
        <v>2</v>
      </c>
      <c r="W33" s="24">
        <f>VLOOKUP(L33,Ubicacion!A:AE,16,FALSE)</f>
        <v>5</v>
      </c>
      <c r="X33" s="24">
        <f>VLOOKUP(L33,Ubicacion!A:AE,17,FALSE)</f>
        <v>5</v>
      </c>
      <c r="Y33" s="24">
        <f>VLOOKUP(L33,Ubicacion!A:AE,18,FALSE)</f>
        <v>0</v>
      </c>
      <c r="Z33" s="24">
        <f>VLOOKUP(L33,Ubicacion!A:AE,19,FALSE)</f>
        <v>0</v>
      </c>
      <c r="AA33" s="24">
        <f>VLOOKUP(L33,Ubicacion!A:AE,20,FALSE)</f>
        <v>0</v>
      </c>
      <c r="AB33" s="24">
        <f>VLOOKUP(L33,Ubicacion!A:AE,21,FALSE)</f>
        <v>0</v>
      </c>
      <c r="AC33" s="24">
        <f>VLOOKUP(L33,Ubicacion!A:AE,22,FALSE)</f>
        <v>4</v>
      </c>
      <c r="AD33" s="24">
        <f>VLOOKUP(L33,Ubicacion!A:AE,23,FALSE)</f>
        <v>0</v>
      </c>
      <c r="AE33" s="24">
        <f>VLOOKUP(L33,Ubicacion!A:AE,24,FALSE)</f>
        <v>0</v>
      </c>
      <c r="AF33" s="24">
        <f>VLOOKUP(L33,Ubicacion!A:AE,25,FALSE)</f>
        <v>0</v>
      </c>
      <c r="AG33" s="24">
        <f>VLOOKUP(L33,Ubicacion!A:AE,26,FALSE)</f>
        <v>4</v>
      </c>
      <c r="AH33" s="24">
        <f>VLOOKUP(L33,Ubicacion!A:AE,27,FALSE)</f>
        <v>2</v>
      </c>
      <c r="AI33" s="24">
        <f>VLOOKUP(L33,Ubicacion!A:AE,28,FALSE)</f>
        <v>5</v>
      </c>
      <c r="AJ33" s="24">
        <f>VLOOKUP(L33,Ubicacion!A:AE,29,FALSE)</f>
        <v>3</v>
      </c>
      <c r="AK33" s="24">
        <f>VLOOKUP(L33,Ubicacion!A:AE,30,FALSE)</f>
        <v>1</v>
      </c>
      <c r="AL33" s="24">
        <f>VLOOKUP(L33,Ubicacion!A:AE,31,FALSE)</f>
        <v>1</v>
      </c>
      <c r="AM33" s="25">
        <f t="shared" si="15"/>
        <v>0.66666666666666663</v>
      </c>
      <c r="AN33" s="25">
        <f t="shared" si="16"/>
        <v>4.3478260869565216E-2</v>
      </c>
      <c r="AO33" s="25">
        <f t="shared" si="17"/>
        <v>1</v>
      </c>
      <c r="AP33" s="25">
        <f t="shared" si="18"/>
        <v>0.4</v>
      </c>
      <c r="AQ33" s="25">
        <f t="shared" si="19"/>
        <v>0.4</v>
      </c>
      <c r="AR33" s="25" t="str">
        <f t="shared" si="20"/>
        <v>100%</v>
      </c>
      <c r="AS33" s="25" t="str">
        <f t="shared" si="21"/>
        <v>100%</v>
      </c>
      <c r="AT33" s="25" t="str">
        <f t="shared" si="22"/>
        <v>100%</v>
      </c>
      <c r="AU33" s="25" t="str">
        <f t="shared" si="23"/>
        <v>100%</v>
      </c>
      <c r="AV33" s="24">
        <v>10</v>
      </c>
      <c r="AW33" s="24">
        <v>1</v>
      </c>
      <c r="AX33" s="24">
        <v>2</v>
      </c>
      <c r="AY33" s="24">
        <v>2</v>
      </c>
      <c r="AZ33" s="24">
        <v>2</v>
      </c>
      <c r="BA33" s="24">
        <v>1</v>
      </c>
      <c r="BB33" s="24">
        <v>2</v>
      </c>
      <c r="BC33" s="24">
        <v>1</v>
      </c>
      <c r="BD33" s="24">
        <v>1</v>
      </c>
      <c r="BE33" s="24" t="s">
        <v>184</v>
      </c>
      <c r="BF33" s="24" t="s">
        <v>184</v>
      </c>
      <c r="BG33" s="24" t="s">
        <v>183</v>
      </c>
      <c r="BH33" s="24" t="s">
        <v>183</v>
      </c>
      <c r="BI33" s="24" t="s">
        <v>183</v>
      </c>
      <c r="BJ33" s="24" t="s">
        <v>183</v>
      </c>
      <c r="BK33" s="24"/>
      <c r="BL33" s="24"/>
      <c r="BM33" s="57"/>
      <c r="BN33" s="2" t="str">
        <f t="shared" si="26"/>
        <v xml:space="preserve"> </v>
      </c>
      <c r="BO33" s="2" t="str">
        <f t="shared" si="27"/>
        <v xml:space="preserve"> </v>
      </c>
      <c r="BP33" s="2" t="str">
        <f t="shared" si="27"/>
        <v xml:space="preserve"> </v>
      </c>
      <c r="BQ33" s="2" t="str">
        <f t="shared" si="27"/>
        <v xml:space="preserve"> </v>
      </c>
      <c r="BR33" s="2" t="str">
        <f t="shared" si="27"/>
        <v xml:space="preserve"> </v>
      </c>
      <c r="BS33" s="2" t="str">
        <f t="shared" si="27"/>
        <v xml:space="preserve"> </v>
      </c>
      <c r="BT33" s="2" t="str">
        <f t="shared" si="27"/>
        <v xml:space="preserve"> </v>
      </c>
      <c r="BU33" s="2" t="str">
        <f t="shared" si="27"/>
        <v xml:space="preserve"> </v>
      </c>
      <c r="BV33" s="2" t="str">
        <f t="shared" si="27"/>
        <v xml:space="preserve"> </v>
      </c>
      <c r="BW33" s="2" t="str">
        <f t="shared" si="27"/>
        <v xml:space="preserve"> </v>
      </c>
      <c r="BX33" s="2" t="str">
        <f t="shared" si="27"/>
        <v xml:space="preserve"> </v>
      </c>
      <c r="BY33" s="2" t="str">
        <f t="shared" si="27"/>
        <v xml:space="preserve"> </v>
      </c>
      <c r="BZ33" s="2" t="str">
        <f t="shared" si="27"/>
        <v xml:space="preserve"> </v>
      </c>
      <c r="CA33" s="2" t="str">
        <f t="shared" si="27"/>
        <v xml:space="preserve"> </v>
      </c>
      <c r="CB33" s="2" t="str">
        <f t="shared" si="27"/>
        <v xml:space="preserve"> </v>
      </c>
      <c r="CC33" s="2" t="str">
        <f t="shared" si="27"/>
        <v xml:space="preserve"> </v>
      </c>
      <c r="CD33" s="2" t="str">
        <f t="shared" si="27"/>
        <v xml:space="preserve"> </v>
      </c>
      <c r="CE33" s="2" t="str">
        <f t="shared" si="27"/>
        <v xml:space="preserve"> </v>
      </c>
      <c r="CF33" s="2" t="str">
        <f t="shared" si="27"/>
        <v xml:space="preserve"> </v>
      </c>
      <c r="CG33" s="2" t="str">
        <f t="shared" si="27"/>
        <v xml:space="preserve"> </v>
      </c>
      <c r="CH33" s="2" t="str">
        <f t="shared" si="27"/>
        <v xml:space="preserve"> </v>
      </c>
      <c r="CI33" s="2" t="str">
        <f t="shared" si="27"/>
        <v xml:space="preserve"> </v>
      </c>
      <c r="CJ33" s="2" t="str">
        <f t="shared" si="27"/>
        <v xml:space="preserve"> </v>
      </c>
      <c r="CK33" s="2" t="str">
        <f t="shared" si="27"/>
        <v xml:space="preserve"> </v>
      </c>
      <c r="CL33" s="2" t="str">
        <f t="shared" si="27"/>
        <v xml:space="preserve"> </v>
      </c>
      <c r="CM33" s="2" t="str">
        <f t="shared" si="27"/>
        <v>.</v>
      </c>
      <c r="CN33" s="2" t="str">
        <f t="shared" si="27"/>
        <v xml:space="preserve"> </v>
      </c>
      <c r="CO33" s="2" t="str">
        <f t="shared" si="27"/>
        <v xml:space="preserve"> </v>
      </c>
      <c r="CP33" s="2" t="str">
        <f t="shared" si="27"/>
        <v xml:space="preserve"> </v>
      </c>
      <c r="CQ33" s="2" t="str">
        <f t="shared" si="27"/>
        <v xml:space="preserve"> </v>
      </c>
      <c r="CR33" s="2" t="str">
        <f t="shared" si="27"/>
        <v xml:space="preserve"> </v>
      </c>
    </row>
    <row r="34" spans="1:96">
      <c r="A34" s="21" t="str">
        <f>VLOOKUP(L34,Ubicacion!A:K,2,FALSE)</f>
        <v>LI3BR</v>
      </c>
      <c r="B34" s="21" t="str">
        <f>VLOOKUP(L34,Ubicacion!A:K,3,FALSE)</f>
        <v>LI2BC11</v>
      </c>
      <c r="C34" s="21" t="str">
        <f>VLOOKUP(L34,Ubicacion!A:K,4,FALSE)</f>
        <v>LIMA</v>
      </c>
      <c r="D34" s="21" t="str">
        <f>VLOOKUP(L34,Ubicacion!A:K,5,FALSE)</f>
        <v>LA MOLINA</v>
      </c>
      <c r="E34" s="21" t="str">
        <f>VLOOKUP(L34,Ubicacion!A:K,6,FALSE)</f>
        <v>BTS Upgrade</v>
      </c>
      <c r="F34" s="21" t="str">
        <f>VLOOKUP(L34,Ubicacion!A:K,7,FALSE)</f>
        <v>7:00 - 19:00</v>
      </c>
      <c r="G34" s="21" t="str">
        <f>VLOOKUP(L34,Ubicacion!A:K,8,FALSE)</f>
        <v>MONDAY</v>
      </c>
      <c r="H34" s="21">
        <f>VLOOKUP(L34,Ubicacion!A:K,9,FALSE)</f>
        <v>2</v>
      </c>
      <c r="I34" s="21">
        <f>VLOOKUP(L34,Ubicacion!A:K,10,FALSE)</f>
        <v>-12.085987771847</v>
      </c>
      <c r="J34" s="21">
        <f>VLOOKUP(L34,Ubicacion!A:K,11,FALSE)</f>
        <v>-76.908233407497306</v>
      </c>
      <c r="K34" s="21" t="str">
        <f t="shared" si="3"/>
        <v>46169Grupo 2</v>
      </c>
      <c r="L34" s="21" t="s">
        <v>86</v>
      </c>
      <c r="M34" s="21">
        <v>1</v>
      </c>
      <c r="N34" s="24" t="s">
        <v>188</v>
      </c>
      <c r="O34" s="24" t="s">
        <v>191</v>
      </c>
      <c r="P34" s="23">
        <v>46169</v>
      </c>
      <c r="Q34" s="23">
        <f t="shared" si="14"/>
        <v>46169</v>
      </c>
      <c r="R34" s="24" t="str">
        <f ca="1">IF($A$1&lt;Q34,"On-time",IF(AND(Q34&lt;=$A$1,BJ34="OK"),"OK","NO OK"))</f>
        <v>On-time</v>
      </c>
      <c r="S34" s="24" t="str">
        <f t="shared" si="4"/>
        <v>WEDNESDAY</v>
      </c>
      <c r="T34" s="24">
        <f>VLOOKUP(L34,Ubicacion!A:AE,13,FALSE)</f>
        <v>15</v>
      </c>
      <c r="U34" s="24">
        <f>VLOOKUP(L34,Ubicacion!A:AE,14,FALSE)</f>
        <v>23</v>
      </c>
      <c r="V34" s="24">
        <f>VLOOKUP(L34,Ubicacion!A:AE,15,FALSE)</f>
        <v>2</v>
      </c>
      <c r="W34" s="24">
        <f>VLOOKUP(L34,Ubicacion!A:AE,16,FALSE)</f>
        <v>5</v>
      </c>
      <c r="X34" s="24">
        <f>VLOOKUP(L34,Ubicacion!A:AE,17,FALSE)</f>
        <v>5</v>
      </c>
      <c r="Y34" s="24">
        <f>VLOOKUP(L34,Ubicacion!A:AE,18,FALSE)</f>
        <v>0</v>
      </c>
      <c r="Z34" s="24">
        <f>VLOOKUP(L34,Ubicacion!A:AE,19,FALSE)</f>
        <v>0</v>
      </c>
      <c r="AA34" s="24">
        <f>VLOOKUP(L34,Ubicacion!A:AE,20,FALSE)</f>
        <v>0</v>
      </c>
      <c r="AB34" s="24">
        <f>VLOOKUP(L34,Ubicacion!A:AE,21,FALSE)</f>
        <v>0</v>
      </c>
      <c r="AC34" s="24">
        <f>VLOOKUP(L34,Ubicacion!A:AE,22,FALSE)</f>
        <v>4</v>
      </c>
      <c r="AD34" s="24">
        <f>VLOOKUP(L34,Ubicacion!A:AE,23,FALSE)</f>
        <v>0</v>
      </c>
      <c r="AE34" s="24">
        <f>VLOOKUP(L34,Ubicacion!A:AE,24,FALSE)</f>
        <v>0</v>
      </c>
      <c r="AF34" s="24">
        <f>VLOOKUP(L34,Ubicacion!A:AE,25,FALSE)</f>
        <v>0</v>
      </c>
      <c r="AG34" s="24">
        <f>VLOOKUP(L34,Ubicacion!A:AE,26,FALSE)</f>
        <v>4</v>
      </c>
      <c r="AH34" s="24">
        <f>VLOOKUP(L34,Ubicacion!A:AE,27,FALSE)</f>
        <v>2</v>
      </c>
      <c r="AI34" s="24">
        <f>VLOOKUP(L34,Ubicacion!A:AE,28,FALSE)</f>
        <v>5</v>
      </c>
      <c r="AJ34" s="24">
        <f>VLOOKUP(L34,Ubicacion!A:AE,29,FALSE)</f>
        <v>3</v>
      </c>
      <c r="AK34" s="24">
        <f>VLOOKUP(L34,Ubicacion!A:AE,30,FALSE)</f>
        <v>1</v>
      </c>
      <c r="AL34" s="24">
        <f>VLOOKUP(L34,Ubicacion!A:AE,31,FALSE)</f>
        <v>1</v>
      </c>
      <c r="AM34" s="25">
        <f t="shared" si="15"/>
        <v>0.66666666666666663</v>
      </c>
      <c r="AN34" s="25">
        <f t="shared" si="16"/>
        <v>4.3478260869565216E-2</v>
      </c>
      <c r="AO34" s="25">
        <f t="shared" si="17"/>
        <v>1</v>
      </c>
      <c r="AP34" s="25">
        <f t="shared" si="18"/>
        <v>0.4</v>
      </c>
      <c r="AQ34" s="25">
        <f t="shared" si="19"/>
        <v>0.4</v>
      </c>
      <c r="AR34" s="25" t="str">
        <f t="shared" si="20"/>
        <v>100%</v>
      </c>
      <c r="AS34" s="25" t="str">
        <f t="shared" si="21"/>
        <v>100%</v>
      </c>
      <c r="AT34" s="25" t="str">
        <f t="shared" si="22"/>
        <v>100%</v>
      </c>
      <c r="AU34" s="25" t="str">
        <f t="shared" si="23"/>
        <v>100%</v>
      </c>
      <c r="AV34" s="24">
        <v>10</v>
      </c>
      <c r="AW34" s="24">
        <v>1</v>
      </c>
      <c r="AX34" s="24">
        <v>2</v>
      </c>
      <c r="AY34" s="24">
        <v>2</v>
      </c>
      <c r="AZ34" s="24">
        <v>2</v>
      </c>
      <c r="BA34" s="24">
        <v>1</v>
      </c>
      <c r="BB34" s="24">
        <v>2</v>
      </c>
      <c r="BC34" s="24">
        <v>1</v>
      </c>
      <c r="BD34" s="24">
        <v>1</v>
      </c>
      <c r="BE34" s="24" t="s">
        <v>184</v>
      </c>
      <c r="BF34" s="24" t="s">
        <v>184</v>
      </c>
      <c r="BG34" s="24" t="s">
        <v>183</v>
      </c>
      <c r="BH34" s="24" t="s">
        <v>183</v>
      </c>
      <c r="BI34" s="24" t="s">
        <v>183</v>
      </c>
      <c r="BJ34" s="24" t="s">
        <v>183</v>
      </c>
      <c r="BK34" s="24"/>
      <c r="BL34" s="24"/>
      <c r="BM34" s="57"/>
      <c r="BN34" s="2" t="str">
        <f t="shared" si="26"/>
        <v xml:space="preserve"> </v>
      </c>
      <c r="BO34" s="2" t="str">
        <f t="shared" si="27"/>
        <v xml:space="preserve"> </v>
      </c>
      <c r="BP34" s="2" t="str">
        <f t="shared" si="27"/>
        <v xml:space="preserve"> </v>
      </c>
      <c r="BQ34" s="2" t="str">
        <f t="shared" si="27"/>
        <v xml:space="preserve"> </v>
      </c>
      <c r="BR34" s="2" t="str">
        <f t="shared" si="27"/>
        <v xml:space="preserve"> </v>
      </c>
      <c r="BS34" s="2" t="str">
        <f t="shared" si="27"/>
        <v xml:space="preserve"> </v>
      </c>
      <c r="BT34" s="2" t="str">
        <f t="shared" si="27"/>
        <v xml:space="preserve"> </v>
      </c>
      <c r="BU34" s="2" t="str">
        <f t="shared" si="27"/>
        <v xml:space="preserve"> </v>
      </c>
      <c r="BV34" s="2" t="str">
        <f t="shared" si="27"/>
        <v xml:space="preserve"> </v>
      </c>
      <c r="BW34" s="2" t="str">
        <f t="shared" si="27"/>
        <v xml:space="preserve"> </v>
      </c>
      <c r="BX34" s="2" t="str">
        <f t="shared" si="27"/>
        <v xml:space="preserve"> </v>
      </c>
      <c r="BY34" s="2" t="str">
        <f t="shared" si="27"/>
        <v xml:space="preserve"> </v>
      </c>
      <c r="BZ34" s="2" t="str">
        <f t="shared" si="27"/>
        <v xml:space="preserve"> </v>
      </c>
      <c r="CA34" s="2" t="str">
        <f t="shared" si="27"/>
        <v xml:space="preserve"> </v>
      </c>
      <c r="CB34" s="2" t="str">
        <f t="shared" si="27"/>
        <v xml:space="preserve"> </v>
      </c>
      <c r="CC34" s="2" t="str">
        <f t="shared" si="27"/>
        <v xml:space="preserve"> </v>
      </c>
      <c r="CD34" s="2" t="str">
        <f t="shared" si="27"/>
        <v xml:space="preserve"> </v>
      </c>
      <c r="CE34" s="2" t="str">
        <f t="shared" si="27"/>
        <v xml:space="preserve"> </v>
      </c>
      <c r="CF34" s="2" t="str">
        <f t="shared" si="27"/>
        <v xml:space="preserve"> </v>
      </c>
      <c r="CG34" s="2" t="str">
        <f t="shared" si="27"/>
        <v xml:space="preserve"> </v>
      </c>
      <c r="CH34" s="2" t="str">
        <f t="shared" si="27"/>
        <v xml:space="preserve"> </v>
      </c>
      <c r="CI34" s="2" t="str">
        <f t="shared" si="27"/>
        <v xml:space="preserve"> </v>
      </c>
      <c r="CJ34" s="2" t="str">
        <f t="shared" si="27"/>
        <v xml:space="preserve"> </v>
      </c>
      <c r="CK34" s="2" t="str">
        <f t="shared" si="27"/>
        <v xml:space="preserve"> </v>
      </c>
      <c r="CL34" s="2" t="str">
        <f t="shared" si="27"/>
        <v xml:space="preserve"> </v>
      </c>
      <c r="CM34" s="2" t="str">
        <f t="shared" si="27"/>
        <v xml:space="preserve"> </v>
      </c>
      <c r="CN34" s="2" t="str">
        <f t="shared" si="27"/>
        <v>.</v>
      </c>
      <c r="CO34" s="2" t="str">
        <f t="shared" si="27"/>
        <v xml:space="preserve"> </v>
      </c>
      <c r="CP34" s="2" t="str">
        <f t="shared" si="27"/>
        <v xml:space="preserve"> </v>
      </c>
      <c r="CQ34" s="2" t="str">
        <f t="shared" si="27"/>
        <v xml:space="preserve"> </v>
      </c>
      <c r="CR34" s="2" t="str">
        <f t="shared" si="27"/>
        <v xml:space="preserve"> </v>
      </c>
    </row>
    <row r="35" spans="1:96">
      <c r="A35" s="21" t="str">
        <f>VLOOKUP(L35,Ubicacion!A:K,2,FALSE)</f>
        <v>LI3BR</v>
      </c>
      <c r="B35" s="21" t="str">
        <f>VLOOKUP(L35,Ubicacion!A:K,3,FALSE)</f>
        <v>LI2BC11</v>
      </c>
      <c r="C35" s="21" t="str">
        <f>VLOOKUP(L35,Ubicacion!A:K,4,FALSE)</f>
        <v>LIMA</v>
      </c>
      <c r="D35" s="21" t="str">
        <f>VLOOKUP(L35,Ubicacion!A:K,5,FALSE)</f>
        <v>LA MOLINA</v>
      </c>
      <c r="E35" s="21" t="str">
        <f>VLOOKUP(L35,Ubicacion!A:K,6,FALSE)</f>
        <v>Zone 5%</v>
      </c>
      <c r="F35" s="21" t="str">
        <f>VLOOKUP(L35,Ubicacion!A:K,7,FALSE)</f>
        <v>09:00 - 17:00</v>
      </c>
      <c r="G35" s="21" t="str">
        <f>VLOOKUP(L35,Ubicacion!A:K,8,FALSE)</f>
        <v>TUESDAY</v>
      </c>
      <c r="H35" s="21">
        <f>VLOOKUP(L35,Ubicacion!A:K,9,FALSE)</f>
        <v>2</v>
      </c>
      <c r="I35" s="21">
        <f>VLOOKUP(L35,Ubicacion!A:K,10,FALSE)</f>
        <v>-12.0630259419786</v>
      </c>
      <c r="J35" s="21">
        <f>VLOOKUP(L35,Ubicacion!A:K,11,FALSE)</f>
        <v>-76.946035921040703</v>
      </c>
      <c r="K35" s="21" t="str">
        <f t="shared" si="3"/>
        <v>46170Grupo 2</v>
      </c>
      <c r="L35" s="21" t="s">
        <v>87</v>
      </c>
      <c r="M35" s="21">
        <v>1</v>
      </c>
      <c r="N35" s="24" t="s">
        <v>189</v>
      </c>
      <c r="O35" s="24" t="s">
        <v>191</v>
      </c>
      <c r="P35" s="23">
        <v>46170</v>
      </c>
      <c r="Q35" s="23">
        <f t="shared" si="14"/>
        <v>46170</v>
      </c>
      <c r="R35" s="24" t="str">
        <f ca="1">IF($A$1&lt;Q35,"On-time",IF(AND(Q35&lt;=$A$1,BJ35="OK"),"OK","NO OK"))</f>
        <v>On-time</v>
      </c>
      <c r="S35" s="24" t="str">
        <f t="shared" si="4"/>
        <v>THURSDAY</v>
      </c>
      <c r="T35" s="24">
        <f>VLOOKUP(L35,Ubicacion!A:AE,13,FALSE)</f>
        <v>15</v>
      </c>
      <c r="U35" s="24">
        <f>VLOOKUP(L35,Ubicacion!A:AE,14,FALSE)</f>
        <v>25</v>
      </c>
      <c r="V35" s="24">
        <f>VLOOKUP(L35,Ubicacion!A:AE,15,FALSE)</f>
        <v>0</v>
      </c>
      <c r="W35" s="24">
        <f>VLOOKUP(L35,Ubicacion!A:AE,16,FALSE)</f>
        <v>5</v>
      </c>
      <c r="X35" s="24">
        <f>VLOOKUP(L35,Ubicacion!A:AE,17,FALSE)</f>
        <v>5</v>
      </c>
      <c r="Y35" s="24">
        <f>VLOOKUP(L35,Ubicacion!A:AE,18,FALSE)</f>
        <v>0</v>
      </c>
      <c r="Z35" s="24">
        <f>VLOOKUP(L35,Ubicacion!A:AE,19,FALSE)</f>
        <v>15</v>
      </c>
      <c r="AA35" s="24">
        <f>VLOOKUP(L35,Ubicacion!A:AE,20,FALSE)</f>
        <v>25</v>
      </c>
      <c r="AB35" s="24">
        <f>VLOOKUP(L35,Ubicacion!A:AE,21,FALSE)</f>
        <v>0</v>
      </c>
      <c r="AC35" s="24">
        <f>VLOOKUP(L35,Ubicacion!A:AE,22,FALSE)</f>
        <v>2</v>
      </c>
      <c r="AD35" s="24">
        <f>VLOOKUP(L35,Ubicacion!A:AE,23,FALSE)</f>
        <v>0</v>
      </c>
      <c r="AE35" s="24">
        <f>VLOOKUP(L35,Ubicacion!A:AE,24,FALSE)</f>
        <v>0</v>
      </c>
      <c r="AF35" s="24">
        <f>VLOOKUP(L35,Ubicacion!A:AE,25,FALSE)</f>
        <v>0</v>
      </c>
      <c r="AG35" s="24">
        <f>VLOOKUP(L35,Ubicacion!A:AE,26,FALSE)</f>
        <v>2</v>
      </c>
      <c r="AH35" s="24">
        <f>VLOOKUP(L35,Ubicacion!A:AE,27,FALSE)</f>
        <v>2</v>
      </c>
      <c r="AI35" s="24">
        <f>VLOOKUP(L35,Ubicacion!A:AE,28,FALSE)</f>
        <v>5</v>
      </c>
      <c r="AJ35" s="24">
        <f>VLOOKUP(L35,Ubicacion!A:AE,29,FALSE)</f>
        <v>3</v>
      </c>
      <c r="AK35" s="24">
        <f>VLOOKUP(L35,Ubicacion!A:AE,30,FALSE)</f>
        <v>1</v>
      </c>
      <c r="AL35" s="24">
        <f>VLOOKUP(L35,Ubicacion!A:AE,31,FALSE)</f>
        <v>1</v>
      </c>
      <c r="AM35" s="25">
        <f t="shared" si="15"/>
        <v>0.66666666666666663</v>
      </c>
      <c r="AN35" s="25">
        <f t="shared" si="16"/>
        <v>0.04</v>
      </c>
      <c r="AO35" s="25" t="str">
        <f t="shared" si="17"/>
        <v>100%</v>
      </c>
      <c r="AP35" s="25">
        <f t="shared" si="18"/>
        <v>0.4</v>
      </c>
      <c r="AQ35" s="25">
        <f t="shared" si="19"/>
        <v>0.4</v>
      </c>
      <c r="AR35" s="25" t="str">
        <f t="shared" si="20"/>
        <v>100%</v>
      </c>
      <c r="AS35" s="25">
        <f t="shared" si="21"/>
        <v>0.13333333333333333</v>
      </c>
      <c r="AT35" s="25">
        <f t="shared" si="22"/>
        <v>0.04</v>
      </c>
      <c r="AU35" s="25" t="str">
        <f t="shared" si="23"/>
        <v>100%</v>
      </c>
      <c r="AV35" s="24">
        <v>10</v>
      </c>
      <c r="AW35" s="24">
        <v>1</v>
      </c>
      <c r="AX35" s="24">
        <v>2</v>
      </c>
      <c r="AY35" s="24">
        <v>2</v>
      </c>
      <c r="AZ35" s="24">
        <v>2</v>
      </c>
      <c r="BA35" s="24">
        <v>1</v>
      </c>
      <c r="BB35" s="24">
        <v>2</v>
      </c>
      <c r="BC35" s="24">
        <v>1</v>
      </c>
      <c r="BD35" s="24">
        <v>1</v>
      </c>
      <c r="BE35" s="24" t="s">
        <v>184</v>
      </c>
      <c r="BF35" s="24" t="s">
        <v>184</v>
      </c>
      <c r="BG35" s="24" t="s">
        <v>183</v>
      </c>
      <c r="BH35" s="24" t="s">
        <v>183</v>
      </c>
      <c r="BI35" s="24" t="s">
        <v>183</v>
      </c>
      <c r="BJ35" s="24" t="s">
        <v>183</v>
      </c>
      <c r="BK35" s="24"/>
      <c r="BL35" s="24"/>
      <c r="BM35" s="57"/>
      <c r="BN35" s="2" t="str">
        <f t="shared" si="26"/>
        <v xml:space="preserve"> </v>
      </c>
      <c r="BO35" s="2" t="str">
        <f t="shared" si="27"/>
        <v xml:space="preserve"> </v>
      </c>
      <c r="BP35" s="2" t="str">
        <f t="shared" si="27"/>
        <v xml:space="preserve"> </v>
      </c>
      <c r="BQ35" s="2" t="str">
        <f t="shared" si="27"/>
        <v xml:space="preserve"> </v>
      </c>
      <c r="BR35" s="2" t="str">
        <f t="shared" si="27"/>
        <v xml:space="preserve"> </v>
      </c>
      <c r="BS35" s="2" t="str">
        <f t="shared" si="27"/>
        <v xml:space="preserve"> </v>
      </c>
      <c r="BT35" s="2" t="str">
        <f t="shared" si="27"/>
        <v xml:space="preserve"> </v>
      </c>
      <c r="BU35" s="2" t="str">
        <f t="shared" si="27"/>
        <v xml:space="preserve"> </v>
      </c>
      <c r="BV35" s="2" t="str">
        <f t="shared" si="27"/>
        <v xml:space="preserve"> </v>
      </c>
      <c r="BW35" s="2" t="str">
        <f t="shared" si="27"/>
        <v xml:space="preserve"> </v>
      </c>
      <c r="BX35" s="2" t="str">
        <f t="shared" si="27"/>
        <v xml:space="preserve"> </v>
      </c>
      <c r="BY35" s="2" t="str">
        <f t="shared" si="27"/>
        <v xml:space="preserve"> </v>
      </c>
      <c r="BZ35" s="2" t="str">
        <f t="shared" si="27"/>
        <v xml:space="preserve"> </v>
      </c>
      <c r="CA35" s="2" t="str">
        <f t="shared" si="27"/>
        <v xml:space="preserve"> </v>
      </c>
      <c r="CB35" s="2" t="str">
        <f t="shared" si="27"/>
        <v xml:space="preserve"> </v>
      </c>
      <c r="CC35" s="2" t="str">
        <f t="shared" si="27"/>
        <v xml:space="preserve"> </v>
      </c>
      <c r="CD35" s="2" t="str">
        <f t="shared" si="27"/>
        <v xml:space="preserve"> </v>
      </c>
      <c r="CE35" s="2" t="str">
        <f t="shared" si="27"/>
        <v xml:space="preserve"> </v>
      </c>
      <c r="CF35" s="2" t="str">
        <f t="shared" si="27"/>
        <v xml:space="preserve"> </v>
      </c>
      <c r="CG35" s="2" t="str">
        <f t="shared" si="27"/>
        <v xml:space="preserve"> </v>
      </c>
      <c r="CH35" s="2" t="str">
        <f t="shared" si="27"/>
        <v xml:space="preserve"> </v>
      </c>
      <c r="CI35" s="2" t="str">
        <f t="shared" si="27"/>
        <v xml:space="preserve"> </v>
      </c>
      <c r="CJ35" s="2" t="str">
        <f t="shared" si="27"/>
        <v xml:space="preserve"> </v>
      </c>
      <c r="CK35" s="2" t="str">
        <f t="shared" si="27"/>
        <v xml:space="preserve"> </v>
      </c>
      <c r="CL35" s="2" t="str">
        <f t="shared" si="27"/>
        <v xml:space="preserve"> </v>
      </c>
      <c r="CM35" s="2" t="str">
        <f t="shared" si="27"/>
        <v xml:space="preserve"> </v>
      </c>
      <c r="CN35" s="2" t="str">
        <f t="shared" si="27"/>
        <v xml:space="preserve"> </v>
      </c>
      <c r="CO35" s="2" t="str">
        <f t="shared" si="27"/>
        <v>.</v>
      </c>
      <c r="CP35" s="2" t="str">
        <f t="shared" si="27"/>
        <v xml:space="preserve"> </v>
      </c>
      <c r="CQ35" s="2" t="str">
        <f t="shared" si="27"/>
        <v xml:space="preserve"> </v>
      </c>
      <c r="CR35" s="2" t="str">
        <f t="shared" si="27"/>
        <v xml:space="preserve"> </v>
      </c>
    </row>
    <row r="36" spans="1:96">
      <c r="A36" s="21" t="str">
        <f>VLOOKUP(L36,Ubicacion!A:K,2,FALSE)</f>
        <v>LI3BR</v>
      </c>
      <c r="B36" s="21" t="str">
        <f>VLOOKUP(L36,Ubicacion!A:K,3,FALSE)</f>
        <v>LI3BC08</v>
      </c>
      <c r="C36" s="21" t="str">
        <f>VLOOKUP(L36,Ubicacion!A:K,4,FALSE)</f>
        <v>LIMA</v>
      </c>
      <c r="D36" s="21" t="str">
        <f>VLOOKUP(L36,Ubicacion!A:K,5,FALSE)</f>
        <v>MIRAFLORES</v>
      </c>
      <c r="E36" s="21" t="str">
        <f>VLOOKUP(L36,Ubicacion!A:K,6,FALSE)</f>
        <v>Zone 5%</v>
      </c>
      <c r="F36" s="21" t="str">
        <f>VLOOKUP(L36,Ubicacion!A:K,7,FALSE)</f>
        <v>09:00 - 18:00</v>
      </c>
      <c r="G36" s="21" t="str">
        <f>VLOOKUP(L36,Ubicacion!A:K,8,FALSE)</f>
        <v>WEDNESDAY</v>
      </c>
      <c r="H36" s="21">
        <f>VLOOKUP(L36,Ubicacion!A:K,9,FALSE)</f>
        <v>2</v>
      </c>
      <c r="I36" s="21">
        <f>VLOOKUP(L36,Ubicacion!A:K,10,FALSE)</f>
        <v>-12.1106329881784</v>
      </c>
      <c r="J36" s="21">
        <f>VLOOKUP(L36,Ubicacion!A:K,11,FALSE)</f>
        <v>-77.049578251003297</v>
      </c>
      <c r="K36" s="21" t="str">
        <f t="shared" si="3"/>
        <v>46171Grupo 2</v>
      </c>
      <c r="L36" s="21" t="s">
        <v>88</v>
      </c>
      <c r="M36" s="21">
        <v>1</v>
      </c>
      <c r="N36" s="24" t="s">
        <v>190</v>
      </c>
      <c r="O36" s="24" t="s">
        <v>191</v>
      </c>
      <c r="P36" s="23">
        <v>46171</v>
      </c>
      <c r="Q36" s="23">
        <f t="shared" si="14"/>
        <v>46171</v>
      </c>
      <c r="R36" s="24" t="str">
        <f ca="1">IF($A$1&lt;Q36,"On-time",IF(AND(Q36&lt;=$A$1,BJ36="OK"),"OK","NO OK"))</f>
        <v>On-time</v>
      </c>
      <c r="S36" s="24" t="str">
        <f t="shared" si="4"/>
        <v>FRIDAY</v>
      </c>
      <c r="T36" s="24">
        <f>VLOOKUP(L36,Ubicacion!A:AE,13,FALSE)</f>
        <v>15</v>
      </c>
      <c r="U36" s="24">
        <f>VLOOKUP(L36,Ubicacion!A:AE,14,FALSE)</f>
        <v>25</v>
      </c>
      <c r="V36" s="24">
        <f>VLOOKUP(L36,Ubicacion!A:AE,15,FALSE)</f>
        <v>0</v>
      </c>
      <c r="W36" s="24">
        <f>VLOOKUP(L36,Ubicacion!A:AE,16,FALSE)</f>
        <v>5</v>
      </c>
      <c r="X36" s="24">
        <f>VLOOKUP(L36,Ubicacion!A:AE,17,FALSE)</f>
        <v>5</v>
      </c>
      <c r="Y36" s="24">
        <f>VLOOKUP(L36,Ubicacion!A:AE,18,FALSE)</f>
        <v>0</v>
      </c>
      <c r="Z36" s="24">
        <f>VLOOKUP(L36,Ubicacion!A:AE,19,FALSE)</f>
        <v>15</v>
      </c>
      <c r="AA36" s="24">
        <f>VLOOKUP(L36,Ubicacion!A:AE,20,FALSE)</f>
        <v>25</v>
      </c>
      <c r="AB36" s="24">
        <f>VLOOKUP(L36,Ubicacion!A:AE,21,FALSE)</f>
        <v>0</v>
      </c>
      <c r="AC36" s="24">
        <f>VLOOKUP(L36,Ubicacion!A:AE,22,FALSE)</f>
        <v>2</v>
      </c>
      <c r="AD36" s="24">
        <f>VLOOKUP(L36,Ubicacion!A:AE,23,FALSE)</f>
        <v>0</v>
      </c>
      <c r="AE36" s="24">
        <f>VLOOKUP(L36,Ubicacion!A:AE,24,FALSE)</f>
        <v>0</v>
      </c>
      <c r="AF36" s="24">
        <f>VLOOKUP(L36,Ubicacion!A:AE,25,FALSE)</f>
        <v>0</v>
      </c>
      <c r="AG36" s="24">
        <f>VLOOKUP(L36,Ubicacion!A:AE,26,FALSE)</f>
        <v>2</v>
      </c>
      <c r="AH36" s="24">
        <f>VLOOKUP(L36,Ubicacion!A:AE,27,FALSE)</f>
        <v>2</v>
      </c>
      <c r="AI36" s="24">
        <f>VLOOKUP(L36,Ubicacion!A:AE,28,FALSE)</f>
        <v>5</v>
      </c>
      <c r="AJ36" s="24">
        <f>VLOOKUP(L36,Ubicacion!A:AE,29,FALSE)</f>
        <v>3</v>
      </c>
      <c r="AK36" s="24">
        <f>VLOOKUP(L36,Ubicacion!A:AE,30,FALSE)</f>
        <v>1</v>
      </c>
      <c r="AL36" s="24">
        <f>VLOOKUP(L36,Ubicacion!A:AE,31,FALSE)</f>
        <v>1</v>
      </c>
      <c r="AM36" s="25">
        <f t="shared" si="15"/>
        <v>0.66666666666666663</v>
      </c>
      <c r="AN36" s="25">
        <f t="shared" si="16"/>
        <v>0.04</v>
      </c>
      <c r="AO36" s="25" t="str">
        <f t="shared" si="17"/>
        <v>100%</v>
      </c>
      <c r="AP36" s="25">
        <f t="shared" si="18"/>
        <v>0.4</v>
      </c>
      <c r="AQ36" s="25">
        <f t="shared" si="19"/>
        <v>0.4</v>
      </c>
      <c r="AR36" s="25" t="str">
        <f t="shared" si="20"/>
        <v>100%</v>
      </c>
      <c r="AS36" s="25">
        <f t="shared" si="21"/>
        <v>0.13333333333333333</v>
      </c>
      <c r="AT36" s="25">
        <f t="shared" si="22"/>
        <v>0.04</v>
      </c>
      <c r="AU36" s="25" t="str">
        <f t="shared" si="23"/>
        <v>100%</v>
      </c>
      <c r="AV36" s="24">
        <v>10</v>
      </c>
      <c r="AW36" s="24">
        <v>1</v>
      </c>
      <c r="AX36" s="24">
        <v>2</v>
      </c>
      <c r="AY36" s="24">
        <v>2</v>
      </c>
      <c r="AZ36" s="24">
        <v>2</v>
      </c>
      <c r="BA36" s="24">
        <v>1</v>
      </c>
      <c r="BB36" s="24">
        <v>2</v>
      </c>
      <c r="BC36" s="24">
        <v>1</v>
      </c>
      <c r="BD36" s="24">
        <v>1</v>
      </c>
      <c r="BE36" s="24" t="s">
        <v>184</v>
      </c>
      <c r="BF36" s="24" t="s">
        <v>184</v>
      </c>
      <c r="BG36" s="24" t="s">
        <v>183</v>
      </c>
      <c r="BH36" s="24" t="s">
        <v>183</v>
      </c>
      <c r="BI36" s="24" t="s">
        <v>183</v>
      </c>
      <c r="BJ36" s="24" t="s">
        <v>183</v>
      </c>
      <c r="BK36" s="24"/>
      <c r="BL36" s="24"/>
      <c r="BM36" s="57"/>
      <c r="BN36" s="2" t="str">
        <f t="shared" si="26"/>
        <v xml:space="preserve"> </v>
      </c>
      <c r="BO36" s="2" t="str">
        <f t="shared" si="27"/>
        <v xml:space="preserve"> </v>
      </c>
      <c r="BP36" s="2" t="str">
        <f t="shared" si="27"/>
        <v xml:space="preserve"> </v>
      </c>
      <c r="BQ36" s="2" t="str">
        <f t="shared" si="27"/>
        <v xml:space="preserve"> </v>
      </c>
      <c r="BR36" s="2" t="str">
        <f t="shared" si="27"/>
        <v xml:space="preserve"> </v>
      </c>
      <c r="BS36" s="2" t="str">
        <f t="shared" si="27"/>
        <v xml:space="preserve"> </v>
      </c>
      <c r="BT36" s="2" t="str">
        <f t="shared" si="27"/>
        <v xml:space="preserve"> </v>
      </c>
      <c r="BU36" s="2" t="str">
        <f t="shared" si="27"/>
        <v xml:space="preserve"> </v>
      </c>
      <c r="BV36" s="2" t="str">
        <f t="shared" si="27"/>
        <v xml:space="preserve"> </v>
      </c>
      <c r="BW36" s="2" t="str">
        <f t="shared" si="27"/>
        <v xml:space="preserve"> </v>
      </c>
      <c r="BX36" s="2" t="str">
        <f t="shared" si="27"/>
        <v xml:space="preserve"> </v>
      </c>
      <c r="BY36" s="2" t="str">
        <f t="shared" si="27"/>
        <v xml:space="preserve"> </v>
      </c>
      <c r="BZ36" s="2" t="str">
        <f t="shared" si="27"/>
        <v xml:space="preserve"> </v>
      </c>
      <c r="CA36" s="2" t="str">
        <f t="shared" si="27"/>
        <v xml:space="preserve"> </v>
      </c>
      <c r="CB36" s="2" t="str">
        <f t="shared" si="27"/>
        <v xml:space="preserve"> </v>
      </c>
      <c r="CC36" s="2" t="str">
        <f t="shared" si="27"/>
        <v xml:space="preserve"> </v>
      </c>
      <c r="CD36" s="2" t="str">
        <f t="shared" si="27"/>
        <v xml:space="preserve"> </v>
      </c>
      <c r="CE36" s="2" t="str">
        <f t="shared" si="27"/>
        <v xml:space="preserve"> </v>
      </c>
      <c r="CF36" s="2" t="str">
        <f t="shared" si="27"/>
        <v xml:space="preserve"> </v>
      </c>
      <c r="CG36" s="2" t="str">
        <f t="shared" si="27"/>
        <v xml:space="preserve"> </v>
      </c>
      <c r="CH36" s="2" t="str">
        <f t="shared" si="27"/>
        <v xml:space="preserve"> </v>
      </c>
      <c r="CI36" s="2" t="str">
        <f t="shared" si="27"/>
        <v xml:space="preserve"> </v>
      </c>
      <c r="CJ36" s="2" t="str">
        <f t="shared" si="27"/>
        <v xml:space="preserve"> </v>
      </c>
      <c r="CK36" s="2" t="str">
        <f t="shared" si="27"/>
        <v xml:space="preserve"> </v>
      </c>
      <c r="CL36" s="2" t="str">
        <f t="shared" si="27"/>
        <v xml:space="preserve"> </v>
      </c>
      <c r="CM36" s="2" t="str">
        <f t="shared" si="27"/>
        <v xml:space="preserve"> </v>
      </c>
      <c r="CN36" s="2" t="str">
        <f t="shared" si="27"/>
        <v xml:space="preserve"> </v>
      </c>
      <c r="CO36" s="2" t="str">
        <f t="shared" si="27"/>
        <v xml:space="preserve"> </v>
      </c>
      <c r="CP36" s="2" t="str">
        <f t="shared" si="27"/>
        <v>.</v>
      </c>
      <c r="CQ36" s="2" t="str">
        <f t="shared" si="27"/>
        <v xml:space="preserve"> </v>
      </c>
      <c r="CR36" s="2" t="str">
        <f t="shared" si="27"/>
        <v xml:space="preserve"> </v>
      </c>
    </row>
    <row r="37" spans="1:96">
      <c r="A37" s="21" t="str">
        <f>VLOOKUP(L37,Ubicacion!A:K,2,FALSE)</f>
        <v>LI3BR</v>
      </c>
      <c r="B37" s="21" t="str">
        <f>VLOOKUP(L37,Ubicacion!A:K,3,FALSE)</f>
        <v>LI3BC08</v>
      </c>
      <c r="C37" s="21" t="str">
        <f>VLOOKUP(L37,Ubicacion!A:K,4,FALSE)</f>
        <v>LIMA</v>
      </c>
      <c r="D37" s="21" t="str">
        <f>VLOOKUP(L37,Ubicacion!A:K,5,FALSE)</f>
        <v>MIRAFLORES</v>
      </c>
      <c r="E37" s="21" t="str">
        <f>VLOOKUP(L37,Ubicacion!A:K,6,FALSE)</f>
        <v>Zone 5%</v>
      </c>
      <c r="F37" s="21" t="str">
        <f>VLOOKUP(L37,Ubicacion!A:K,7,FALSE)</f>
        <v>09:00 - 18:00</v>
      </c>
      <c r="G37" s="21" t="str">
        <f>VLOOKUP(L37,Ubicacion!A:K,8,FALSE)</f>
        <v>THURSDAY</v>
      </c>
      <c r="H37" s="21">
        <f>VLOOKUP(L37,Ubicacion!A:K,9,FALSE)</f>
        <v>2</v>
      </c>
      <c r="I37" s="21">
        <f>VLOOKUP(L37,Ubicacion!A:K,10,FALSE)</f>
        <v>-12.127709700793799</v>
      </c>
      <c r="J37" s="21">
        <f>VLOOKUP(L37,Ubicacion!A:K,11,FALSE)</f>
        <v>-77.009658619271406</v>
      </c>
      <c r="K37" s="21" t="str">
        <f t="shared" si="3"/>
        <v>46172Grupo 2</v>
      </c>
      <c r="L37" s="21" t="s">
        <v>89</v>
      </c>
      <c r="M37" s="21">
        <v>1</v>
      </c>
      <c r="N37" s="24" t="s">
        <v>186</v>
      </c>
      <c r="O37" s="24" t="s">
        <v>191</v>
      </c>
      <c r="P37" s="23">
        <v>46172</v>
      </c>
      <c r="Q37" s="23">
        <f t="shared" si="14"/>
        <v>46172</v>
      </c>
      <c r="R37" s="24" t="str">
        <f ca="1">IF($A$1&lt;Q37,"On-time",IF(AND(Q37&lt;=$A$1,BJ37="OK"),"OK","NO OK"))</f>
        <v>On-time</v>
      </c>
      <c r="S37" s="24" t="str">
        <f t="shared" si="4"/>
        <v>SATURDAY</v>
      </c>
      <c r="T37" s="24">
        <f>VLOOKUP(L37,Ubicacion!A:AE,13,FALSE)</f>
        <v>15</v>
      </c>
      <c r="U37" s="24">
        <f>VLOOKUP(L37,Ubicacion!A:AE,14,FALSE)</f>
        <v>25</v>
      </c>
      <c r="V37" s="24">
        <f>VLOOKUP(L37,Ubicacion!A:AE,15,FALSE)</f>
        <v>0</v>
      </c>
      <c r="W37" s="24">
        <f>VLOOKUP(L37,Ubicacion!A:AE,16,FALSE)</f>
        <v>5</v>
      </c>
      <c r="X37" s="24">
        <f>VLOOKUP(L37,Ubicacion!A:AE,17,FALSE)</f>
        <v>5</v>
      </c>
      <c r="Y37" s="24">
        <f>VLOOKUP(L37,Ubicacion!A:AE,18,FALSE)</f>
        <v>0</v>
      </c>
      <c r="Z37" s="24">
        <f>VLOOKUP(L37,Ubicacion!A:AE,19,FALSE)</f>
        <v>15</v>
      </c>
      <c r="AA37" s="24">
        <f>VLOOKUP(L37,Ubicacion!A:AE,20,FALSE)</f>
        <v>25</v>
      </c>
      <c r="AB37" s="24">
        <f>VLOOKUP(L37,Ubicacion!A:AE,21,FALSE)</f>
        <v>0</v>
      </c>
      <c r="AC37" s="24">
        <f>VLOOKUP(L37,Ubicacion!A:AE,22,FALSE)</f>
        <v>2</v>
      </c>
      <c r="AD37" s="24">
        <f>VLOOKUP(L37,Ubicacion!A:AE,23,FALSE)</f>
        <v>0</v>
      </c>
      <c r="AE37" s="24">
        <f>VLOOKUP(L37,Ubicacion!A:AE,24,FALSE)</f>
        <v>0</v>
      </c>
      <c r="AF37" s="24">
        <f>VLOOKUP(L37,Ubicacion!A:AE,25,FALSE)</f>
        <v>0</v>
      </c>
      <c r="AG37" s="24">
        <f>VLOOKUP(L37,Ubicacion!A:AE,26,FALSE)</f>
        <v>2</v>
      </c>
      <c r="AH37" s="24">
        <f>VLOOKUP(L37,Ubicacion!A:AE,27,FALSE)</f>
        <v>2</v>
      </c>
      <c r="AI37" s="24">
        <f>VLOOKUP(L37,Ubicacion!A:AE,28,FALSE)</f>
        <v>5</v>
      </c>
      <c r="AJ37" s="24">
        <f>VLOOKUP(L37,Ubicacion!A:AE,29,FALSE)</f>
        <v>3</v>
      </c>
      <c r="AK37" s="24">
        <f>VLOOKUP(L37,Ubicacion!A:AE,30,FALSE)</f>
        <v>1</v>
      </c>
      <c r="AL37" s="24">
        <f>VLOOKUP(L37,Ubicacion!A:AE,31,FALSE)</f>
        <v>1</v>
      </c>
      <c r="AM37" s="25">
        <f t="shared" si="15"/>
        <v>0.66666666666666663</v>
      </c>
      <c r="AN37" s="25">
        <f t="shared" si="16"/>
        <v>0.04</v>
      </c>
      <c r="AO37" s="25" t="str">
        <f t="shared" si="17"/>
        <v>100%</v>
      </c>
      <c r="AP37" s="25">
        <f t="shared" si="18"/>
        <v>0.4</v>
      </c>
      <c r="AQ37" s="25">
        <f t="shared" si="19"/>
        <v>0.4</v>
      </c>
      <c r="AR37" s="25" t="str">
        <f t="shared" si="20"/>
        <v>100%</v>
      </c>
      <c r="AS37" s="25">
        <f t="shared" si="21"/>
        <v>0.13333333333333333</v>
      </c>
      <c r="AT37" s="25">
        <f t="shared" si="22"/>
        <v>0.04</v>
      </c>
      <c r="AU37" s="25" t="str">
        <f t="shared" si="23"/>
        <v>100%</v>
      </c>
      <c r="AV37" s="24">
        <v>10</v>
      </c>
      <c r="AW37" s="24">
        <v>1</v>
      </c>
      <c r="AX37" s="24">
        <v>2</v>
      </c>
      <c r="AY37" s="24">
        <v>2</v>
      </c>
      <c r="AZ37" s="24">
        <v>2</v>
      </c>
      <c r="BA37" s="24">
        <v>1</v>
      </c>
      <c r="BB37" s="24">
        <v>2</v>
      </c>
      <c r="BC37" s="24">
        <v>1</v>
      </c>
      <c r="BD37" s="24">
        <v>1</v>
      </c>
      <c r="BE37" s="24" t="s">
        <v>184</v>
      </c>
      <c r="BF37" s="24" t="s">
        <v>184</v>
      </c>
      <c r="BG37" s="24" t="s">
        <v>183</v>
      </c>
      <c r="BH37" s="24" t="s">
        <v>183</v>
      </c>
      <c r="BI37" s="24" t="s">
        <v>183</v>
      </c>
      <c r="BJ37" s="24" t="s">
        <v>183</v>
      </c>
      <c r="BK37" s="24"/>
      <c r="BL37" s="24"/>
      <c r="BM37" s="57"/>
      <c r="BN37" s="2" t="str">
        <f t="shared" si="26"/>
        <v xml:space="preserve"> </v>
      </c>
      <c r="BO37" s="2" t="str">
        <f t="shared" si="27"/>
        <v xml:space="preserve"> </v>
      </c>
      <c r="BP37" s="2" t="str">
        <f t="shared" si="27"/>
        <v xml:space="preserve"> </v>
      </c>
      <c r="BQ37" s="2" t="str">
        <f t="shared" si="27"/>
        <v xml:space="preserve"> </v>
      </c>
      <c r="BR37" s="2" t="str">
        <f t="shared" si="27"/>
        <v xml:space="preserve"> </v>
      </c>
      <c r="BS37" s="2" t="str">
        <f t="shared" si="27"/>
        <v xml:space="preserve"> </v>
      </c>
      <c r="BT37" s="2" t="str">
        <f t="shared" si="27"/>
        <v xml:space="preserve"> </v>
      </c>
      <c r="BU37" s="2" t="str">
        <f t="shared" si="27"/>
        <v xml:space="preserve"> </v>
      </c>
      <c r="BV37" s="2" t="str">
        <f t="shared" si="27"/>
        <v xml:space="preserve"> </v>
      </c>
      <c r="BW37" s="2" t="str">
        <f t="shared" si="27"/>
        <v xml:space="preserve"> </v>
      </c>
      <c r="BX37" s="2" t="str">
        <f t="shared" si="27"/>
        <v xml:space="preserve"> </v>
      </c>
      <c r="BY37" s="2" t="str">
        <f t="shared" si="27"/>
        <v xml:space="preserve"> </v>
      </c>
      <c r="BZ37" s="2" t="str">
        <f t="shared" si="27"/>
        <v xml:space="preserve"> </v>
      </c>
      <c r="CA37" s="2" t="str">
        <f t="shared" si="27"/>
        <v xml:space="preserve"> </v>
      </c>
      <c r="CB37" s="2" t="str">
        <f t="shared" si="27"/>
        <v xml:space="preserve"> </v>
      </c>
      <c r="CC37" s="2" t="str">
        <f t="shared" si="27"/>
        <v xml:space="preserve"> </v>
      </c>
      <c r="CD37" s="2" t="str">
        <f t="shared" si="27"/>
        <v xml:space="preserve"> </v>
      </c>
      <c r="CE37" s="2" t="str">
        <f t="shared" si="27"/>
        <v xml:space="preserve"> </v>
      </c>
      <c r="CF37" s="2" t="str">
        <f t="shared" si="27"/>
        <v xml:space="preserve"> </v>
      </c>
      <c r="CG37" s="2" t="str">
        <f t="shared" si="27"/>
        <v xml:space="preserve"> </v>
      </c>
      <c r="CH37" s="2" t="str">
        <f t="shared" si="27"/>
        <v xml:space="preserve"> </v>
      </c>
      <c r="CI37" s="2" t="str">
        <f t="shared" si="27"/>
        <v xml:space="preserve"> </v>
      </c>
      <c r="CJ37" s="2" t="str">
        <f t="shared" si="27"/>
        <v xml:space="preserve"> </v>
      </c>
      <c r="CK37" s="2" t="str">
        <f t="shared" si="27"/>
        <v xml:space="preserve"> </v>
      </c>
      <c r="CL37" s="2" t="str">
        <f t="shared" si="27"/>
        <v xml:space="preserve"> </v>
      </c>
      <c r="CM37" s="2" t="str">
        <f t="shared" si="27"/>
        <v xml:space="preserve"> </v>
      </c>
      <c r="CN37" s="2" t="str">
        <f t="shared" si="27"/>
        <v xml:space="preserve"> </v>
      </c>
      <c r="CO37" s="2" t="str">
        <f t="shared" si="27"/>
        <v xml:space="preserve"> </v>
      </c>
      <c r="CP37" s="2" t="str">
        <f t="shared" si="27"/>
        <v xml:space="preserve"> </v>
      </c>
      <c r="CQ37" s="2" t="str">
        <f t="shared" si="27"/>
        <v>.</v>
      </c>
      <c r="CR37" s="2" t="str">
        <f t="shared" si="27"/>
        <v xml:space="preserve"> </v>
      </c>
    </row>
    <row r="38" spans="1:96">
      <c r="A38" s="21" t="str">
        <f>VLOOKUP(L38,Ubicacion!A:K,2,FALSE)</f>
        <v>LI3BR</v>
      </c>
      <c r="B38" s="21" t="str">
        <f>VLOOKUP(L38,Ubicacion!A:K,3,FALSE)</f>
        <v>LI3BC10</v>
      </c>
      <c r="C38" s="21" t="str">
        <f>VLOOKUP(L38,Ubicacion!A:K,4,FALSE)</f>
        <v>LIMA</v>
      </c>
      <c r="D38" s="21" t="str">
        <f>VLOOKUP(L38,Ubicacion!A:K,5,FALSE)</f>
        <v>PACHACAMAC</v>
      </c>
      <c r="E38" s="21" t="str">
        <f>VLOOKUP(L38,Ubicacion!A:K,6,FALSE)</f>
        <v>Zone 5%</v>
      </c>
      <c r="F38" s="21" t="str">
        <f>VLOOKUP(L38,Ubicacion!A:K,7,FALSE)</f>
        <v>09:00 - 18:00</v>
      </c>
      <c r="G38" s="21" t="str">
        <f>VLOOKUP(L38,Ubicacion!A:K,8,FALSE)</f>
        <v>FRIDAY</v>
      </c>
      <c r="H38" s="21">
        <f>VLOOKUP(L38,Ubicacion!A:K,9,FALSE)</f>
        <v>2</v>
      </c>
      <c r="I38" s="21">
        <f>VLOOKUP(L38,Ubicacion!A:K,10,FALSE)</f>
        <v>-12.1524908415808</v>
      </c>
      <c r="J38" s="21">
        <f>VLOOKUP(L38,Ubicacion!A:K,11,FALSE)</f>
        <v>-76.874739632788504</v>
      </c>
      <c r="K38" s="21" t="str">
        <f t="shared" si="3"/>
        <v>46143Grupo 2</v>
      </c>
      <c r="L38" s="21" t="s">
        <v>90</v>
      </c>
      <c r="M38" s="21">
        <v>1</v>
      </c>
      <c r="N38" s="24" t="s">
        <v>186</v>
      </c>
      <c r="O38" s="24" t="s">
        <v>191</v>
      </c>
      <c r="P38" s="23">
        <v>46143</v>
      </c>
      <c r="Q38" s="23">
        <f t="shared" si="14"/>
        <v>46143</v>
      </c>
      <c r="R38" s="24" t="str">
        <f ca="1">IF($A$1&lt;Q38,"On-time",IF(AND(Q38&lt;=$A$1,BJ38="OK"),"OK","NO OK"))</f>
        <v>OK</v>
      </c>
      <c r="S38" s="24" t="str">
        <f t="shared" si="4"/>
        <v>FRIDAY</v>
      </c>
      <c r="T38" s="24">
        <f>VLOOKUP(L38,Ubicacion!A:AE,13,FALSE)</f>
        <v>15</v>
      </c>
      <c r="U38" s="24">
        <f>VLOOKUP(L38,Ubicacion!A:AE,14,FALSE)</f>
        <v>25</v>
      </c>
      <c r="V38" s="24">
        <f>VLOOKUP(L38,Ubicacion!A:AE,15,FALSE)</f>
        <v>0</v>
      </c>
      <c r="W38" s="24">
        <f>VLOOKUP(L38,Ubicacion!A:AE,16,FALSE)</f>
        <v>5</v>
      </c>
      <c r="X38" s="24">
        <f>VLOOKUP(L38,Ubicacion!A:AE,17,FALSE)</f>
        <v>5</v>
      </c>
      <c r="Y38" s="24">
        <f>VLOOKUP(L38,Ubicacion!A:AE,18,FALSE)</f>
        <v>0</v>
      </c>
      <c r="Z38" s="24">
        <f>VLOOKUP(L38,Ubicacion!A:AE,19,FALSE)</f>
        <v>15</v>
      </c>
      <c r="AA38" s="24">
        <f>VLOOKUP(L38,Ubicacion!A:AE,20,FALSE)</f>
        <v>25</v>
      </c>
      <c r="AB38" s="24">
        <f>VLOOKUP(L38,Ubicacion!A:AE,21,FALSE)</f>
        <v>0</v>
      </c>
      <c r="AC38" s="24">
        <f>VLOOKUP(L38,Ubicacion!A:AE,22,FALSE)</f>
        <v>2</v>
      </c>
      <c r="AD38" s="24">
        <f>VLOOKUP(L38,Ubicacion!A:AE,23,FALSE)</f>
        <v>0</v>
      </c>
      <c r="AE38" s="24">
        <f>VLOOKUP(L38,Ubicacion!A:AE,24,FALSE)</f>
        <v>0</v>
      </c>
      <c r="AF38" s="24">
        <f>VLOOKUP(L38,Ubicacion!A:AE,25,FALSE)</f>
        <v>0</v>
      </c>
      <c r="AG38" s="24">
        <f>VLOOKUP(L38,Ubicacion!A:AE,26,FALSE)</f>
        <v>2</v>
      </c>
      <c r="AH38" s="24">
        <f>VLOOKUP(L38,Ubicacion!A:AE,27,FALSE)</f>
        <v>2</v>
      </c>
      <c r="AI38" s="24">
        <f>VLOOKUP(L38,Ubicacion!A:AE,28,FALSE)</f>
        <v>5</v>
      </c>
      <c r="AJ38" s="24">
        <f>VLOOKUP(L38,Ubicacion!A:AE,29,FALSE)</f>
        <v>3</v>
      </c>
      <c r="AK38" s="24">
        <f>VLOOKUP(L38,Ubicacion!A:AE,30,FALSE)</f>
        <v>1</v>
      </c>
      <c r="AL38" s="24">
        <f>VLOOKUP(L38,Ubicacion!A:AE,31,FALSE)</f>
        <v>1</v>
      </c>
      <c r="AM38" s="25">
        <f t="shared" si="15"/>
        <v>0.66666666666666663</v>
      </c>
      <c r="AN38" s="25">
        <f t="shared" si="16"/>
        <v>0.04</v>
      </c>
      <c r="AO38" s="25" t="str">
        <f t="shared" si="17"/>
        <v>100%</v>
      </c>
      <c r="AP38" s="25">
        <f t="shared" si="18"/>
        <v>0.4</v>
      </c>
      <c r="AQ38" s="25">
        <f t="shared" si="19"/>
        <v>0.4</v>
      </c>
      <c r="AR38" s="25" t="str">
        <f t="shared" si="20"/>
        <v>100%</v>
      </c>
      <c r="AS38" s="25">
        <f t="shared" si="21"/>
        <v>0.13333333333333333</v>
      </c>
      <c r="AT38" s="25">
        <f t="shared" si="22"/>
        <v>0.04</v>
      </c>
      <c r="AU38" s="25" t="str">
        <f t="shared" si="23"/>
        <v>100%</v>
      </c>
      <c r="AV38" s="24">
        <v>10</v>
      </c>
      <c r="AW38" s="24">
        <v>1</v>
      </c>
      <c r="AX38" s="24">
        <v>2</v>
      </c>
      <c r="AY38" s="24">
        <v>2</v>
      </c>
      <c r="AZ38" s="24">
        <v>2</v>
      </c>
      <c r="BA38" s="24">
        <v>1</v>
      </c>
      <c r="BB38" s="24">
        <v>2</v>
      </c>
      <c r="BC38" s="24">
        <v>1</v>
      </c>
      <c r="BD38" s="24">
        <v>1</v>
      </c>
      <c r="BE38" s="24" t="s">
        <v>184</v>
      </c>
      <c r="BF38" s="24" t="s">
        <v>184</v>
      </c>
      <c r="BG38" s="24" t="s">
        <v>183</v>
      </c>
      <c r="BH38" s="24" t="s">
        <v>183</v>
      </c>
      <c r="BI38" s="24" t="s">
        <v>183</v>
      </c>
      <c r="BJ38" s="24" t="s">
        <v>183</v>
      </c>
      <c r="BK38" s="24"/>
      <c r="BL38" s="24"/>
      <c r="BM38" s="57"/>
      <c r="BN38" s="2" t="str">
        <f t="shared" si="26"/>
        <v>.</v>
      </c>
      <c r="BO38" s="2" t="str">
        <f t="shared" si="27"/>
        <v xml:space="preserve"> </v>
      </c>
      <c r="BP38" s="2" t="str">
        <f t="shared" si="27"/>
        <v xml:space="preserve"> </v>
      </c>
      <c r="BQ38" s="2" t="str">
        <f t="shared" si="27"/>
        <v xml:space="preserve"> </v>
      </c>
      <c r="BR38" s="2" t="str">
        <f t="shared" si="27"/>
        <v xml:space="preserve"> </v>
      </c>
      <c r="BS38" s="2" t="str">
        <f t="shared" si="27"/>
        <v xml:space="preserve"> </v>
      </c>
      <c r="BT38" s="2" t="str">
        <f t="shared" si="27"/>
        <v xml:space="preserve"> </v>
      </c>
      <c r="BU38" s="2" t="str">
        <f t="shared" si="27"/>
        <v xml:space="preserve"> </v>
      </c>
      <c r="BV38" s="2" t="str">
        <f t="shared" si="27"/>
        <v xml:space="preserve"> </v>
      </c>
      <c r="BW38" s="2" t="str">
        <f t="shared" si="27"/>
        <v xml:space="preserve"> </v>
      </c>
      <c r="BX38" s="2" t="str">
        <f t="shared" si="27"/>
        <v xml:space="preserve"> </v>
      </c>
      <c r="BY38" s="2" t="str">
        <f t="shared" si="27"/>
        <v xml:space="preserve"> </v>
      </c>
      <c r="BZ38" s="2" t="str">
        <f t="shared" si="27"/>
        <v xml:space="preserve"> </v>
      </c>
      <c r="CA38" s="2" t="str">
        <f t="shared" si="27"/>
        <v xml:space="preserve"> </v>
      </c>
      <c r="CB38" s="2" t="str">
        <f t="shared" si="27"/>
        <v xml:space="preserve"> </v>
      </c>
      <c r="CC38" s="2" t="str">
        <f t="shared" si="27"/>
        <v xml:space="preserve"> </v>
      </c>
      <c r="CD38" s="2" t="str">
        <f t="shared" si="27"/>
        <v xml:space="preserve"> </v>
      </c>
      <c r="CE38" s="2" t="str">
        <f t="shared" si="27"/>
        <v xml:space="preserve"> </v>
      </c>
      <c r="CF38" s="2" t="str">
        <f t="shared" si="27"/>
        <v xml:space="preserve"> </v>
      </c>
      <c r="CG38" s="2" t="str">
        <f t="shared" si="27"/>
        <v xml:space="preserve"> </v>
      </c>
      <c r="CH38" s="2" t="str">
        <f t="shared" si="27"/>
        <v xml:space="preserve"> </v>
      </c>
      <c r="CI38" s="2" t="str">
        <f t="shared" si="27"/>
        <v xml:space="preserve"> </v>
      </c>
      <c r="CJ38" s="2" t="str">
        <f t="shared" si="27"/>
        <v xml:space="preserve"> </v>
      </c>
      <c r="CK38" s="2" t="str">
        <f t="shared" si="27"/>
        <v xml:space="preserve"> </v>
      </c>
      <c r="CL38" s="2" t="str">
        <f t="shared" si="27"/>
        <v xml:space="preserve"> </v>
      </c>
      <c r="CM38" s="2" t="str">
        <f t="shared" si="27"/>
        <v xml:space="preserve"> </v>
      </c>
      <c r="CN38" s="2" t="str">
        <f t="shared" si="27"/>
        <v xml:space="preserve"> </v>
      </c>
      <c r="CO38" s="2" t="str">
        <f t="shared" si="27"/>
        <v xml:space="preserve"> </v>
      </c>
      <c r="CP38" s="2" t="str">
        <f t="shared" si="27"/>
        <v xml:space="preserve"> </v>
      </c>
      <c r="CQ38" s="2" t="str">
        <f t="shared" si="27"/>
        <v xml:space="preserve"> </v>
      </c>
      <c r="CR38" s="2" t="str">
        <f t="shared" si="27"/>
        <v xml:space="preserve"> </v>
      </c>
    </row>
    <row r="39" spans="1:96">
      <c r="A39" s="21" t="str">
        <f>VLOOKUP(L39,Ubicacion!A:K,2,FALSE)</f>
        <v>LI3BR</v>
      </c>
      <c r="B39" s="21" t="str">
        <f>VLOOKUP(L39,Ubicacion!A:K,3,FALSE)</f>
        <v>LI2BC11</v>
      </c>
      <c r="C39" s="21" t="str">
        <f>VLOOKUP(L39,Ubicacion!A:K,4,FALSE)</f>
        <v>LIMA</v>
      </c>
      <c r="D39" s="21" t="str">
        <f>VLOOKUP(L39,Ubicacion!A:K,5,FALSE)</f>
        <v>LA MOLINA</v>
      </c>
      <c r="E39" s="21" t="str">
        <f>VLOOKUP(L39,Ubicacion!A:K,6,FALSE)</f>
        <v>Zone 5%</v>
      </c>
      <c r="F39" s="21" t="str">
        <f>VLOOKUP(L39,Ubicacion!A:K,7,FALSE)</f>
        <v>09:00 - 18:00</v>
      </c>
      <c r="G39" s="21" t="str">
        <f>VLOOKUP(L39,Ubicacion!A:K,8,FALSE)</f>
        <v>SATURDAY</v>
      </c>
      <c r="H39" s="21">
        <f>VLOOKUP(L39,Ubicacion!A:K,9,FALSE)</f>
        <v>2</v>
      </c>
      <c r="I39" s="21">
        <f>VLOOKUP(L39,Ubicacion!A:K,10,FALSE)</f>
        <v>-12.101646523096001</v>
      </c>
      <c r="J39" s="21">
        <f>VLOOKUP(L39,Ubicacion!A:K,11,FALSE)</f>
        <v>-76.942803668716195</v>
      </c>
      <c r="K39" s="21" t="str">
        <f t="shared" si="3"/>
        <v>46144Grupo 2</v>
      </c>
      <c r="L39" s="21" t="s">
        <v>91</v>
      </c>
      <c r="M39" s="21">
        <v>1</v>
      </c>
      <c r="N39" s="24" t="s">
        <v>186</v>
      </c>
      <c r="O39" s="24" t="s">
        <v>191</v>
      </c>
      <c r="P39" s="23">
        <v>46144</v>
      </c>
      <c r="Q39" s="23">
        <f t="shared" si="14"/>
        <v>46144</v>
      </c>
      <c r="R39" s="24" t="str">
        <f ca="1">IF($A$1&lt;Q39,"On-time",IF(AND(Q39&lt;=$A$1,BJ39="OK"),"OK","NO OK"))</f>
        <v>OK</v>
      </c>
      <c r="S39" s="24" t="str">
        <f t="shared" si="4"/>
        <v>SATURDAY</v>
      </c>
      <c r="T39" s="24">
        <f>VLOOKUP(L39,Ubicacion!A:AE,13,FALSE)</f>
        <v>15</v>
      </c>
      <c r="U39" s="24">
        <f>VLOOKUP(L39,Ubicacion!A:AE,14,FALSE)</f>
        <v>25</v>
      </c>
      <c r="V39" s="24">
        <f>VLOOKUP(L39,Ubicacion!A:AE,15,FALSE)</f>
        <v>0</v>
      </c>
      <c r="W39" s="24">
        <f>VLOOKUP(L39,Ubicacion!A:AE,16,FALSE)</f>
        <v>5</v>
      </c>
      <c r="X39" s="24">
        <f>VLOOKUP(L39,Ubicacion!A:AE,17,FALSE)</f>
        <v>5</v>
      </c>
      <c r="Y39" s="24">
        <f>VLOOKUP(L39,Ubicacion!A:AE,18,FALSE)</f>
        <v>0</v>
      </c>
      <c r="Z39" s="24">
        <f>VLOOKUP(L39,Ubicacion!A:AE,19,FALSE)</f>
        <v>15</v>
      </c>
      <c r="AA39" s="24">
        <f>VLOOKUP(L39,Ubicacion!A:AE,20,FALSE)</f>
        <v>25</v>
      </c>
      <c r="AB39" s="24">
        <f>VLOOKUP(L39,Ubicacion!A:AE,21,FALSE)</f>
        <v>0</v>
      </c>
      <c r="AC39" s="24">
        <f>VLOOKUP(L39,Ubicacion!A:AE,22,FALSE)</f>
        <v>2</v>
      </c>
      <c r="AD39" s="24">
        <f>VLOOKUP(L39,Ubicacion!A:AE,23,FALSE)</f>
        <v>0</v>
      </c>
      <c r="AE39" s="24">
        <f>VLOOKUP(L39,Ubicacion!A:AE,24,FALSE)</f>
        <v>0</v>
      </c>
      <c r="AF39" s="24">
        <f>VLOOKUP(L39,Ubicacion!A:AE,25,FALSE)</f>
        <v>0</v>
      </c>
      <c r="AG39" s="24">
        <f>VLOOKUP(L39,Ubicacion!A:AE,26,FALSE)</f>
        <v>2</v>
      </c>
      <c r="AH39" s="24">
        <f>VLOOKUP(L39,Ubicacion!A:AE,27,FALSE)</f>
        <v>2</v>
      </c>
      <c r="AI39" s="24">
        <f>VLOOKUP(L39,Ubicacion!A:AE,28,FALSE)</f>
        <v>5</v>
      </c>
      <c r="AJ39" s="24">
        <f>VLOOKUP(L39,Ubicacion!A:AE,29,FALSE)</f>
        <v>3</v>
      </c>
      <c r="AK39" s="24">
        <f>VLOOKUP(L39,Ubicacion!A:AE,30,FALSE)</f>
        <v>1</v>
      </c>
      <c r="AL39" s="24">
        <f>VLOOKUP(L39,Ubicacion!A:AE,31,FALSE)</f>
        <v>1</v>
      </c>
      <c r="AM39" s="25">
        <f t="shared" si="15"/>
        <v>0.66666666666666663</v>
      </c>
      <c r="AN39" s="25">
        <f t="shared" si="16"/>
        <v>0.04</v>
      </c>
      <c r="AO39" s="25" t="str">
        <f t="shared" si="17"/>
        <v>100%</v>
      </c>
      <c r="AP39" s="25">
        <f t="shared" si="18"/>
        <v>0.4</v>
      </c>
      <c r="AQ39" s="25">
        <f t="shared" si="19"/>
        <v>0.4</v>
      </c>
      <c r="AR39" s="25" t="str">
        <f t="shared" si="20"/>
        <v>100%</v>
      </c>
      <c r="AS39" s="25">
        <f t="shared" si="21"/>
        <v>0.13333333333333333</v>
      </c>
      <c r="AT39" s="25">
        <f t="shared" si="22"/>
        <v>0.04</v>
      </c>
      <c r="AU39" s="25" t="str">
        <f t="shared" si="23"/>
        <v>100%</v>
      </c>
      <c r="AV39" s="24">
        <v>10</v>
      </c>
      <c r="AW39" s="24">
        <v>1</v>
      </c>
      <c r="AX39" s="24">
        <v>2</v>
      </c>
      <c r="AY39" s="24">
        <v>2</v>
      </c>
      <c r="AZ39" s="24">
        <v>2</v>
      </c>
      <c r="BA39" s="24">
        <v>1</v>
      </c>
      <c r="BB39" s="24">
        <v>2</v>
      </c>
      <c r="BC39" s="24">
        <v>1</v>
      </c>
      <c r="BD39" s="24">
        <v>1</v>
      </c>
      <c r="BE39" s="24" t="s">
        <v>184</v>
      </c>
      <c r="BF39" s="24" t="s">
        <v>184</v>
      </c>
      <c r="BG39" s="24" t="s">
        <v>183</v>
      </c>
      <c r="BH39" s="24" t="s">
        <v>183</v>
      </c>
      <c r="BI39" s="24" t="s">
        <v>183</v>
      </c>
      <c r="BJ39" s="24" t="s">
        <v>183</v>
      </c>
      <c r="BK39" s="24"/>
      <c r="BL39" s="24"/>
      <c r="BM39" s="57"/>
      <c r="BN39" s="2" t="str">
        <f t="shared" si="26"/>
        <v xml:space="preserve"> </v>
      </c>
      <c r="BO39" s="2" t="str">
        <f t="shared" si="27"/>
        <v>.</v>
      </c>
      <c r="BP39" s="2" t="str">
        <f t="shared" si="27"/>
        <v xml:space="preserve"> </v>
      </c>
      <c r="BQ39" s="2" t="str">
        <f t="shared" si="27"/>
        <v xml:space="preserve"> </v>
      </c>
      <c r="BR39" s="2" t="str">
        <f t="shared" si="27"/>
        <v xml:space="preserve"> </v>
      </c>
      <c r="BS39" s="2" t="str">
        <f t="shared" si="27"/>
        <v xml:space="preserve"> </v>
      </c>
      <c r="BT39" s="2" t="str">
        <f t="shared" si="27"/>
        <v xml:space="preserve"> </v>
      </c>
      <c r="BU39" s="2" t="str">
        <f t="shared" si="27"/>
        <v xml:space="preserve"> </v>
      </c>
      <c r="BV39" s="2" t="str">
        <f t="shared" si="27"/>
        <v xml:space="preserve"> </v>
      </c>
      <c r="BW39" s="2" t="str">
        <f t="shared" si="27"/>
        <v xml:space="preserve"> </v>
      </c>
      <c r="BX39" s="2" t="str">
        <f t="shared" si="27"/>
        <v xml:space="preserve"> </v>
      </c>
      <c r="BY39" s="2" t="str">
        <f t="shared" si="27"/>
        <v xml:space="preserve"> </v>
      </c>
      <c r="BZ39" s="2" t="str">
        <f t="shared" si="27"/>
        <v xml:space="preserve"> </v>
      </c>
      <c r="CA39" s="2" t="str">
        <f t="shared" si="27"/>
        <v xml:space="preserve"> </v>
      </c>
      <c r="CB39" s="2" t="str">
        <f t="shared" si="27"/>
        <v xml:space="preserve"> </v>
      </c>
      <c r="CC39" s="2" t="str">
        <f t="shared" si="27"/>
        <v xml:space="preserve"> </v>
      </c>
      <c r="CD39" s="2" t="str">
        <f t="shared" si="27"/>
        <v xml:space="preserve"> </v>
      </c>
      <c r="CE39" s="2" t="str">
        <f t="shared" si="27"/>
        <v xml:space="preserve"> </v>
      </c>
      <c r="CF39" s="2" t="str">
        <f t="shared" si="27"/>
        <v xml:space="preserve"> </v>
      </c>
      <c r="CG39" s="2" t="str">
        <f t="shared" si="27"/>
        <v xml:space="preserve"> </v>
      </c>
      <c r="CH39" s="2" t="str">
        <f t="shared" si="27"/>
        <v xml:space="preserve"> </v>
      </c>
      <c r="CI39" s="2" t="str">
        <f t="shared" si="27"/>
        <v xml:space="preserve"> </v>
      </c>
      <c r="CJ39" s="2" t="str">
        <f t="shared" si="27"/>
        <v xml:space="preserve"> </v>
      </c>
      <c r="CK39" s="2" t="str">
        <f t="shared" si="27"/>
        <v xml:space="preserve"> </v>
      </c>
      <c r="CL39" s="2" t="str">
        <f t="shared" si="27"/>
        <v xml:space="preserve"> </v>
      </c>
      <c r="CM39" s="2" t="str">
        <f t="shared" si="27"/>
        <v xml:space="preserve"> </v>
      </c>
      <c r="CN39" s="2" t="str">
        <f t="shared" si="27"/>
        <v xml:space="preserve"> </v>
      </c>
      <c r="CO39" s="2" t="str">
        <f t="shared" si="27"/>
        <v xml:space="preserve"> </v>
      </c>
      <c r="CP39" s="2" t="str">
        <f t="shared" si="27"/>
        <v xml:space="preserve"> </v>
      </c>
      <c r="CQ39" s="2" t="str">
        <f t="shared" si="27"/>
        <v xml:space="preserve"> </v>
      </c>
      <c r="CR39" s="2" t="str">
        <f t="shared" si="27"/>
        <v xml:space="preserve"> </v>
      </c>
    </row>
    <row r="40" spans="1:96">
      <c r="A40" s="21" t="str">
        <f>VLOOKUP(L40,Ubicacion!A:K,2,FALSE)</f>
        <v>LI3BR</v>
      </c>
      <c r="B40" s="21" t="str">
        <f>VLOOKUP(L40,Ubicacion!A:K,3,FALSE)</f>
        <v>LI3BC08</v>
      </c>
      <c r="C40" s="21" t="str">
        <f>VLOOKUP(L40,Ubicacion!A:K,4,FALSE)</f>
        <v>LIMA</v>
      </c>
      <c r="D40" s="21" t="str">
        <f>VLOOKUP(L40,Ubicacion!A:K,5,FALSE)</f>
        <v>SURQUILLO</v>
      </c>
      <c r="E40" s="21" t="str">
        <f>VLOOKUP(L40,Ubicacion!A:K,6,FALSE)</f>
        <v>Zone 5%</v>
      </c>
      <c r="F40" s="21" t="str">
        <f>VLOOKUP(L40,Ubicacion!A:K,7,FALSE)</f>
        <v>09:00 - 18:00</v>
      </c>
      <c r="G40" s="21" t="str">
        <f>VLOOKUP(L40,Ubicacion!A:K,8,FALSE)</f>
        <v>SUNDAY</v>
      </c>
      <c r="H40" s="21">
        <f>VLOOKUP(L40,Ubicacion!A:K,9,FALSE)</f>
        <v>2</v>
      </c>
      <c r="I40" s="21">
        <f>VLOOKUP(L40,Ubicacion!A:K,10,FALSE)</f>
        <v>-12.1116428475723</v>
      </c>
      <c r="J40" s="21">
        <f>VLOOKUP(L40,Ubicacion!A:K,11,FALSE)</f>
        <v>-77.011902386748105</v>
      </c>
      <c r="K40" s="21" t="str">
        <f t="shared" si="3"/>
        <v>46145Grupo 2</v>
      </c>
      <c r="L40" s="21" t="s">
        <v>92</v>
      </c>
      <c r="M40" s="21">
        <v>1</v>
      </c>
      <c r="N40" s="24" t="s">
        <v>186</v>
      </c>
      <c r="O40" s="24" t="s">
        <v>191</v>
      </c>
      <c r="P40" s="23">
        <v>46145</v>
      </c>
      <c r="Q40" s="23">
        <f t="shared" si="14"/>
        <v>46145</v>
      </c>
      <c r="R40" s="24" t="str">
        <f ca="1">IF($A$1&lt;Q40,"On-time",IF(AND(Q40&lt;=$A$1,BJ40="OK"),"OK","NO OK"))</f>
        <v>OK</v>
      </c>
      <c r="S40" s="24" t="str">
        <f t="shared" si="4"/>
        <v>SUNDAY</v>
      </c>
      <c r="T40" s="24">
        <f>VLOOKUP(L40,Ubicacion!A:AE,13,FALSE)</f>
        <v>15</v>
      </c>
      <c r="U40" s="24">
        <f>VLOOKUP(L40,Ubicacion!A:AE,14,FALSE)</f>
        <v>25</v>
      </c>
      <c r="V40" s="24">
        <f>VLOOKUP(L40,Ubicacion!A:AE,15,FALSE)</f>
        <v>0</v>
      </c>
      <c r="W40" s="24">
        <f>VLOOKUP(L40,Ubicacion!A:AE,16,FALSE)</f>
        <v>5</v>
      </c>
      <c r="X40" s="24">
        <f>VLOOKUP(L40,Ubicacion!A:AE,17,FALSE)</f>
        <v>5</v>
      </c>
      <c r="Y40" s="24">
        <f>VLOOKUP(L40,Ubicacion!A:AE,18,FALSE)</f>
        <v>0</v>
      </c>
      <c r="Z40" s="24">
        <f>VLOOKUP(L40,Ubicacion!A:AE,19,FALSE)</f>
        <v>15</v>
      </c>
      <c r="AA40" s="24">
        <f>VLOOKUP(L40,Ubicacion!A:AE,20,FALSE)</f>
        <v>25</v>
      </c>
      <c r="AB40" s="24">
        <f>VLOOKUP(L40,Ubicacion!A:AE,21,FALSE)</f>
        <v>0</v>
      </c>
      <c r="AC40" s="24">
        <f>VLOOKUP(L40,Ubicacion!A:AE,22,FALSE)</f>
        <v>2</v>
      </c>
      <c r="AD40" s="24">
        <f>VLOOKUP(L40,Ubicacion!A:AE,23,FALSE)</f>
        <v>0</v>
      </c>
      <c r="AE40" s="24">
        <f>VLOOKUP(L40,Ubicacion!A:AE,24,FALSE)</f>
        <v>0</v>
      </c>
      <c r="AF40" s="24">
        <f>VLOOKUP(L40,Ubicacion!A:AE,25,FALSE)</f>
        <v>0</v>
      </c>
      <c r="AG40" s="24">
        <f>VLOOKUP(L40,Ubicacion!A:AE,26,FALSE)</f>
        <v>2</v>
      </c>
      <c r="AH40" s="24">
        <f>VLOOKUP(L40,Ubicacion!A:AE,27,FALSE)</f>
        <v>2</v>
      </c>
      <c r="AI40" s="24">
        <f>VLOOKUP(L40,Ubicacion!A:AE,28,FALSE)</f>
        <v>5</v>
      </c>
      <c r="AJ40" s="24">
        <f>VLOOKUP(L40,Ubicacion!A:AE,29,FALSE)</f>
        <v>3</v>
      </c>
      <c r="AK40" s="24">
        <f>VLOOKUP(L40,Ubicacion!A:AE,30,FALSE)</f>
        <v>1</v>
      </c>
      <c r="AL40" s="24">
        <f>VLOOKUP(L40,Ubicacion!A:AE,31,FALSE)</f>
        <v>1</v>
      </c>
      <c r="AM40" s="25">
        <f t="shared" si="15"/>
        <v>0.66666666666666663</v>
      </c>
      <c r="AN40" s="25">
        <f t="shared" si="16"/>
        <v>0.04</v>
      </c>
      <c r="AO40" s="25" t="str">
        <f t="shared" si="17"/>
        <v>100%</v>
      </c>
      <c r="AP40" s="25">
        <f t="shared" si="18"/>
        <v>0.4</v>
      </c>
      <c r="AQ40" s="25">
        <f t="shared" si="19"/>
        <v>0.4</v>
      </c>
      <c r="AR40" s="25" t="str">
        <f t="shared" si="20"/>
        <v>100%</v>
      </c>
      <c r="AS40" s="25">
        <f t="shared" si="21"/>
        <v>0.13333333333333333</v>
      </c>
      <c r="AT40" s="25">
        <f t="shared" si="22"/>
        <v>0.04</v>
      </c>
      <c r="AU40" s="25" t="str">
        <f t="shared" si="23"/>
        <v>100%</v>
      </c>
      <c r="AV40" s="24">
        <v>10</v>
      </c>
      <c r="AW40" s="24">
        <v>1</v>
      </c>
      <c r="AX40" s="24">
        <v>2</v>
      </c>
      <c r="AY40" s="24">
        <v>2</v>
      </c>
      <c r="AZ40" s="24">
        <v>2</v>
      </c>
      <c r="BA40" s="24">
        <v>1</v>
      </c>
      <c r="BB40" s="24">
        <v>2</v>
      </c>
      <c r="BC40" s="24">
        <v>1</v>
      </c>
      <c r="BD40" s="24">
        <v>1</v>
      </c>
      <c r="BE40" s="24" t="s">
        <v>184</v>
      </c>
      <c r="BF40" s="24" t="s">
        <v>184</v>
      </c>
      <c r="BG40" s="24" t="s">
        <v>183</v>
      </c>
      <c r="BH40" s="24" t="s">
        <v>183</v>
      </c>
      <c r="BI40" s="24" t="s">
        <v>183</v>
      </c>
      <c r="BJ40" s="24" t="s">
        <v>183</v>
      </c>
      <c r="BK40" s="24"/>
      <c r="BL40" s="24"/>
      <c r="BM40" s="57"/>
      <c r="BN40" s="2" t="str">
        <f t="shared" si="26"/>
        <v xml:space="preserve"> </v>
      </c>
      <c r="BO40" s="2" t="str">
        <f t="shared" si="27"/>
        <v xml:space="preserve"> </v>
      </c>
      <c r="BP40" s="2" t="str">
        <f t="shared" si="27"/>
        <v>.</v>
      </c>
      <c r="BQ40" s="2" t="str">
        <f t="shared" si="27"/>
        <v xml:space="preserve"> </v>
      </c>
      <c r="BR40" s="2" t="str">
        <f t="shared" si="27"/>
        <v xml:space="preserve"> </v>
      </c>
      <c r="BS40" s="2" t="str">
        <f t="shared" si="27"/>
        <v xml:space="preserve"> </v>
      </c>
      <c r="BT40" s="2" t="str">
        <f t="shared" si="27"/>
        <v xml:space="preserve"> </v>
      </c>
      <c r="BU40" s="2" t="str">
        <f t="shared" si="27"/>
        <v xml:space="preserve"> </v>
      </c>
      <c r="BV40" s="2" t="str">
        <f t="shared" si="27"/>
        <v xml:space="preserve"> </v>
      </c>
      <c r="BW40" s="2" t="str">
        <f t="shared" si="27"/>
        <v xml:space="preserve"> </v>
      </c>
      <c r="BX40" s="2" t="str">
        <f t="shared" si="27"/>
        <v xml:space="preserve"> </v>
      </c>
      <c r="BY40" s="2" t="str">
        <f t="shared" si="27"/>
        <v xml:space="preserve"> </v>
      </c>
      <c r="BZ40" s="2" t="str">
        <f t="shared" si="27"/>
        <v xml:space="preserve"> </v>
      </c>
      <c r="CA40" s="2" t="str">
        <f t="shared" si="27"/>
        <v xml:space="preserve"> </v>
      </c>
      <c r="CB40" s="2" t="str">
        <f t="shared" si="27"/>
        <v xml:space="preserve"> </v>
      </c>
      <c r="CC40" s="2" t="str">
        <f t="shared" si="27"/>
        <v xml:space="preserve"> </v>
      </c>
      <c r="CD40" s="2" t="str">
        <f t="shared" si="27"/>
        <v xml:space="preserve"> </v>
      </c>
      <c r="CE40" s="2" t="str">
        <f t="shared" si="27"/>
        <v xml:space="preserve"> </v>
      </c>
      <c r="CF40" s="2" t="str">
        <f t="shared" si="27"/>
        <v xml:space="preserve"> </v>
      </c>
      <c r="CG40" s="2" t="str">
        <f t="shared" si="27"/>
        <v xml:space="preserve"> </v>
      </c>
      <c r="CH40" s="2" t="str">
        <f t="shared" si="27"/>
        <v xml:space="preserve"> </v>
      </c>
      <c r="CI40" s="2" t="str">
        <f t="shared" si="27"/>
        <v xml:space="preserve"> </v>
      </c>
      <c r="CJ40" s="2" t="str">
        <f t="shared" si="27"/>
        <v xml:space="preserve"> </v>
      </c>
      <c r="CK40" s="2" t="str">
        <f t="shared" si="27"/>
        <v xml:space="preserve"> </v>
      </c>
      <c r="CL40" s="2" t="str">
        <f t="shared" si="27"/>
        <v xml:space="preserve"> </v>
      </c>
      <c r="CM40" s="2" t="str">
        <f t="shared" si="27"/>
        <v xml:space="preserve"> </v>
      </c>
      <c r="CN40" s="2" t="str">
        <f t="shared" si="27"/>
        <v xml:space="preserve"> </v>
      </c>
      <c r="CO40" s="2" t="str">
        <f t="shared" si="27"/>
        <v xml:space="preserve"> </v>
      </c>
      <c r="CP40" s="2" t="str">
        <f t="shared" si="27"/>
        <v xml:space="preserve"> </v>
      </c>
      <c r="CQ40" s="2" t="str">
        <f t="shared" si="27"/>
        <v xml:space="preserve"> </v>
      </c>
      <c r="CR40" s="2" t="str">
        <f t="shared" si="27"/>
        <v xml:space="preserve"> </v>
      </c>
    </row>
    <row r="41" spans="1:96">
      <c r="A41" s="21" t="str">
        <f>VLOOKUP(L41,Ubicacion!A:K,2,FALSE)</f>
        <v>LI3BR</v>
      </c>
      <c r="B41" s="21" t="str">
        <f>VLOOKUP(L41,Ubicacion!A:K,3,FALSE)</f>
        <v>LI3BC06</v>
      </c>
      <c r="C41" s="21" t="str">
        <f>VLOOKUP(L41,Ubicacion!A:K,4,FALSE)</f>
        <v>LIMA</v>
      </c>
      <c r="D41" s="21" t="str">
        <f>VLOOKUP(L41,Ubicacion!A:K,5,FALSE)</f>
        <v>SURCO</v>
      </c>
      <c r="E41" s="21" t="str">
        <f>VLOOKUP(L41,Ubicacion!A:K,6,FALSE)</f>
        <v>Zone 5%</v>
      </c>
      <c r="F41" s="21" t="str">
        <f>VLOOKUP(L41,Ubicacion!A:K,7,FALSE)</f>
        <v>09:00 - 18:00</v>
      </c>
      <c r="G41" s="21" t="str">
        <f>VLOOKUP(L41,Ubicacion!A:K,8,FALSE)</f>
        <v>WEEKDAY</v>
      </c>
      <c r="H41" s="21">
        <f>VLOOKUP(L41,Ubicacion!A:K,9,FALSE)</f>
        <v>2</v>
      </c>
      <c r="I41" s="21">
        <f>VLOOKUP(L41,Ubicacion!A:K,10,FALSE)</f>
        <v>-12.1086856884156</v>
      </c>
      <c r="J41" s="21">
        <f>VLOOKUP(L41,Ubicacion!A:K,11,FALSE)</f>
        <v>-76.971525678191099</v>
      </c>
      <c r="K41" s="21" t="str">
        <f t="shared" si="3"/>
        <v>46146Grupo 2</v>
      </c>
      <c r="L41" s="21" t="s">
        <v>93</v>
      </c>
      <c r="M41" s="21">
        <v>1</v>
      </c>
      <c r="N41" s="24" t="s">
        <v>186</v>
      </c>
      <c r="O41" s="24" t="s">
        <v>191</v>
      </c>
      <c r="P41" s="23">
        <v>46146</v>
      </c>
      <c r="Q41" s="23">
        <f t="shared" si="14"/>
        <v>46146</v>
      </c>
      <c r="R41" s="24" t="str">
        <f ca="1">IF($A$1&lt;Q41,"On-time",IF(AND(Q41&lt;=$A$1,BJ41="OK"),"OK","NO OK"))</f>
        <v>OK</v>
      </c>
      <c r="S41" s="24" t="str">
        <f t="shared" si="4"/>
        <v>MONDAY</v>
      </c>
      <c r="T41" s="24">
        <f>VLOOKUP(L41,Ubicacion!A:AE,13,FALSE)</f>
        <v>15</v>
      </c>
      <c r="U41" s="24">
        <f>VLOOKUP(L41,Ubicacion!A:AE,14,FALSE)</f>
        <v>25</v>
      </c>
      <c r="V41" s="24">
        <f>VLOOKUP(L41,Ubicacion!A:AE,15,FALSE)</f>
        <v>0</v>
      </c>
      <c r="W41" s="24">
        <f>VLOOKUP(L41,Ubicacion!A:AE,16,FALSE)</f>
        <v>5</v>
      </c>
      <c r="X41" s="24">
        <f>VLOOKUP(L41,Ubicacion!A:AE,17,FALSE)</f>
        <v>5</v>
      </c>
      <c r="Y41" s="24">
        <f>VLOOKUP(L41,Ubicacion!A:AE,18,FALSE)</f>
        <v>0</v>
      </c>
      <c r="Z41" s="24">
        <f>VLOOKUP(L41,Ubicacion!A:AE,19,FALSE)</f>
        <v>15</v>
      </c>
      <c r="AA41" s="24">
        <f>VLOOKUP(L41,Ubicacion!A:AE,20,FALSE)</f>
        <v>25</v>
      </c>
      <c r="AB41" s="24">
        <f>VLOOKUP(L41,Ubicacion!A:AE,21,FALSE)</f>
        <v>0</v>
      </c>
      <c r="AC41" s="24">
        <f>VLOOKUP(L41,Ubicacion!A:AE,22,FALSE)</f>
        <v>2</v>
      </c>
      <c r="AD41" s="24">
        <f>VLOOKUP(L41,Ubicacion!A:AE,23,FALSE)</f>
        <v>0</v>
      </c>
      <c r="AE41" s="24">
        <f>VLOOKUP(L41,Ubicacion!A:AE,24,FALSE)</f>
        <v>0</v>
      </c>
      <c r="AF41" s="24">
        <f>VLOOKUP(L41,Ubicacion!A:AE,25,FALSE)</f>
        <v>0</v>
      </c>
      <c r="AG41" s="24">
        <f>VLOOKUP(L41,Ubicacion!A:AE,26,FALSE)</f>
        <v>2</v>
      </c>
      <c r="AH41" s="24">
        <f>VLOOKUP(L41,Ubicacion!A:AE,27,FALSE)</f>
        <v>2</v>
      </c>
      <c r="AI41" s="24">
        <f>VLOOKUP(L41,Ubicacion!A:AE,28,FALSE)</f>
        <v>5</v>
      </c>
      <c r="AJ41" s="24">
        <f>VLOOKUP(L41,Ubicacion!A:AE,29,FALSE)</f>
        <v>3</v>
      </c>
      <c r="AK41" s="24">
        <f>VLOOKUP(L41,Ubicacion!A:AE,30,FALSE)</f>
        <v>1</v>
      </c>
      <c r="AL41" s="24">
        <f>VLOOKUP(L41,Ubicacion!A:AE,31,FALSE)</f>
        <v>1</v>
      </c>
      <c r="AM41" s="25">
        <f t="shared" si="15"/>
        <v>0.66666666666666663</v>
      </c>
      <c r="AN41" s="25">
        <f t="shared" si="16"/>
        <v>0.04</v>
      </c>
      <c r="AO41" s="25" t="str">
        <f t="shared" si="17"/>
        <v>100%</v>
      </c>
      <c r="AP41" s="25">
        <f t="shared" si="18"/>
        <v>0.4</v>
      </c>
      <c r="AQ41" s="25">
        <f t="shared" si="19"/>
        <v>0.4</v>
      </c>
      <c r="AR41" s="25" t="str">
        <f t="shared" si="20"/>
        <v>100%</v>
      </c>
      <c r="AS41" s="25">
        <f t="shared" si="21"/>
        <v>0.13333333333333333</v>
      </c>
      <c r="AT41" s="25">
        <f t="shared" si="22"/>
        <v>0.04</v>
      </c>
      <c r="AU41" s="25" t="str">
        <f t="shared" si="23"/>
        <v>100%</v>
      </c>
      <c r="AV41" s="24">
        <v>10</v>
      </c>
      <c r="AW41" s="24">
        <v>1</v>
      </c>
      <c r="AX41" s="24">
        <v>2</v>
      </c>
      <c r="AY41" s="24">
        <v>2</v>
      </c>
      <c r="AZ41" s="24">
        <v>2</v>
      </c>
      <c r="BA41" s="24">
        <v>1</v>
      </c>
      <c r="BB41" s="24">
        <v>2</v>
      </c>
      <c r="BC41" s="24">
        <v>1</v>
      </c>
      <c r="BD41" s="24">
        <v>1</v>
      </c>
      <c r="BE41" s="24" t="s">
        <v>184</v>
      </c>
      <c r="BF41" s="24" t="s">
        <v>184</v>
      </c>
      <c r="BG41" s="24" t="s">
        <v>183</v>
      </c>
      <c r="BH41" s="24" t="s">
        <v>183</v>
      </c>
      <c r="BI41" s="24" t="s">
        <v>183</v>
      </c>
      <c r="BJ41" s="24" t="s">
        <v>183</v>
      </c>
      <c r="BK41" s="24"/>
      <c r="BL41" s="24"/>
      <c r="BM41" s="57"/>
      <c r="BN41" s="2" t="str">
        <f t="shared" si="26"/>
        <v xml:space="preserve"> </v>
      </c>
      <c r="BO41" s="2" t="str">
        <f t="shared" si="27"/>
        <v xml:space="preserve"> </v>
      </c>
      <c r="BP41" s="2" t="str">
        <f t="shared" si="27"/>
        <v xml:space="preserve"> </v>
      </c>
      <c r="BQ41" s="2" t="str">
        <f t="shared" si="27"/>
        <v>.</v>
      </c>
      <c r="BR41" s="2" t="str">
        <f t="shared" si="27"/>
        <v xml:space="preserve"> </v>
      </c>
      <c r="BS41" s="2" t="str">
        <f t="shared" si="27"/>
        <v xml:space="preserve"> </v>
      </c>
      <c r="BT41" s="2" t="str">
        <f t="shared" si="27"/>
        <v xml:space="preserve"> </v>
      </c>
      <c r="BU41" s="2" t="str">
        <f t="shared" si="27"/>
        <v xml:space="preserve"> </v>
      </c>
      <c r="BV41" s="2" t="str">
        <f t="shared" si="27"/>
        <v xml:space="preserve"> </v>
      </c>
      <c r="BW41" s="2" t="str">
        <f t="shared" si="27"/>
        <v xml:space="preserve"> </v>
      </c>
      <c r="BX41" s="2" t="str">
        <f t="shared" si="27"/>
        <v xml:space="preserve"> </v>
      </c>
      <c r="BY41" s="2" t="str">
        <f t="shared" si="27"/>
        <v xml:space="preserve"> </v>
      </c>
      <c r="BZ41" s="2" t="str">
        <f t="shared" si="27"/>
        <v xml:space="preserve"> </v>
      </c>
      <c r="CA41" s="2" t="str">
        <f t="shared" si="27"/>
        <v xml:space="preserve"> </v>
      </c>
      <c r="CB41" s="2" t="str">
        <f t="shared" si="27"/>
        <v xml:space="preserve"> </v>
      </c>
      <c r="CC41" s="2" t="str">
        <f t="shared" ref="CC41:CR59" si="28">IF(AND((CC$6-$P41)&gt;=0,(CC$6-$P41)&lt;=($Q41-$P41)),"."," ")</f>
        <v xml:space="preserve"> </v>
      </c>
      <c r="CD41" s="2" t="str">
        <f t="shared" si="28"/>
        <v xml:space="preserve"> </v>
      </c>
      <c r="CE41" s="2" t="str">
        <f t="shared" si="28"/>
        <v xml:space="preserve"> </v>
      </c>
      <c r="CF41" s="2" t="str">
        <f t="shared" si="28"/>
        <v xml:space="preserve"> </v>
      </c>
      <c r="CG41" s="2" t="str">
        <f t="shared" si="28"/>
        <v xml:space="preserve"> </v>
      </c>
      <c r="CH41" s="2" t="str">
        <f t="shared" si="28"/>
        <v xml:space="preserve"> </v>
      </c>
      <c r="CI41" s="2" t="str">
        <f t="shared" si="28"/>
        <v xml:space="preserve"> </v>
      </c>
      <c r="CJ41" s="2" t="str">
        <f t="shared" si="28"/>
        <v xml:space="preserve"> </v>
      </c>
      <c r="CK41" s="2" t="str">
        <f t="shared" si="28"/>
        <v xml:space="preserve"> </v>
      </c>
      <c r="CL41" s="2" t="str">
        <f t="shared" si="28"/>
        <v xml:space="preserve"> </v>
      </c>
      <c r="CM41" s="2" t="str">
        <f t="shared" si="28"/>
        <v xml:space="preserve"> </v>
      </c>
      <c r="CN41" s="2" t="str">
        <f t="shared" si="28"/>
        <v xml:space="preserve"> </v>
      </c>
      <c r="CO41" s="2" t="str">
        <f t="shared" si="28"/>
        <v xml:space="preserve"> </v>
      </c>
      <c r="CP41" s="2" t="str">
        <f t="shared" si="28"/>
        <v xml:space="preserve"> </v>
      </c>
      <c r="CQ41" s="2" t="str">
        <f t="shared" si="28"/>
        <v xml:space="preserve"> </v>
      </c>
      <c r="CR41" s="2" t="str">
        <f t="shared" si="28"/>
        <v xml:space="preserve"> </v>
      </c>
    </row>
    <row r="42" spans="1:96">
      <c r="A42" s="21" t="str">
        <f>VLOOKUP(L42,Ubicacion!A:K,2,FALSE)</f>
        <v>LI3BR</v>
      </c>
      <c r="B42" s="21" t="str">
        <f>VLOOKUP(L42,Ubicacion!A:K,3,FALSE)</f>
        <v>LI3BC08</v>
      </c>
      <c r="C42" s="21" t="str">
        <f>VLOOKUP(L42,Ubicacion!A:K,4,FALSE)</f>
        <v>LIMA</v>
      </c>
      <c r="D42" s="21" t="str">
        <f>VLOOKUP(L42,Ubicacion!A:K,5,FALSE)</f>
        <v>SURQUILLO</v>
      </c>
      <c r="E42" s="21" t="str">
        <f>VLOOKUP(L42,Ubicacion!A:K,6,FALSE)</f>
        <v>Zone 5%</v>
      </c>
      <c r="F42" s="21" t="str">
        <f>VLOOKUP(L42,Ubicacion!A:K,7,FALSE)</f>
        <v>09:00 - 18:00</v>
      </c>
      <c r="G42" s="21" t="str">
        <f>VLOOKUP(L42,Ubicacion!A:K,8,FALSE)</f>
        <v>WEEKEND</v>
      </c>
      <c r="H42" s="21">
        <f>VLOOKUP(L42,Ubicacion!A:K,9,FALSE)</f>
        <v>2</v>
      </c>
      <c r="I42" s="21">
        <f>VLOOKUP(L42,Ubicacion!A:K,10,FALSE)</f>
        <v>-12.107066354345401</v>
      </c>
      <c r="J42" s="21">
        <f>VLOOKUP(L42,Ubicacion!A:K,11,FALSE)</f>
        <v>-77.0229025038374</v>
      </c>
      <c r="K42" s="21" t="str">
        <f t="shared" si="3"/>
        <v>46147Grupo 2</v>
      </c>
      <c r="L42" s="21" t="s">
        <v>94</v>
      </c>
      <c r="M42" s="21">
        <v>1</v>
      </c>
      <c r="N42" s="24" t="s">
        <v>186</v>
      </c>
      <c r="O42" s="24" t="s">
        <v>191</v>
      </c>
      <c r="P42" s="23">
        <v>46147</v>
      </c>
      <c r="Q42" s="23">
        <f t="shared" si="14"/>
        <v>46147</v>
      </c>
      <c r="R42" s="24" t="str">
        <f ca="1">IF($A$1&lt;Q42,"On-time",IF(AND(Q42&lt;=$A$1,BJ42="OK"),"OK","NO OK"))</f>
        <v>OK</v>
      </c>
      <c r="S42" s="24" t="str">
        <f t="shared" si="4"/>
        <v>TUESDAY</v>
      </c>
      <c r="T42" s="24">
        <f>VLOOKUP(L42,Ubicacion!A:AE,13,FALSE)</f>
        <v>15</v>
      </c>
      <c r="U42" s="24">
        <f>VLOOKUP(L42,Ubicacion!A:AE,14,FALSE)</f>
        <v>25</v>
      </c>
      <c r="V42" s="24">
        <f>VLOOKUP(L42,Ubicacion!A:AE,15,FALSE)</f>
        <v>0</v>
      </c>
      <c r="W42" s="24">
        <f>VLOOKUP(L42,Ubicacion!A:AE,16,FALSE)</f>
        <v>5</v>
      </c>
      <c r="X42" s="24">
        <f>VLOOKUP(L42,Ubicacion!A:AE,17,FALSE)</f>
        <v>5</v>
      </c>
      <c r="Y42" s="24">
        <f>VLOOKUP(L42,Ubicacion!A:AE,18,FALSE)</f>
        <v>0</v>
      </c>
      <c r="Z42" s="24">
        <f>VLOOKUP(L42,Ubicacion!A:AE,19,FALSE)</f>
        <v>15</v>
      </c>
      <c r="AA42" s="24">
        <f>VLOOKUP(L42,Ubicacion!A:AE,20,FALSE)</f>
        <v>25</v>
      </c>
      <c r="AB42" s="24">
        <f>VLOOKUP(L42,Ubicacion!A:AE,21,FALSE)</f>
        <v>0</v>
      </c>
      <c r="AC42" s="24">
        <f>VLOOKUP(L42,Ubicacion!A:AE,22,FALSE)</f>
        <v>2</v>
      </c>
      <c r="AD42" s="24">
        <f>VLOOKUP(L42,Ubicacion!A:AE,23,FALSE)</f>
        <v>0</v>
      </c>
      <c r="AE42" s="24">
        <f>VLOOKUP(L42,Ubicacion!A:AE,24,FALSE)</f>
        <v>0</v>
      </c>
      <c r="AF42" s="24">
        <f>VLOOKUP(L42,Ubicacion!A:AE,25,FALSE)</f>
        <v>0</v>
      </c>
      <c r="AG42" s="24">
        <f>VLOOKUP(L42,Ubicacion!A:AE,26,FALSE)</f>
        <v>2</v>
      </c>
      <c r="AH42" s="24">
        <f>VLOOKUP(L42,Ubicacion!A:AE,27,FALSE)</f>
        <v>2</v>
      </c>
      <c r="AI42" s="24">
        <f>VLOOKUP(L42,Ubicacion!A:AE,28,FALSE)</f>
        <v>5</v>
      </c>
      <c r="AJ42" s="24">
        <f>VLOOKUP(L42,Ubicacion!A:AE,29,FALSE)</f>
        <v>3</v>
      </c>
      <c r="AK42" s="24">
        <f>VLOOKUP(L42,Ubicacion!A:AE,30,FALSE)</f>
        <v>1</v>
      </c>
      <c r="AL42" s="24">
        <f>VLOOKUP(L42,Ubicacion!A:AE,31,FALSE)</f>
        <v>1</v>
      </c>
      <c r="AM42" s="25">
        <f t="shared" si="15"/>
        <v>0.66666666666666663</v>
      </c>
      <c r="AN42" s="25">
        <f t="shared" si="16"/>
        <v>0.04</v>
      </c>
      <c r="AO42" s="25" t="str">
        <f t="shared" si="17"/>
        <v>100%</v>
      </c>
      <c r="AP42" s="25">
        <f t="shared" si="18"/>
        <v>0.4</v>
      </c>
      <c r="AQ42" s="25">
        <f t="shared" si="19"/>
        <v>0.4</v>
      </c>
      <c r="AR42" s="25" t="str">
        <f t="shared" si="20"/>
        <v>100%</v>
      </c>
      <c r="AS42" s="25">
        <f t="shared" si="21"/>
        <v>0.13333333333333333</v>
      </c>
      <c r="AT42" s="25">
        <f t="shared" si="22"/>
        <v>0.04</v>
      </c>
      <c r="AU42" s="25" t="str">
        <f t="shared" si="23"/>
        <v>100%</v>
      </c>
      <c r="AV42" s="24">
        <v>10</v>
      </c>
      <c r="AW42" s="24">
        <v>1</v>
      </c>
      <c r="AX42" s="24">
        <v>2</v>
      </c>
      <c r="AY42" s="24">
        <v>2</v>
      </c>
      <c r="AZ42" s="24">
        <v>2</v>
      </c>
      <c r="BA42" s="24">
        <v>1</v>
      </c>
      <c r="BB42" s="24">
        <v>2</v>
      </c>
      <c r="BC42" s="24">
        <v>1</v>
      </c>
      <c r="BD42" s="24">
        <v>1</v>
      </c>
      <c r="BE42" s="24" t="s">
        <v>184</v>
      </c>
      <c r="BF42" s="24" t="s">
        <v>184</v>
      </c>
      <c r="BG42" s="24" t="s">
        <v>183</v>
      </c>
      <c r="BH42" s="24" t="s">
        <v>183</v>
      </c>
      <c r="BI42" s="24" t="s">
        <v>183</v>
      </c>
      <c r="BJ42" s="24" t="s">
        <v>183</v>
      </c>
      <c r="BK42" s="24"/>
      <c r="BL42" s="24"/>
      <c r="BM42" s="57"/>
      <c r="BN42" s="2" t="str">
        <f t="shared" si="26"/>
        <v xml:space="preserve"> </v>
      </c>
      <c r="BO42" s="2" t="str">
        <f t="shared" si="26"/>
        <v xml:space="preserve"> </v>
      </c>
      <c r="BP42" s="2" t="str">
        <f t="shared" si="26"/>
        <v xml:space="preserve"> </v>
      </c>
      <c r="BQ42" s="2" t="str">
        <f t="shared" si="26"/>
        <v xml:space="preserve"> </v>
      </c>
      <c r="BR42" s="2" t="str">
        <f t="shared" si="26"/>
        <v>.</v>
      </c>
      <c r="BS42" s="2" t="str">
        <f t="shared" si="26"/>
        <v xml:space="preserve"> </v>
      </c>
      <c r="BT42" s="2" t="str">
        <f t="shared" si="26"/>
        <v xml:space="preserve"> </v>
      </c>
      <c r="BU42" s="2" t="str">
        <f t="shared" si="26"/>
        <v xml:space="preserve"> </v>
      </c>
      <c r="BV42" s="2" t="str">
        <f t="shared" si="26"/>
        <v xml:space="preserve"> </v>
      </c>
      <c r="BW42" s="2" t="str">
        <f t="shared" si="26"/>
        <v xml:space="preserve"> </v>
      </c>
      <c r="BX42" s="2" t="str">
        <f t="shared" si="26"/>
        <v xml:space="preserve"> </v>
      </c>
      <c r="BY42" s="2" t="str">
        <f t="shared" si="26"/>
        <v xml:space="preserve"> </v>
      </c>
      <c r="BZ42" s="2" t="str">
        <f t="shared" si="26"/>
        <v xml:space="preserve"> </v>
      </c>
      <c r="CA42" s="2" t="str">
        <f t="shared" si="26"/>
        <v xml:space="preserve"> </v>
      </c>
      <c r="CB42" s="2" t="str">
        <f t="shared" si="26"/>
        <v xml:space="preserve"> </v>
      </c>
      <c r="CC42" s="2" t="str">
        <f t="shared" si="26"/>
        <v xml:space="preserve"> </v>
      </c>
      <c r="CD42" s="2" t="str">
        <f t="shared" si="28"/>
        <v xml:space="preserve"> </v>
      </c>
      <c r="CE42" s="2" t="str">
        <f t="shared" si="28"/>
        <v xml:space="preserve"> </v>
      </c>
      <c r="CF42" s="2" t="str">
        <f t="shared" si="28"/>
        <v xml:space="preserve"> </v>
      </c>
      <c r="CG42" s="2" t="str">
        <f t="shared" si="28"/>
        <v xml:space="preserve"> </v>
      </c>
      <c r="CH42" s="2" t="str">
        <f t="shared" si="28"/>
        <v xml:space="preserve"> </v>
      </c>
      <c r="CI42" s="2" t="str">
        <f t="shared" si="28"/>
        <v xml:space="preserve"> </v>
      </c>
      <c r="CJ42" s="2" t="str">
        <f t="shared" si="28"/>
        <v xml:space="preserve"> </v>
      </c>
      <c r="CK42" s="2" t="str">
        <f t="shared" si="28"/>
        <v xml:space="preserve"> </v>
      </c>
      <c r="CL42" s="2" t="str">
        <f t="shared" si="28"/>
        <v xml:space="preserve"> </v>
      </c>
      <c r="CM42" s="2" t="str">
        <f t="shared" si="28"/>
        <v xml:space="preserve"> </v>
      </c>
      <c r="CN42" s="2" t="str">
        <f t="shared" si="28"/>
        <v xml:space="preserve"> </v>
      </c>
      <c r="CO42" s="2" t="str">
        <f t="shared" si="28"/>
        <v xml:space="preserve"> </v>
      </c>
      <c r="CP42" s="2" t="str">
        <f t="shared" si="28"/>
        <v xml:space="preserve"> </v>
      </c>
      <c r="CQ42" s="2" t="str">
        <f t="shared" si="28"/>
        <v xml:space="preserve"> </v>
      </c>
      <c r="CR42" s="2" t="str">
        <f t="shared" si="28"/>
        <v xml:space="preserve"> </v>
      </c>
    </row>
    <row r="43" spans="1:96">
      <c r="A43" s="21" t="str">
        <f>VLOOKUP(L43,Ubicacion!A:K,2,FALSE)</f>
        <v>LI3BR</v>
      </c>
      <c r="B43" s="21" t="str">
        <f>VLOOKUP(L43,Ubicacion!A:K,3,FALSE)</f>
        <v>LI3BC08</v>
      </c>
      <c r="C43" s="21" t="str">
        <f>VLOOKUP(L43,Ubicacion!A:K,4,FALSE)</f>
        <v>LIMA</v>
      </c>
      <c r="D43" s="21" t="str">
        <f>VLOOKUP(L43,Ubicacion!A:K,5,FALSE)</f>
        <v>SURQUILLO</v>
      </c>
      <c r="E43" s="21" t="str">
        <f>VLOOKUP(L43,Ubicacion!A:K,6,FALSE)</f>
        <v>Zone 5%</v>
      </c>
      <c r="F43" s="21" t="str">
        <f>VLOOKUP(L43,Ubicacion!A:K,7,FALSE)</f>
        <v>09:00 - 18:00</v>
      </c>
      <c r="G43" s="21" t="str">
        <f>VLOOKUP(L43,Ubicacion!A:K,8,FALSE)</f>
        <v>SUNDAY</v>
      </c>
      <c r="H43" s="21">
        <f>VLOOKUP(L43,Ubicacion!A:K,9,FALSE)</f>
        <v>2</v>
      </c>
      <c r="I43" s="21">
        <f>VLOOKUP(L43,Ubicacion!A:K,10,FALSE)</f>
        <v>-12.1176703626289</v>
      </c>
      <c r="J43" s="21">
        <f>VLOOKUP(L43,Ubicacion!A:K,11,FALSE)</f>
        <v>-77.008344316890899</v>
      </c>
      <c r="K43" s="21" t="str">
        <f t="shared" si="3"/>
        <v>46148Grupo 2</v>
      </c>
      <c r="L43" s="21" t="s">
        <v>95</v>
      </c>
      <c r="M43" s="21">
        <v>1</v>
      </c>
      <c r="N43" s="24" t="s">
        <v>186</v>
      </c>
      <c r="O43" s="24" t="s">
        <v>191</v>
      </c>
      <c r="P43" s="23">
        <v>46148</v>
      </c>
      <c r="Q43" s="23">
        <f t="shared" si="14"/>
        <v>46148</v>
      </c>
      <c r="R43" s="24" t="str">
        <f ca="1">IF($A$1&lt;Q43,"On-time",IF(AND(Q43&lt;=$A$1,BJ43="OK"),"OK","NO OK"))</f>
        <v>OK</v>
      </c>
      <c r="S43" s="24" t="str">
        <f t="shared" si="4"/>
        <v>WEDNESDAY</v>
      </c>
      <c r="T43" s="24">
        <f>VLOOKUP(L43,Ubicacion!A:AE,13,FALSE)</f>
        <v>15</v>
      </c>
      <c r="U43" s="24">
        <f>VLOOKUP(L43,Ubicacion!A:AE,14,FALSE)</f>
        <v>25</v>
      </c>
      <c r="V43" s="24">
        <f>VLOOKUP(L43,Ubicacion!A:AE,15,FALSE)</f>
        <v>0</v>
      </c>
      <c r="W43" s="24">
        <f>VLOOKUP(L43,Ubicacion!A:AE,16,FALSE)</f>
        <v>5</v>
      </c>
      <c r="X43" s="24">
        <f>VLOOKUP(L43,Ubicacion!A:AE,17,FALSE)</f>
        <v>5</v>
      </c>
      <c r="Y43" s="24">
        <f>VLOOKUP(L43,Ubicacion!A:AE,18,FALSE)</f>
        <v>0</v>
      </c>
      <c r="Z43" s="24">
        <f>VLOOKUP(L43,Ubicacion!A:AE,19,FALSE)</f>
        <v>15</v>
      </c>
      <c r="AA43" s="24">
        <f>VLOOKUP(L43,Ubicacion!A:AE,20,FALSE)</f>
        <v>25</v>
      </c>
      <c r="AB43" s="24">
        <f>VLOOKUP(L43,Ubicacion!A:AE,21,FALSE)</f>
        <v>0</v>
      </c>
      <c r="AC43" s="24">
        <f>VLOOKUP(L43,Ubicacion!A:AE,22,FALSE)</f>
        <v>2</v>
      </c>
      <c r="AD43" s="24">
        <f>VLOOKUP(L43,Ubicacion!A:AE,23,FALSE)</f>
        <v>0</v>
      </c>
      <c r="AE43" s="24">
        <f>VLOOKUP(L43,Ubicacion!A:AE,24,FALSE)</f>
        <v>0</v>
      </c>
      <c r="AF43" s="24">
        <f>VLOOKUP(L43,Ubicacion!A:AE,25,FALSE)</f>
        <v>0</v>
      </c>
      <c r="AG43" s="24">
        <f>VLOOKUP(L43,Ubicacion!A:AE,26,FALSE)</f>
        <v>2</v>
      </c>
      <c r="AH43" s="24">
        <f>VLOOKUP(L43,Ubicacion!A:AE,27,FALSE)</f>
        <v>2</v>
      </c>
      <c r="AI43" s="24">
        <f>VLOOKUP(L43,Ubicacion!A:AE,28,FALSE)</f>
        <v>5</v>
      </c>
      <c r="AJ43" s="24">
        <f>VLOOKUP(L43,Ubicacion!A:AE,29,FALSE)</f>
        <v>3</v>
      </c>
      <c r="AK43" s="24">
        <f>VLOOKUP(L43,Ubicacion!A:AE,30,FALSE)</f>
        <v>1</v>
      </c>
      <c r="AL43" s="24">
        <f>VLOOKUP(L43,Ubicacion!A:AE,31,FALSE)</f>
        <v>1</v>
      </c>
      <c r="AM43" s="25">
        <f t="shared" si="15"/>
        <v>0.66666666666666663</v>
      </c>
      <c r="AN43" s="25">
        <f t="shared" si="16"/>
        <v>0.04</v>
      </c>
      <c r="AO43" s="25" t="str">
        <f t="shared" si="17"/>
        <v>100%</v>
      </c>
      <c r="AP43" s="25">
        <f t="shared" si="18"/>
        <v>0.4</v>
      </c>
      <c r="AQ43" s="25">
        <f t="shared" si="19"/>
        <v>0.4</v>
      </c>
      <c r="AR43" s="25" t="str">
        <f t="shared" si="20"/>
        <v>100%</v>
      </c>
      <c r="AS43" s="25">
        <f t="shared" si="21"/>
        <v>0.13333333333333333</v>
      </c>
      <c r="AT43" s="25">
        <f t="shared" si="22"/>
        <v>0.04</v>
      </c>
      <c r="AU43" s="25" t="str">
        <f t="shared" si="23"/>
        <v>100%</v>
      </c>
      <c r="AV43" s="24">
        <v>10</v>
      </c>
      <c r="AW43" s="24">
        <v>1</v>
      </c>
      <c r="AX43" s="24">
        <v>2</v>
      </c>
      <c r="AY43" s="24">
        <v>2</v>
      </c>
      <c r="AZ43" s="24">
        <v>2</v>
      </c>
      <c r="BA43" s="24">
        <v>1</v>
      </c>
      <c r="BB43" s="24">
        <v>2</v>
      </c>
      <c r="BC43" s="24">
        <v>1</v>
      </c>
      <c r="BD43" s="24">
        <v>1</v>
      </c>
      <c r="BE43" s="24" t="s">
        <v>184</v>
      </c>
      <c r="BF43" s="24" t="s">
        <v>184</v>
      </c>
      <c r="BG43" s="24" t="s">
        <v>183</v>
      </c>
      <c r="BH43" s="24" t="s">
        <v>183</v>
      </c>
      <c r="BI43" s="24" t="s">
        <v>183</v>
      </c>
      <c r="BJ43" s="24" t="s">
        <v>183</v>
      </c>
      <c r="BK43" s="24"/>
      <c r="BL43" s="24"/>
      <c r="BM43" s="57"/>
      <c r="BN43" s="2" t="str">
        <f t="shared" si="26"/>
        <v xml:space="preserve"> </v>
      </c>
      <c r="BO43" s="2" t="str">
        <f t="shared" si="26"/>
        <v xml:space="preserve"> </v>
      </c>
      <c r="BP43" s="2" t="str">
        <f t="shared" si="26"/>
        <v xml:space="preserve"> </v>
      </c>
      <c r="BQ43" s="2" t="str">
        <f t="shared" si="26"/>
        <v xml:space="preserve"> </v>
      </c>
      <c r="BR43" s="2" t="str">
        <f t="shared" si="26"/>
        <v xml:space="preserve"> </v>
      </c>
      <c r="BS43" s="2" t="str">
        <f t="shared" si="26"/>
        <v>.</v>
      </c>
      <c r="BT43" s="2" t="str">
        <f t="shared" si="26"/>
        <v xml:space="preserve"> </v>
      </c>
      <c r="BU43" s="2" t="str">
        <f t="shared" si="26"/>
        <v xml:space="preserve"> </v>
      </c>
      <c r="BV43" s="2" t="str">
        <f t="shared" si="26"/>
        <v xml:space="preserve"> </v>
      </c>
      <c r="BW43" s="2" t="str">
        <f t="shared" si="26"/>
        <v xml:space="preserve"> </v>
      </c>
      <c r="BX43" s="2" t="str">
        <f t="shared" si="26"/>
        <v xml:space="preserve"> </v>
      </c>
      <c r="BY43" s="2" t="str">
        <f t="shared" si="26"/>
        <v xml:space="preserve"> </v>
      </c>
      <c r="BZ43" s="2" t="str">
        <f t="shared" si="26"/>
        <v xml:space="preserve"> </v>
      </c>
      <c r="CA43" s="2" t="str">
        <f t="shared" si="26"/>
        <v xml:space="preserve"> </v>
      </c>
      <c r="CB43" s="2" t="str">
        <f t="shared" si="26"/>
        <v xml:space="preserve"> </v>
      </c>
      <c r="CC43" s="2" t="str">
        <f t="shared" si="26"/>
        <v xml:space="preserve"> </v>
      </c>
      <c r="CD43" s="2" t="str">
        <f t="shared" si="28"/>
        <v xml:space="preserve"> </v>
      </c>
      <c r="CE43" s="2" t="str">
        <f t="shared" si="28"/>
        <v xml:space="preserve"> </v>
      </c>
      <c r="CF43" s="2" t="str">
        <f t="shared" si="28"/>
        <v xml:space="preserve"> </v>
      </c>
      <c r="CG43" s="2" t="str">
        <f t="shared" si="28"/>
        <v xml:space="preserve"> </v>
      </c>
      <c r="CH43" s="2" t="str">
        <f t="shared" si="28"/>
        <v xml:space="preserve"> </v>
      </c>
      <c r="CI43" s="2" t="str">
        <f t="shared" si="28"/>
        <v xml:space="preserve"> </v>
      </c>
      <c r="CJ43" s="2" t="str">
        <f t="shared" si="28"/>
        <v xml:space="preserve"> </v>
      </c>
      <c r="CK43" s="2" t="str">
        <f t="shared" si="28"/>
        <v xml:space="preserve"> </v>
      </c>
      <c r="CL43" s="2" t="str">
        <f t="shared" si="28"/>
        <v xml:space="preserve"> </v>
      </c>
      <c r="CM43" s="2" t="str">
        <f t="shared" si="28"/>
        <v xml:space="preserve"> </v>
      </c>
      <c r="CN43" s="2" t="str">
        <f t="shared" si="28"/>
        <v xml:space="preserve"> </v>
      </c>
      <c r="CO43" s="2" t="str">
        <f t="shared" si="28"/>
        <v xml:space="preserve"> </v>
      </c>
      <c r="CP43" s="2" t="str">
        <f t="shared" si="28"/>
        <v xml:space="preserve"> </v>
      </c>
      <c r="CQ43" s="2" t="str">
        <f t="shared" si="28"/>
        <v xml:space="preserve"> </v>
      </c>
      <c r="CR43" s="2" t="str">
        <f t="shared" si="28"/>
        <v xml:space="preserve"> </v>
      </c>
    </row>
    <row r="44" spans="1:96">
      <c r="A44" s="21" t="str">
        <f>VLOOKUP(L44,Ubicacion!A:K,2,FALSE)</f>
        <v>LI3BR</v>
      </c>
      <c r="B44" s="21" t="str">
        <f>VLOOKUP(L44,Ubicacion!A:K,3,FALSE)</f>
        <v>LI3BC08</v>
      </c>
      <c r="C44" s="21" t="str">
        <f>VLOOKUP(L44,Ubicacion!A:K,4,FALSE)</f>
        <v>LIMA</v>
      </c>
      <c r="D44" s="21" t="str">
        <f>VLOOKUP(L44,Ubicacion!A:K,5,FALSE)</f>
        <v>SURQUILLO</v>
      </c>
      <c r="E44" s="21" t="str">
        <f>VLOOKUP(L44,Ubicacion!A:K,6,FALSE)</f>
        <v>Zone 5%</v>
      </c>
      <c r="F44" s="21" t="str">
        <f>VLOOKUP(L44,Ubicacion!A:K,7,FALSE)</f>
        <v>09:00 - 18:00</v>
      </c>
      <c r="G44" s="21" t="str">
        <f>VLOOKUP(L44,Ubicacion!A:K,8,FALSE)</f>
        <v>MONDAY</v>
      </c>
      <c r="H44" s="21">
        <f>VLOOKUP(L44,Ubicacion!A:K,9,FALSE)</f>
        <v>2</v>
      </c>
      <c r="I44" s="21">
        <f>VLOOKUP(L44,Ubicacion!A:K,10,FALSE)</f>
        <v>-12.112102819625401</v>
      </c>
      <c r="J44" s="21">
        <f>VLOOKUP(L44,Ubicacion!A:K,11,FALSE)</f>
        <v>-77.003088674182806</v>
      </c>
      <c r="K44" s="21" t="str">
        <f t="shared" si="3"/>
        <v>46149Grupo 2</v>
      </c>
      <c r="L44" s="21" t="s">
        <v>96</v>
      </c>
      <c r="M44" s="21">
        <v>1</v>
      </c>
      <c r="N44" s="24" t="s">
        <v>186</v>
      </c>
      <c r="O44" s="24" t="s">
        <v>191</v>
      </c>
      <c r="P44" s="23">
        <v>46149</v>
      </c>
      <c r="Q44" s="23">
        <f t="shared" si="14"/>
        <v>46149</v>
      </c>
      <c r="R44" s="24" t="str">
        <f ca="1">IF($A$1&lt;Q44,"On-time",IF(AND(Q44&lt;=$A$1,BJ44="OK"),"OK","NO OK"))</f>
        <v>OK</v>
      </c>
      <c r="S44" s="24" t="str">
        <f t="shared" si="4"/>
        <v>THURSDAY</v>
      </c>
      <c r="T44" s="24">
        <f>VLOOKUP(L44,Ubicacion!A:AE,13,FALSE)</f>
        <v>15</v>
      </c>
      <c r="U44" s="24">
        <f>VLOOKUP(L44,Ubicacion!A:AE,14,FALSE)</f>
        <v>25</v>
      </c>
      <c r="V44" s="24">
        <f>VLOOKUP(L44,Ubicacion!A:AE,15,FALSE)</f>
        <v>0</v>
      </c>
      <c r="W44" s="24">
        <f>VLOOKUP(L44,Ubicacion!A:AE,16,FALSE)</f>
        <v>5</v>
      </c>
      <c r="X44" s="24">
        <f>VLOOKUP(L44,Ubicacion!A:AE,17,FALSE)</f>
        <v>5</v>
      </c>
      <c r="Y44" s="24">
        <f>VLOOKUP(L44,Ubicacion!A:AE,18,FALSE)</f>
        <v>0</v>
      </c>
      <c r="Z44" s="24">
        <f>VLOOKUP(L44,Ubicacion!A:AE,19,FALSE)</f>
        <v>15</v>
      </c>
      <c r="AA44" s="24">
        <f>VLOOKUP(L44,Ubicacion!A:AE,20,FALSE)</f>
        <v>25</v>
      </c>
      <c r="AB44" s="24">
        <f>VLOOKUP(L44,Ubicacion!A:AE,21,FALSE)</f>
        <v>0</v>
      </c>
      <c r="AC44" s="24">
        <f>VLOOKUP(L44,Ubicacion!A:AE,22,FALSE)</f>
        <v>2</v>
      </c>
      <c r="AD44" s="24">
        <f>VLOOKUP(L44,Ubicacion!A:AE,23,FALSE)</f>
        <v>0</v>
      </c>
      <c r="AE44" s="24">
        <f>VLOOKUP(L44,Ubicacion!A:AE,24,FALSE)</f>
        <v>0</v>
      </c>
      <c r="AF44" s="24">
        <f>VLOOKUP(L44,Ubicacion!A:AE,25,FALSE)</f>
        <v>0</v>
      </c>
      <c r="AG44" s="24">
        <f>VLOOKUP(L44,Ubicacion!A:AE,26,FALSE)</f>
        <v>2</v>
      </c>
      <c r="AH44" s="24">
        <f>VLOOKUP(L44,Ubicacion!A:AE,27,FALSE)</f>
        <v>2</v>
      </c>
      <c r="AI44" s="24">
        <f>VLOOKUP(L44,Ubicacion!A:AE,28,FALSE)</f>
        <v>5</v>
      </c>
      <c r="AJ44" s="24">
        <f>VLOOKUP(L44,Ubicacion!A:AE,29,FALSE)</f>
        <v>3</v>
      </c>
      <c r="AK44" s="24">
        <f>VLOOKUP(L44,Ubicacion!A:AE,30,FALSE)</f>
        <v>1</v>
      </c>
      <c r="AL44" s="24">
        <f>VLOOKUP(L44,Ubicacion!A:AE,31,FALSE)</f>
        <v>1</v>
      </c>
      <c r="AM44" s="25">
        <f t="shared" si="15"/>
        <v>0.66666666666666663</v>
      </c>
      <c r="AN44" s="25">
        <f t="shared" si="16"/>
        <v>0.04</v>
      </c>
      <c r="AO44" s="25" t="str">
        <f t="shared" si="17"/>
        <v>100%</v>
      </c>
      <c r="AP44" s="25">
        <f t="shared" si="18"/>
        <v>0.4</v>
      </c>
      <c r="AQ44" s="25">
        <f t="shared" si="19"/>
        <v>0.4</v>
      </c>
      <c r="AR44" s="25" t="str">
        <f t="shared" si="20"/>
        <v>100%</v>
      </c>
      <c r="AS44" s="25">
        <f t="shared" si="21"/>
        <v>0.13333333333333333</v>
      </c>
      <c r="AT44" s="25">
        <f t="shared" si="22"/>
        <v>0.04</v>
      </c>
      <c r="AU44" s="25" t="str">
        <f t="shared" si="23"/>
        <v>100%</v>
      </c>
      <c r="AV44" s="24">
        <v>10</v>
      </c>
      <c r="AW44" s="24">
        <v>1</v>
      </c>
      <c r="AX44" s="24">
        <v>2</v>
      </c>
      <c r="AY44" s="24">
        <v>2</v>
      </c>
      <c r="AZ44" s="24">
        <v>2</v>
      </c>
      <c r="BA44" s="24">
        <v>1</v>
      </c>
      <c r="BB44" s="24">
        <v>2</v>
      </c>
      <c r="BC44" s="24">
        <v>1</v>
      </c>
      <c r="BD44" s="24">
        <v>1</v>
      </c>
      <c r="BE44" s="24" t="s">
        <v>184</v>
      </c>
      <c r="BF44" s="24" t="s">
        <v>184</v>
      </c>
      <c r="BG44" s="24" t="s">
        <v>183</v>
      </c>
      <c r="BH44" s="24" t="s">
        <v>183</v>
      </c>
      <c r="BI44" s="24" t="s">
        <v>183</v>
      </c>
      <c r="BJ44" s="24" t="s">
        <v>183</v>
      </c>
      <c r="BK44" s="24"/>
      <c r="BL44" s="24"/>
      <c r="BM44" s="57"/>
      <c r="BN44" s="2" t="str">
        <f t="shared" si="26"/>
        <v xml:space="preserve"> </v>
      </c>
      <c r="BO44" s="2" t="str">
        <f t="shared" si="26"/>
        <v xml:space="preserve"> </v>
      </c>
      <c r="BP44" s="2" t="str">
        <f t="shared" si="26"/>
        <v xml:space="preserve"> </v>
      </c>
      <c r="BQ44" s="2" t="str">
        <f t="shared" si="26"/>
        <v xml:space="preserve"> </v>
      </c>
      <c r="BR44" s="2" t="str">
        <f t="shared" si="26"/>
        <v xml:space="preserve"> </v>
      </c>
      <c r="BS44" s="2" t="str">
        <f t="shared" si="26"/>
        <v xml:space="preserve"> </v>
      </c>
      <c r="BT44" s="2" t="str">
        <f t="shared" si="26"/>
        <v>.</v>
      </c>
      <c r="BU44" s="2" t="str">
        <f t="shared" si="26"/>
        <v xml:space="preserve"> </v>
      </c>
      <c r="BV44" s="2" t="str">
        <f t="shared" si="26"/>
        <v xml:space="preserve"> </v>
      </c>
      <c r="BW44" s="2" t="str">
        <f t="shared" si="26"/>
        <v xml:space="preserve"> </v>
      </c>
      <c r="BX44" s="2" t="str">
        <f t="shared" si="26"/>
        <v xml:space="preserve"> </v>
      </c>
      <c r="BY44" s="2" t="str">
        <f t="shared" si="26"/>
        <v xml:space="preserve"> </v>
      </c>
      <c r="BZ44" s="2" t="str">
        <f t="shared" si="26"/>
        <v xml:space="preserve"> </v>
      </c>
      <c r="CA44" s="2" t="str">
        <f t="shared" si="26"/>
        <v xml:space="preserve"> </v>
      </c>
      <c r="CB44" s="2" t="str">
        <f t="shared" si="26"/>
        <v xml:space="preserve"> </v>
      </c>
      <c r="CC44" s="2" t="str">
        <f t="shared" si="26"/>
        <v xml:space="preserve"> </v>
      </c>
      <c r="CD44" s="2" t="str">
        <f t="shared" si="28"/>
        <v xml:space="preserve"> </v>
      </c>
      <c r="CE44" s="2" t="str">
        <f t="shared" si="28"/>
        <v xml:space="preserve"> </v>
      </c>
      <c r="CF44" s="2" t="str">
        <f t="shared" si="28"/>
        <v xml:space="preserve"> </v>
      </c>
      <c r="CG44" s="2" t="str">
        <f t="shared" si="28"/>
        <v xml:space="preserve"> </v>
      </c>
      <c r="CH44" s="2" t="str">
        <f t="shared" si="28"/>
        <v xml:space="preserve"> </v>
      </c>
      <c r="CI44" s="2" t="str">
        <f t="shared" si="28"/>
        <v xml:space="preserve"> </v>
      </c>
      <c r="CJ44" s="2" t="str">
        <f t="shared" si="28"/>
        <v xml:space="preserve"> </v>
      </c>
      <c r="CK44" s="2" t="str">
        <f t="shared" si="28"/>
        <v xml:space="preserve"> </v>
      </c>
      <c r="CL44" s="2" t="str">
        <f t="shared" si="28"/>
        <v xml:space="preserve"> </v>
      </c>
      <c r="CM44" s="2" t="str">
        <f t="shared" si="28"/>
        <v xml:space="preserve"> </v>
      </c>
      <c r="CN44" s="2" t="str">
        <f t="shared" si="28"/>
        <v xml:space="preserve"> </v>
      </c>
      <c r="CO44" s="2" t="str">
        <f t="shared" si="28"/>
        <v xml:space="preserve"> </v>
      </c>
      <c r="CP44" s="2" t="str">
        <f t="shared" si="28"/>
        <v xml:space="preserve"> </v>
      </c>
      <c r="CQ44" s="2" t="str">
        <f t="shared" si="28"/>
        <v xml:space="preserve"> </v>
      </c>
      <c r="CR44" s="2" t="str">
        <f t="shared" si="28"/>
        <v xml:space="preserve"> </v>
      </c>
    </row>
    <row r="45" spans="1:96">
      <c r="A45" s="21" t="str">
        <f>VLOOKUP(L45,Ubicacion!A:K,2,FALSE)</f>
        <v>LI3BR</v>
      </c>
      <c r="B45" s="21" t="str">
        <f>VLOOKUP(L45,Ubicacion!A:K,3,FALSE)</f>
        <v>LI2BC13</v>
      </c>
      <c r="C45" s="21" t="str">
        <f>VLOOKUP(L45,Ubicacion!A:K,4,FALSE)</f>
        <v>LIMA</v>
      </c>
      <c r="D45" s="21" t="str">
        <f>VLOOKUP(L45,Ubicacion!A:K,5,FALSE)</f>
        <v>SAN BORJA</v>
      </c>
      <c r="E45" s="21" t="str">
        <f>VLOOKUP(L45,Ubicacion!A:K,6,FALSE)</f>
        <v>Zone 5%</v>
      </c>
      <c r="F45" s="21" t="str">
        <f>VLOOKUP(L45,Ubicacion!A:K,7,FALSE)</f>
        <v>09:00 - 18:00</v>
      </c>
      <c r="G45" s="21" t="str">
        <f>VLOOKUP(L45,Ubicacion!A:K,8,FALSE)</f>
        <v>TUESDAY</v>
      </c>
      <c r="H45" s="21">
        <f>VLOOKUP(L45,Ubicacion!A:K,9,FALSE)</f>
        <v>2</v>
      </c>
      <c r="I45" s="21">
        <f>VLOOKUP(L45,Ubicacion!A:K,10,FALSE)</f>
        <v>-12.0898398430006</v>
      </c>
      <c r="J45" s="21">
        <f>VLOOKUP(L45,Ubicacion!A:K,11,FALSE)</f>
        <v>-76.996418460366002</v>
      </c>
      <c r="K45" s="21" t="str">
        <f t="shared" si="3"/>
        <v>46150Grupo 3</v>
      </c>
      <c r="L45" s="21" t="s">
        <v>97</v>
      </c>
      <c r="M45" s="21">
        <v>1</v>
      </c>
      <c r="N45" s="24" t="s">
        <v>186</v>
      </c>
      <c r="O45" s="24" t="s">
        <v>192</v>
      </c>
      <c r="P45" s="23">
        <v>46150</v>
      </c>
      <c r="Q45" s="23">
        <f t="shared" si="14"/>
        <v>46150</v>
      </c>
      <c r="R45" s="24" t="str">
        <f ca="1">IF($A$1&lt;Q45,"On-time",IF(AND(Q45&lt;=$A$1,BJ45="OK"),"OK","NO OK"))</f>
        <v>OK</v>
      </c>
      <c r="S45" s="24" t="str">
        <f t="shared" si="4"/>
        <v>FRIDAY</v>
      </c>
      <c r="T45" s="24">
        <f>VLOOKUP(L45,Ubicacion!A:AE,13,FALSE)</f>
        <v>15</v>
      </c>
      <c r="U45" s="24">
        <f>VLOOKUP(L45,Ubicacion!A:AE,14,FALSE)</f>
        <v>25</v>
      </c>
      <c r="V45" s="24">
        <f>VLOOKUP(L45,Ubicacion!A:AE,15,FALSE)</f>
        <v>0</v>
      </c>
      <c r="W45" s="24">
        <f>VLOOKUP(L45,Ubicacion!A:AE,16,FALSE)</f>
        <v>5</v>
      </c>
      <c r="X45" s="24">
        <f>VLOOKUP(L45,Ubicacion!A:AE,17,FALSE)</f>
        <v>5</v>
      </c>
      <c r="Y45" s="24">
        <f>VLOOKUP(L45,Ubicacion!A:AE,18,FALSE)</f>
        <v>0</v>
      </c>
      <c r="Z45" s="24">
        <f>VLOOKUP(L45,Ubicacion!A:AE,19,FALSE)</f>
        <v>15</v>
      </c>
      <c r="AA45" s="24">
        <f>VLOOKUP(L45,Ubicacion!A:AE,20,FALSE)</f>
        <v>25</v>
      </c>
      <c r="AB45" s="24">
        <f>VLOOKUP(L45,Ubicacion!A:AE,21,FALSE)</f>
        <v>0</v>
      </c>
      <c r="AC45" s="24">
        <f>VLOOKUP(L45,Ubicacion!A:AE,22,FALSE)</f>
        <v>2</v>
      </c>
      <c r="AD45" s="24">
        <f>VLOOKUP(L45,Ubicacion!A:AE,23,FALSE)</f>
        <v>0</v>
      </c>
      <c r="AE45" s="24">
        <f>VLOOKUP(L45,Ubicacion!A:AE,24,FALSE)</f>
        <v>0</v>
      </c>
      <c r="AF45" s="24">
        <f>VLOOKUP(L45,Ubicacion!A:AE,25,FALSE)</f>
        <v>0</v>
      </c>
      <c r="AG45" s="24">
        <f>VLOOKUP(L45,Ubicacion!A:AE,26,FALSE)</f>
        <v>2</v>
      </c>
      <c r="AH45" s="24">
        <f>VLOOKUP(L45,Ubicacion!A:AE,27,FALSE)</f>
        <v>2</v>
      </c>
      <c r="AI45" s="24">
        <f>VLOOKUP(L45,Ubicacion!A:AE,28,FALSE)</f>
        <v>5</v>
      </c>
      <c r="AJ45" s="24">
        <f>VLOOKUP(L45,Ubicacion!A:AE,29,FALSE)</f>
        <v>3</v>
      </c>
      <c r="AK45" s="24">
        <f>VLOOKUP(L45,Ubicacion!A:AE,30,FALSE)</f>
        <v>1</v>
      </c>
      <c r="AL45" s="24">
        <f>VLOOKUP(L45,Ubicacion!A:AE,31,FALSE)</f>
        <v>1</v>
      </c>
      <c r="AM45" s="25">
        <f t="shared" si="15"/>
        <v>0.66666666666666663</v>
      </c>
      <c r="AN45" s="25">
        <f t="shared" si="16"/>
        <v>0.04</v>
      </c>
      <c r="AO45" s="25" t="str">
        <f t="shared" si="17"/>
        <v>100%</v>
      </c>
      <c r="AP45" s="25">
        <f t="shared" si="18"/>
        <v>0.4</v>
      </c>
      <c r="AQ45" s="25">
        <f t="shared" si="19"/>
        <v>0.4</v>
      </c>
      <c r="AR45" s="25" t="str">
        <f t="shared" si="20"/>
        <v>100%</v>
      </c>
      <c r="AS45" s="25">
        <f t="shared" si="21"/>
        <v>0.13333333333333333</v>
      </c>
      <c r="AT45" s="25">
        <f t="shared" si="22"/>
        <v>0.04</v>
      </c>
      <c r="AU45" s="25" t="str">
        <f t="shared" si="23"/>
        <v>100%</v>
      </c>
      <c r="AV45" s="24">
        <v>10</v>
      </c>
      <c r="AW45" s="24">
        <v>1</v>
      </c>
      <c r="AX45" s="24">
        <v>2</v>
      </c>
      <c r="AY45" s="24">
        <v>2</v>
      </c>
      <c r="AZ45" s="24">
        <v>2</v>
      </c>
      <c r="BA45" s="24">
        <v>1</v>
      </c>
      <c r="BB45" s="24">
        <v>2</v>
      </c>
      <c r="BC45" s="24">
        <v>1</v>
      </c>
      <c r="BD45" s="24">
        <v>1</v>
      </c>
      <c r="BE45" s="24" t="s">
        <v>184</v>
      </c>
      <c r="BF45" s="24" t="s">
        <v>184</v>
      </c>
      <c r="BG45" s="24" t="s">
        <v>183</v>
      </c>
      <c r="BH45" s="24" t="s">
        <v>183</v>
      </c>
      <c r="BI45" s="24" t="s">
        <v>183</v>
      </c>
      <c r="BJ45" s="24" t="s">
        <v>183</v>
      </c>
      <c r="BK45" s="24"/>
      <c r="BL45" s="24"/>
      <c r="BM45" s="57"/>
      <c r="BN45" s="2" t="str">
        <f t="shared" si="26"/>
        <v xml:space="preserve"> </v>
      </c>
      <c r="BO45" s="2" t="str">
        <f t="shared" si="26"/>
        <v xml:space="preserve"> </v>
      </c>
      <c r="BP45" s="2" t="str">
        <f t="shared" si="26"/>
        <v xml:space="preserve"> </v>
      </c>
      <c r="BQ45" s="2" t="str">
        <f t="shared" si="26"/>
        <v xml:space="preserve"> </v>
      </c>
      <c r="BR45" s="2" t="str">
        <f t="shared" si="26"/>
        <v xml:space="preserve"> </v>
      </c>
      <c r="BS45" s="2" t="str">
        <f t="shared" si="26"/>
        <v xml:space="preserve"> </v>
      </c>
      <c r="BT45" s="2" t="str">
        <f t="shared" si="26"/>
        <v xml:space="preserve"> </v>
      </c>
      <c r="BU45" s="2" t="str">
        <f t="shared" si="26"/>
        <v>.</v>
      </c>
      <c r="BV45" s="2" t="str">
        <f t="shared" si="26"/>
        <v xml:space="preserve"> </v>
      </c>
      <c r="BW45" s="2" t="str">
        <f t="shared" si="26"/>
        <v xml:space="preserve"> </v>
      </c>
      <c r="BX45" s="2" t="str">
        <f t="shared" si="26"/>
        <v xml:space="preserve"> </v>
      </c>
      <c r="BY45" s="2" t="str">
        <f t="shared" si="26"/>
        <v xml:space="preserve"> </v>
      </c>
      <c r="BZ45" s="2" t="str">
        <f t="shared" si="26"/>
        <v xml:space="preserve"> </v>
      </c>
      <c r="CA45" s="2" t="str">
        <f t="shared" si="26"/>
        <v xml:space="preserve"> </v>
      </c>
      <c r="CB45" s="2" t="str">
        <f t="shared" si="26"/>
        <v xml:space="preserve"> </v>
      </c>
      <c r="CC45" s="2" t="str">
        <f t="shared" si="26"/>
        <v xml:space="preserve"> </v>
      </c>
      <c r="CD45" s="2" t="str">
        <f t="shared" si="28"/>
        <v xml:space="preserve"> </v>
      </c>
      <c r="CE45" s="2" t="str">
        <f t="shared" si="28"/>
        <v xml:space="preserve"> </v>
      </c>
      <c r="CF45" s="2" t="str">
        <f t="shared" si="28"/>
        <v xml:space="preserve"> </v>
      </c>
      <c r="CG45" s="2" t="str">
        <f t="shared" si="28"/>
        <v xml:space="preserve"> </v>
      </c>
      <c r="CH45" s="2" t="str">
        <f t="shared" si="28"/>
        <v xml:space="preserve"> </v>
      </c>
      <c r="CI45" s="2" t="str">
        <f t="shared" si="28"/>
        <v xml:space="preserve"> </v>
      </c>
      <c r="CJ45" s="2" t="str">
        <f t="shared" si="28"/>
        <v xml:space="preserve"> </v>
      </c>
      <c r="CK45" s="2" t="str">
        <f t="shared" si="28"/>
        <v xml:space="preserve"> </v>
      </c>
      <c r="CL45" s="2" t="str">
        <f t="shared" si="28"/>
        <v xml:space="preserve"> </v>
      </c>
      <c r="CM45" s="2" t="str">
        <f t="shared" si="28"/>
        <v xml:space="preserve"> </v>
      </c>
      <c r="CN45" s="2" t="str">
        <f t="shared" si="28"/>
        <v xml:space="preserve"> </v>
      </c>
      <c r="CO45" s="2" t="str">
        <f t="shared" si="28"/>
        <v xml:space="preserve"> </v>
      </c>
      <c r="CP45" s="2" t="str">
        <f t="shared" si="28"/>
        <v xml:space="preserve"> </v>
      </c>
      <c r="CQ45" s="2" t="str">
        <f t="shared" si="28"/>
        <v xml:space="preserve"> </v>
      </c>
      <c r="CR45" s="2" t="str">
        <f t="shared" si="28"/>
        <v xml:space="preserve"> </v>
      </c>
    </row>
    <row r="46" spans="1:96">
      <c r="A46" s="21" t="str">
        <f>VLOOKUP(L46,Ubicacion!A:K,2,FALSE)</f>
        <v>LI3BR</v>
      </c>
      <c r="B46" s="21" t="str">
        <f>VLOOKUP(L46,Ubicacion!A:K,3,FALSE)</f>
        <v>LI2BC13</v>
      </c>
      <c r="C46" s="21" t="str">
        <f>VLOOKUP(L46,Ubicacion!A:K,4,FALSE)</f>
        <v>LIMA</v>
      </c>
      <c r="D46" s="21" t="str">
        <f>VLOOKUP(L46,Ubicacion!A:K,5,FALSE)</f>
        <v>SAN BORJA</v>
      </c>
      <c r="E46" s="21" t="str">
        <f>VLOOKUP(L46,Ubicacion!A:K,6,FALSE)</f>
        <v>Zone 5%</v>
      </c>
      <c r="F46" s="21" t="str">
        <f>VLOOKUP(L46,Ubicacion!A:K,7,FALSE)</f>
        <v>09:00 - 18:00</v>
      </c>
      <c r="G46" s="21" t="str">
        <f>VLOOKUP(L46,Ubicacion!A:K,8,FALSE)</f>
        <v>WEDNESDAY</v>
      </c>
      <c r="H46" s="21">
        <f>VLOOKUP(L46,Ubicacion!A:K,9,FALSE)</f>
        <v>2</v>
      </c>
      <c r="I46" s="21">
        <f>VLOOKUP(L46,Ubicacion!A:K,10,FALSE)</f>
        <v>-12.086488058923999</v>
      </c>
      <c r="J46" s="21">
        <f>VLOOKUP(L46,Ubicacion!A:K,11,FALSE)</f>
        <v>-77.000298031100598</v>
      </c>
      <c r="K46" s="21" t="str">
        <f t="shared" si="3"/>
        <v>46151Grupo 3</v>
      </c>
      <c r="L46" s="21" t="s">
        <v>98</v>
      </c>
      <c r="M46" s="21">
        <v>1</v>
      </c>
      <c r="N46" s="24" t="s">
        <v>186</v>
      </c>
      <c r="O46" s="24" t="s">
        <v>192</v>
      </c>
      <c r="P46" s="23">
        <v>46151</v>
      </c>
      <c r="Q46" s="23">
        <f t="shared" si="14"/>
        <v>46151</v>
      </c>
      <c r="R46" s="24" t="str">
        <f ca="1">IF($A$1&lt;Q46,"On-time",IF(AND(Q46&lt;=$A$1,BJ46="OK"),"OK","NO OK"))</f>
        <v>OK</v>
      </c>
      <c r="S46" s="24" t="str">
        <f t="shared" si="4"/>
        <v>SATURDAY</v>
      </c>
      <c r="T46" s="24">
        <f>VLOOKUP(L46,Ubicacion!A:AE,13,FALSE)</f>
        <v>15</v>
      </c>
      <c r="U46" s="24">
        <f>VLOOKUP(L46,Ubicacion!A:AE,14,FALSE)</f>
        <v>25</v>
      </c>
      <c r="V46" s="24">
        <f>VLOOKUP(L46,Ubicacion!A:AE,15,FALSE)</f>
        <v>0</v>
      </c>
      <c r="W46" s="24">
        <f>VLOOKUP(L46,Ubicacion!A:AE,16,FALSE)</f>
        <v>5</v>
      </c>
      <c r="X46" s="24">
        <f>VLOOKUP(L46,Ubicacion!A:AE,17,FALSE)</f>
        <v>5</v>
      </c>
      <c r="Y46" s="24">
        <f>VLOOKUP(L46,Ubicacion!A:AE,18,FALSE)</f>
        <v>0</v>
      </c>
      <c r="Z46" s="24">
        <f>VLOOKUP(L46,Ubicacion!A:AE,19,FALSE)</f>
        <v>15</v>
      </c>
      <c r="AA46" s="24">
        <f>VLOOKUP(L46,Ubicacion!A:AE,20,FALSE)</f>
        <v>25</v>
      </c>
      <c r="AB46" s="24">
        <f>VLOOKUP(L46,Ubicacion!A:AE,21,FALSE)</f>
        <v>0</v>
      </c>
      <c r="AC46" s="24">
        <f>VLOOKUP(L46,Ubicacion!A:AE,22,FALSE)</f>
        <v>2</v>
      </c>
      <c r="AD46" s="24">
        <f>VLOOKUP(L46,Ubicacion!A:AE,23,FALSE)</f>
        <v>0</v>
      </c>
      <c r="AE46" s="24">
        <f>VLOOKUP(L46,Ubicacion!A:AE,24,FALSE)</f>
        <v>0</v>
      </c>
      <c r="AF46" s="24">
        <f>VLOOKUP(L46,Ubicacion!A:AE,25,FALSE)</f>
        <v>0</v>
      </c>
      <c r="AG46" s="24">
        <f>VLOOKUP(L46,Ubicacion!A:AE,26,FALSE)</f>
        <v>2</v>
      </c>
      <c r="AH46" s="24">
        <f>VLOOKUP(L46,Ubicacion!A:AE,27,FALSE)</f>
        <v>2</v>
      </c>
      <c r="AI46" s="24">
        <f>VLOOKUP(L46,Ubicacion!A:AE,28,FALSE)</f>
        <v>5</v>
      </c>
      <c r="AJ46" s="24">
        <f>VLOOKUP(L46,Ubicacion!A:AE,29,FALSE)</f>
        <v>3</v>
      </c>
      <c r="AK46" s="24">
        <f>VLOOKUP(L46,Ubicacion!A:AE,30,FALSE)</f>
        <v>1</v>
      </c>
      <c r="AL46" s="24">
        <f>VLOOKUP(L46,Ubicacion!A:AE,31,FALSE)</f>
        <v>1</v>
      </c>
      <c r="AM46" s="25">
        <f t="shared" si="15"/>
        <v>0.66666666666666663</v>
      </c>
      <c r="AN46" s="25">
        <f t="shared" si="16"/>
        <v>0.04</v>
      </c>
      <c r="AO46" s="25" t="str">
        <f t="shared" si="17"/>
        <v>100%</v>
      </c>
      <c r="AP46" s="25">
        <f t="shared" si="18"/>
        <v>0.4</v>
      </c>
      <c r="AQ46" s="25">
        <f t="shared" si="19"/>
        <v>0.4</v>
      </c>
      <c r="AR46" s="25" t="str">
        <f t="shared" si="20"/>
        <v>100%</v>
      </c>
      <c r="AS46" s="25">
        <f t="shared" si="21"/>
        <v>0.13333333333333333</v>
      </c>
      <c r="AT46" s="25">
        <f t="shared" si="22"/>
        <v>0.04</v>
      </c>
      <c r="AU46" s="25" t="str">
        <f t="shared" si="23"/>
        <v>100%</v>
      </c>
      <c r="AV46" s="24">
        <v>10</v>
      </c>
      <c r="AW46" s="24">
        <v>1</v>
      </c>
      <c r="AX46" s="24">
        <v>2</v>
      </c>
      <c r="AY46" s="24">
        <v>2</v>
      </c>
      <c r="AZ46" s="24">
        <v>2</v>
      </c>
      <c r="BA46" s="24">
        <v>1</v>
      </c>
      <c r="BB46" s="24">
        <v>2</v>
      </c>
      <c r="BC46" s="24">
        <v>1</v>
      </c>
      <c r="BD46" s="24">
        <v>1</v>
      </c>
      <c r="BE46" s="24" t="s">
        <v>184</v>
      </c>
      <c r="BF46" s="24" t="s">
        <v>184</v>
      </c>
      <c r="BG46" s="24" t="s">
        <v>183</v>
      </c>
      <c r="BH46" s="24" t="s">
        <v>183</v>
      </c>
      <c r="BI46" s="24" t="s">
        <v>183</v>
      </c>
      <c r="BJ46" s="24" t="s">
        <v>183</v>
      </c>
      <c r="BK46" s="24"/>
      <c r="BL46" s="24"/>
      <c r="BM46" s="57"/>
      <c r="BN46" s="2" t="str">
        <f t="shared" si="26"/>
        <v xml:space="preserve"> </v>
      </c>
      <c r="BO46" s="2" t="str">
        <f t="shared" si="26"/>
        <v xml:space="preserve"> </v>
      </c>
      <c r="BP46" s="2" t="str">
        <f t="shared" si="26"/>
        <v xml:space="preserve"> </v>
      </c>
      <c r="BQ46" s="2" t="str">
        <f t="shared" si="26"/>
        <v xml:space="preserve"> </v>
      </c>
      <c r="BR46" s="2" t="str">
        <f t="shared" si="26"/>
        <v xml:space="preserve"> </v>
      </c>
      <c r="BS46" s="2" t="str">
        <f t="shared" si="26"/>
        <v xml:space="preserve"> </v>
      </c>
      <c r="BT46" s="2" t="str">
        <f t="shared" si="26"/>
        <v xml:space="preserve"> </v>
      </c>
      <c r="BU46" s="2" t="str">
        <f t="shared" si="26"/>
        <v xml:space="preserve"> </v>
      </c>
      <c r="BV46" s="2" t="str">
        <f t="shared" si="26"/>
        <v>.</v>
      </c>
      <c r="BW46" s="2" t="str">
        <f t="shared" si="26"/>
        <v xml:space="preserve"> </v>
      </c>
      <c r="BX46" s="2" t="str">
        <f t="shared" si="26"/>
        <v xml:space="preserve"> </v>
      </c>
      <c r="BY46" s="2" t="str">
        <f t="shared" si="26"/>
        <v xml:space="preserve"> </v>
      </c>
      <c r="BZ46" s="2" t="str">
        <f t="shared" si="26"/>
        <v xml:space="preserve"> </v>
      </c>
      <c r="CA46" s="2" t="str">
        <f t="shared" si="26"/>
        <v xml:space="preserve"> </v>
      </c>
      <c r="CB46" s="2" t="str">
        <f t="shared" si="26"/>
        <v xml:space="preserve"> </v>
      </c>
      <c r="CC46" s="2" t="str">
        <f t="shared" si="26"/>
        <v xml:space="preserve"> </v>
      </c>
      <c r="CD46" s="2" t="str">
        <f t="shared" si="28"/>
        <v xml:space="preserve"> </v>
      </c>
      <c r="CE46" s="2" t="str">
        <f t="shared" si="28"/>
        <v xml:space="preserve"> </v>
      </c>
      <c r="CF46" s="2" t="str">
        <f t="shared" si="28"/>
        <v xml:space="preserve"> </v>
      </c>
      <c r="CG46" s="2" t="str">
        <f t="shared" si="28"/>
        <v xml:space="preserve"> </v>
      </c>
      <c r="CH46" s="2" t="str">
        <f t="shared" si="28"/>
        <v xml:space="preserve"> </v>
      </c>
      <c r="CI46" s="2" t="str">
        <f t="shared" si="28"/>
        <v xml:space="preserve"> </v>
      </c>
      <c r="CJ46" s="2" t="str">
        <f t="shared" si="28"/>
        <v xml:space="preserve"> </v>
      </c>
      <c r="CK46" s="2" t="str">
        <f t="shared" si="28"/>
        <v xml:space="preserve"> </v>
      </c>
      <c r="CL46" s="2" t="str">
        <f t="shared" si="28"/>
        <v xml:space="preserve"> </v>
      </c>
      <c r="CM46" s="2" t="str">
        <f t="shared" si="28"/>
        <v xml:space="preserve"> </v>
      </c>
      <c r="CN46" s="2" t="str">
        <f t="shared" si="28"/>
        <v xml:space="preserve"> </v>
      </c>
      <c r="CO46" s="2" t="str">
        <f t="shared" si="28"/>
        <v xml:space="preserve"> </v>
      </c>
      <c r="CP46" s="2" t="str">
        <f t="shared" si="28"/>
        <v xml:space="preserve"> </v>
      </c>
      <c r="CQ46" s="2" t="str">
        <f t="shared" si="28"/>
        <v xml:space="preserve"> </v>
      </c>
      <c r="CR46" s="2" t="str">
        <f t="shared" si="28"/>
        <v xml:space="preserve"> </v>
      </c>
    </row>
    <row r="47" spans="1:96">
      <c r="A47" s="21" t="str">
        <f>VLOOKUP(L47,Ubicacion!A:K,2,FALSE)</f>
        <v>LI3BR</v>
      </c>
      <c r="B47" s="21" t="str">
        <f>VLOOKUP(L47,Ubicacion!A:K,3,FALSE)</f>
        <v>LI3BC06</v>
      </c>
      <c r="C47" s="21" t="str">
        <f>VLOOKUP(L47,Ubicacion!A:K,4,FALSE)</f>
        <v>LIMA</v>
      </c>
      <c r="D47" s="21" t="str">
        <f>VLOOKUP(L47,Ubicacion!A:K,5,FALSE)</f>
        <v>SURCO</v>
      </c>
      <c r="E47" s="21" t="str">
        <f>VLOOKUP(L47,Ubicacion!A:K,6,FALSE)</f>
        <v>Universidad</v>
      </c>
      <c r="F47" s="21" t="str">
        <f>VLOOKUP(L47,Ubicacion!A:K,7,FALSE)</f>
        <v>09:00 - 18:00</v>
      </c>
      <c r="G47" s="21" t="str">
        <f>VLOOKUP(L47,Ubicacion!A:K,8,FALSE)</f>
        <v>THURSDAY</v>
      </c>
      <c r="H47" s="21">
        <f>VLOOKUP(L47,Ubicacion!A:K,9,FALSE)</f>
        <v>2</v>
      </c>
      <c r="I47" s="21">
        <f>VLOOKUP(L47,Ubicacion!A:K,10,FALSE)</f>
        <v>-12.113266636378899</v>
      </c>
      <c r="J47" s="21">
        <f>VLOOKUP(L47,Ubicacion!A:K,11,FALSE)</f>
        <v>-76.992621552291396</v>
      </c>
      <c r="K47" s="21" t="str">
        <f t="shared" si="3"/>
        <v>46152Grupo 3</v>
      </c>
      <c r="L47" s="21" t="s">
        <v>99</v>
      </c>
      <c r="M47" s="21">
        <v>1</v>
      </c>
      <c r="N47" s="24" t="s">
        <v>186</v>
      </c>
      <c r="O47" s="24" t="s">
        <v>192</v>
      </c>
      <c r="P47" s="23">
        <v>46152</v>
      </c>
      <c r="Q47" s="23">
        <f t="shared" si="14"/>
        <v>46152</v>
      </c>
      <c r="R47" s="24" t="str">
        <f ca="1">IF($A$1&lt;Q47,"On-time",IF(AND(Q47&lt;=$A$1,BJ47="OK"),"OK","NO OK"))</f>
        <v>OK</v>
      </c>
      <c r="S47" s="24" t="str">
        <f t="shared" si="4"/>
        <v>SUNDAY</v>
      </c>
      <c r="T47" s="24">
        <f>VLOOKUP(L47,Ubicacion!A:AE,13,FALSE)</f>
        <v>15</v>
      </c>
      <c r="U47" s="24">
        <f>VLOOKUP(L47,Ubicacion!A:AE,14,FALSE)</f>
        <v>25</v>
      </c>
      <c r="V47" s="24">
        <f>VLOOKUP(L47,Ubicacion!A:AE,15,FALSE)</f>
        <v>0</v>
      </c>
      <c r="W47" s="24">
        <f>VLOOKUP(L47,Ubicacion!A:AE,16,FALSE)</f>
        <v>5</v>
      </c>
      <c r="X47" s="24">
        <f>VLOOKUP(L47,Ubicacion!A:AE,17,FALSE)</f>
        <v>5</v>
      </c>
      <c r="Y47" s="24">
        <f>VLOOKUP(L47,Ubicacion!A:AE,18,FALSE)</f>
        <v>0</v>
      </c>
      <c r="Z47" s="24">
        <f>VLOOKUP(L47,Ubicacion!A:AE,19,FALSE)</f>
        <v>15</v>
      </c>
      <c r="AA47" s="24">
        <f>VLOOKUP(L47,Ubicacion!A:AE,20,FALSE)</f>
        <v>25</v>
      </c>
      <c r="AB47" s="24">
        <f>VLOOKUP(L47,Ubicacion!A:AE,21,FALSE)</f>
        <v>0</v>
      </c>
      <c r="AC47" s="24">
        <f>VLOOKUP(L47,Ubicacion!A:AE,22,FALSE)</f>
        <v>2</v>
      </c>
      <c r="AD47" s="24">
        <f>VLOOKUP(L47,Ubicacion!A:AE,23,FALSE)</f>
        <v>0</v>
      </c>
      <c r="AE47" s="24">
        <f>VLOOKUP(L47,Ubicacion!A:AE,24,FALSE)</f>
        <v>0</v>
      </c>
      <c r="AF47" s="24">
        <f>VLOOKUP(L47,Ubicacion!A:AE,25,FALSE)</f>
        <v>0</v>
      </c>
      <c r="AG47" s="24">
        <f>VLOOKUP(L47,Ubicacion!A:AE,26,FALSE)</f>
        <v>2</v>
      </c>
      <c r="AH47" s="24">
        <f>VLOOKUP(L47,Ubicacion!A:AE,27,FALSE)</f>
        <v>2</v>
      </c>
      <c r="AI47" s="24">
        <f>VLOOKUP(L47,Ubicacion!A:AE,28,FALSE)</f>
        <v>5</v>
      </c>
      <c r="AJ47" s="24">
        <f>VLOOKUP(L47,Ubicacion!A:AE,29,FALSE)</f>
        <v>3</v>
      </c>
      <c r="AK47" s="24">
        <f>VLOOKUP(L47,Ubicacion!A:AE,30,FALSE)</f>
        <v>1</v>
      </c>
      <c r="AL47" s="24">
        <f>VLOOKUP(L47,Ubicacion!A:AE,31,FALSE)</f>
        <v>1</v>
      </c>
      <c r="AM47" s="25">
        <f t="shared" si="15"/>
        <v>0.66666666666666663</v>
      </c>
      <c r="AN47" s="25">
        <f t="shared" si="16"/>
        <v>0.04</v>
      </c>
      <c r="AO47" s="25" t="str">
        <f t="shared" si="17"/>
        <v>100%</v>
      </c>
      <c r="AP47" s="25">
        <f t="shared" si="18"/>
        <v>0.4</v>
      </c>
      <c r="AQ47" s="25">
        <f t="shared" si="19"/>
        <v>0.4</v>
      </c>
      <c r="AR47" s="25" t="str">
        <f t="shared" si="20"/>
        <v>100%</v>
      </c>
      <c r="AS47" s="25">
        <f t="shared" si="21"/>
        <v>0.13333333333333333</v>
      </c>
      <c r="AT47" s="25">
        <f t="shared" si="22"/>
        <v>0.04</v>
      </c>
      <c r="AU47" s="25" t="str">
        <f t="shared" si="23"/>
        <v>100%</v>
      </c>
      <c r="AV47" s="24">
        <v>10</v>
      </c>
      <c r="AW47" s="24">
        <v>1</v>
      </c>
      <c r="AX47" s="24">
        <v>2</v>
      </c>
      <c r="AY47" s="24">
        <v>2</v>
      </c>
      <c r="AZ47" s="24">
        <v>2</v>
      </c>
      <c r="BA47" s="24">
        <v>1</v>
      </c>
      <c r="BB47" s="24">
        <v>2</v>
      </c>
      <c r="BC47" s="24">
        <v>1</v>
      </c>
      <c r="BD47" s="24">
        <v>1</v>
      </c>
      <c r="BE47" s="24" t="s">
        <v>184</v>
      </c>
      <c r="BF47" s="24" t="s">
        <v>184</v>
      </c>
      <c r="BG47" s="24" t="s">
        <v>183</v>
      </c>
      <c r="BH47" s="24" t="s">
        <v>183</v>
      </c>
      <c r="BI47" s="24" t="s">
        <v>183</v>
      </c>
      <c r="BJ47" s="24" t="s">
        <v>183</v>
      </c>
      <c r="BK47" s="24"/>
      <c r="BL47" s="24"/>
      <c r="BM47" s="57"/>
      <c r="BN47" s="2" t="str">
        <f t="shared" si="26"/>
        <v xml:space="preserve"> </v>
      </c>
      <c r="BO47" s="2" t="str">
        <f t="shared" si="26"/>
        <v xml:space="preserve"> </v>
      </c>
      <c r="BP47" s="2" t="str">
        <f t="shared" si="26"/>
        <v xml:space="preserve"> </v>
      </c>
      <c r="BQ47" s="2" t="str">
        <f t="shared" si="26"/>
        <v xml:space="preserve"> </v>
      </c>
      <c r="BR47" s="2" t="str">
        <f t="shared" si="26"/>
        <v xml:space="preserve"> </v>
      </c>
      <c r="BS47" s="2" t="str">
        <f t="shared" si="26"/>
        <v xml:space="preserve"> </v>
      </c>
      <c r="BT47" s="2" t="str">
        <f t="shared" si="26"/>
        <v xml:space="preserve"> </v>
      </c>
      <c r="BU47" s="2" t="str">
        <f t="shared" si="26"/>
        <v xml:space="preserve"> </v>
      </c>
      <c r="BV47" s="2" t="str">
        <f t="shared" si="26"/>
        <v xml:space="preserve"> </v>
      </c>
      <c r="BW47" s="2" t="str">
        <f t="shared" si="26"/>
        <v>.</v>
      </c>
      <c r="BX47" s="2" t="str">
        <f t="shared" si="26"/>
        <v xml:space="preserve"> </v>
      </c>
      <c r="BY47" s="2" t="str">
        <f t="shared" si="26"/>
        <v xml:space="preserve"> </v>
      </c>
      <c r="BZ47" s="2" t="str">
        <f t="shared" si="26"/>
        <v xml:space="preserve"> </v>
      </c>
      <c r="CA47" s="2" t="str">
        <f t="shared" si="26"/>
        <v xml:space="preserve"> </v>
      </c>
      <c r="CB47" s="2" t="str">
        <f t="shared" si="26"/>
        <v xml:space="preserve"> </v>
      </c>
      <c r="CC47" s="2" t="str">
        <f t="shared" si="26"/>
        <v xml:space="preserve"> </v>
      </c>
      <c r="CD47" s="2" t="str">
        <f t="shared" si="28"/>
        <v xml:space="preserve"> </v>
      </c>
      <c r="CE47" s="2" t="str">
        <f t="shared" si="28"/>
        <v xml:space="preserve"> </v>
      </c>
      <c r="CF47" s="2" t="str">
        <f t="shared" si="28"/>
        <v xml:space="preserve"> </v>
      </c>
      <c r="CG47" s="2" t="str">
        <f t="shared" si="28"/>
        <v xml:space="preserve"> </v>
      </c>
      <c r="CH47" s="2" t="str">
        <f t="shared" si="28"/>
        <v xml:space="preserve"> </v>
      </c>
      <c r="CI47" s="2" t="str">
        <f t="shared" si="28"/>
        <v xml:space="preserve"> </v>
      </c>
      <c r="CJ47" s="2" t="str">
        <f t="shared" si="28"/>
        <v xml:space="preserve"> </v>
      </c>
      <c r="CK47" s="2" t="str">
        <f t="shared" si="28"/>
        <v xml:space="preserve"> </v>
      </c>
      <c r="CL47" s="2" t="str">
        <f t="shared" si="28"/>
        <v xml:space="preserve"> </v>
      </c>
      <c r="CM47" s="2" t="str">
        <f t="shared" si="28"/>
        <v xml:space="preserve"> </v>
      </c>
      <c r="CN47" s="2" t="str">
        <f t="shared" si="28"/>
        <v xml:space="preserve"> </v>
      </c>
      <c r="CO47" s="2" t="str">
        <f t="shared" si="28"/>
        <v xml:space="preserve"> </v>
      </c>
      <c r="CP47" s="2" t="str">
        <f t="shared" si="28"/>
        <v xml:space="preserve"> </v>
      </c>
      <c r="CQ47" s="2" t="str">
        <f t="shared" si="28"/>
        <v xml:space="preserve"> </v>
      </c>
      <c r="CR47" s="2" t="str">
        <f t="shared" si="28"/>
        <v xml:space="preserve"> </v>
      </c>
    </row>
    <row r="48" spans="1:96">
      <c r="A48" s="21" t="str">
        <f>VLOOKUP(L48,Ubicacion!A:K,2,FALSE)</f>
        <v>LI3BR</v>
      </c>
      <c r="B48" s="21" t="str">
        <f>VLOOKUP(L48,Ubicacion!A:K,3,FALSE)</f>
        <v>LI2BC13</v>
      </c>
      <c r="C48" s="21" t="str">
        <f>VLOOKUP(L48,Ubicacion!A:K,4,FALSE)</f>
        <v>LIMA</v>
      </c>
      <c r="D48" s="21" t="str">
        <f>VLOOKUP(L48,Ubicacion!A:K,5,FALSE)</f>
        <v>SAN BORJA</v>
      </c>
      <c r="E48" s="21" t="str">
        <f>VLOOKUP(L48,Ubicacion!A:K,6,FALSE)</f>
        <v>Universidad</v>
      </c>
      <c r="F48" s="21" t="str">
        <f>VLOOKUP(L48,Ubicacion!A:K,7,FALSE)</f>
        <v>09:00 - 18:00</v>
      </c>
      <c r="G48" s="21" t="str">
        <f>VLOOKUP(L48,Ubicacion!A:K,8,FALSE)</f>
        <v>FRIDAY</v>
      </c>
      <c r="H48" s="21">
        <f>VLOOKUP(L48,Ubicacion!A:K,9,FALSE)</f>
        <v>2</v>
      </c>
      <c r="I48" s="21">
        <f>VLOOKUP(L48,Ubicacion!A:K,10,FALSE)</f>
        <v>-12.111719094402099</v>
      </c>
      <c r="J48" s="21">
        <f>VLOOKUP(L48,Ubicacion!A:K,11,FALSE)</f>
        <v>-77.006863903203097</v>
      </c>
      <c r="K48" s="21" t="str">
        <f t="shared" si="3"/>
        <v>46153Grupo 3</v>
      </c>
      <c r="L48" s="21" t="s">
        <v>100</v>
      </c>
      <c r="M48" s="21">
        <v>1</v>
      </c>
      <c r="N48" s="24" t="s">
        <v>186</v>
      </c>
      <c r="O48" s="24" t="s">
        <v>192</v>
      </c>
      <c r="P48" s="23">
        <v>46153</v>
      </c>
      <c r="Q48" s="23">
        <f t="shared" si="14"/>
        <v>46153</v>
      </c>
      <c r="R48" s="24" t="str">
        <f ca="1">IF($A$1&lt;Q48,"On-time",IF(AND(Q48&lt;=$A$1,BJ48="OK"),"OK","NO OK"))</f>
        <v>OK</v>
      </c>
      <c r="S48" s="24" t="str">
        <f t="shared" si="4"/>
        <v>MONDAY</v>
      </c>
      <c r="T48" s="24">
        <f>VLOOKUP(L48,Ubicacion!A:AE,13,FALSE)</f>
        <v>15</v>
      </c>
      <c r="U48" s="24">
        <f>VLOOKUP(L48,Ubicacion!A:AE,14,FALSE)</f>
        <v>25</v>
      </c>
      <c r="V48" s="24">
        <f>VLOOKUP(L48,Ubicacion!A:AE,15,FALSE)</f>
        <v>0</v>
      </c>
      <c r="W48" s="24">
        <f>VLOOKUP(L48,Ubicacion!A:AE,16,FALSE)</f>
        <v>5</v>
      </c>
      <c r="X48" s="24">
        <f>VLOOKUP(L48,Ubicacion!A:AE,17,FALSE)</f>
        <v>5</v>
      </c>
      <c r="Y48" s="24">
        <f>VLOOKUP(L48,Ubicacion!A:AE,18,FALSE)</f>
        <v>0</v>
      </c>
      <c r="Z48" s="24">
        <f>VLOOKUP(L48,Ubicacion!A:AE,19,FALSE)</f>
        <v>15</v>
      </c>
      <c r="AA48" s="24">
        <f>VLOOKUP(L48,Ubicacion!A:AE,20,FALSE)</f>
        <v>25</v>
      </c>
      <c r="AB48" s="24">
        <f>VLOOKUP(L48,Ubicacion!A:AE,21,FALSE)</f>
        <v>0</v>
      </c>
      <c r="AC48" s="24">
        <f>VLOOKUP(L48,Ubicacion!A:AE,22,FALSE)</f>
        <v>2</v>
      </c>
      <c r="AD48" s="24">
        <f>VLOOKUP(L48,Ubicacion!A:AE,23,FALSE)</f>
        <v>0</v>
      </c>
      <c r="AE48" s="24">
        <f>VLOOKUP(L48,Ubicacion!A:AE,24,FALSE)</f>
        <v>0</v>
      </c>
      <c r="AF48" s="24">
        <f>VLOOKUP(L48,Ubicacion!A:AE,25,FALSE)</f>
        <v>0</v>
      </c>
      <c r="AG48" s="24">
        <f>VLOOKUP(L48,Ubicacion!A:AE,26,FALSE)</f>
        <v>2</v>
      </c>
      <c r="AH48" s="24">
        <f>VLOOKUP(L48,Ubicacion!A:AE,27,FALSE)</f>
        <v>2</v>
      </c>
      <c r="AI48" s="24">
        <f>VLOOKUP(L48,Ubicacion!A:AE,28,FALSE)</f>
        <v>5</v>
      </c>
      <c r="AJ48" s="24">
        <f>VLOOKUP(L48,Ubicacion!A:AE,29,FALSE)</f>
        <v>3</v>
      </c>
      <c r="AK48" s="24">
        <f>VLOOKUP(L48,Ubicacion!A:AE,30,FALSE)</f>
        <v>1</v>
      </c>
      <c r="AL48" s="24">
        <f>VLOOKUP(L48,Ubicacion!A:AE,31,FALSE)</f>
        <v>1</v>
      </c>
      <c r="AM48" s="25">
        <f t="shared" si="15"/>
        <v>0.66666666666666663</v>
      </c>
      <c r="AN48" s="25">
        <f t="shared" si="16"/>
        <v>0.04</v>
      </c>
      <c r="AO48" s="25" t="str">
        <f t="shared" si="17"/>
        <v>100%</v>
      </c>
      <c r="AP48" s="25">
        <f t="shared" si="18"/>
        <v>0.4</v>
      </c>
      <c r="AQ48" s="25">
        <f t="shared" si="19"/>
        <v>0.4</v>
      </c>
      <c r="AR48" s="25" t="str">
        <f t="shared" si="20"/>
        <v>100%</v>
      </c>
      <c r="AS48" s="25">
        <f t="shared" si="21"/>
        <v>0.13333333333333333</v>
      </c>
      <c r="AT48" s="25">
        <f t="shared" si="22"/>
        <v>0.04</v>
      </c>
      <c r="AU48" s="25" t="str">
        <f t="shared" si="23"/>
        <v>100%</v>
      </c>
      <c r="AV48" s="24">
        <v>10</v>
      </c>
      <c r="AW48" s="24">
        <v>1</v>
      </c>
      <c r="AX48" s="24">
        <v>2</v>
      </c>
      <c r="AY48" s="24">
        <v>2</v>
      </c>
      <c r="AZ48" s="24">
        <v>2</v>
      </c>
      <c r="BA48" s="24">
        <v>1</v>
      </c>
      <c r="BB48" s="24">
        <v>2</v>
      </c>
      <c r="BC48" s="24">
        <v>1</v>
      </c>
      <c r="BD48" s="24">
        <v>1</v>
      </c>
      <c r="BE48" s="24" t="s">
        <v>184</v>
      </c>
      <c r="BF48" s="24" t="s">
        <v>184</v>
      </c>
      <c r="BG48" s="24" t="s">
        <v>183</v>
      </c>
      <c r="BH48" s="24" t="s">
        <v>183</v>
      </c>
      <c r="BI48" s="24" t="s">
        <v>183</v>
      </c>
      <c r="BJ48" s="24" t="s">
        <v>183</v>
      </c>
      <c r="BK48" s="24"/>
      <c r="BL48" s="24"/>
      <c r="BM48" s="57"/>
      <c r="BN48" s="2" t="str">
        <f t="shared" si="26"/>
        <v xml:space="preserve"> </v>
      </c>
      <c r="BO48" s="2" t="str">
        <f t="shared" si="26"/>
        <v xml:space="preserve"> </v>
      </c>
      <c r="BP48" s="2" t="str">
        <f t="shared" si="26"/>
        <v xml:space="preserve"> </v>
      </c>
      <c r="BQ48" s="2" t="str">
        <f t="shared" si="26"/>
        <v xml:space="preserve"> </v>
      </c>
      <c r="BR48" s="2" t="str">
        <f t="shared" si="26"/>
        <v xml:space="preserve"> </v>
      </c>
      <c r="BS48" s="2" t="str">
        <f t="shared" si="26"/>
        <v xml:space="preserve"> </v>
      </c>
      <c r="BT48" s="2" t="str">
        <f t="shared" si="26"/>
        <v xml:space="preserve"> </v>
      </c>
      <c r="BU48" s="2" t="str">
        <f t="shared" si="26"/>
        <v xml:space="preserve"> </v>
      </c>
      <c r="BV48" s="2" t="str">
        <f t="shared" si="26"/>
        <v xml:space="preserve"> </v>
      </c>
      <c r="BW48" s="2" t="str">
        <f t="shared" si="26"/>
        <v xml:space="preserve"> </v>
      </c>
      <c r="BX48" s="2" t="str">
        <f t="shared" si="26"/>
        <v>.</v>
      </c>
      <c r="BY48" s="2" t="str">
        <f t="shared" si="26"/>
        <v xml:space="preserve"> </v>
      </c>
      <c r="BZ48" s="2" t="str">
        <f t="shared" si="26"/>
        <v xml:space="preserve"> </v>
      </c>
      <c r="CA48" s="2" t="str">
        <f t="shared" si="26"/>
        <v xml:space="preserve"> </v>
      </c>
      <c r="CB48" s="2" t="str">
        <f t="shared" si="26"/>
        <v xml:space="preserve"> </v>
      </c>
      <c r="CC48" s="2" t="str">
        <f t="shared" si="26"/>
        <v xml:space="preserve"> </v>
      </c>
      <c r="CD48" s="2" t="str">
        <f t="shared" si="28"/>
        <v xml:space="preserve"> </v>
      </c>
      <c r="CE48" s="2" t="str">
        <f t="shared" si="28"/>
        <v xml:space="preserve"> </v>
      </c>
      <c r="CF48" s="2" t="str">
        <f t="shared" si="28"/>
        <v xml:space="preserve"> </v>
      </c>
      <c r="CG48" s="2" t="str">
        <f t="shared" si="28"/>
        <v xml:space="preserve"> </v>
      </c>
      <c r="CH48" s="2" t="str">
        <f t="shared" si="28"/>
        <v xml:space="preserve"> </v>
      </c>
      <c r="CI48" s="2" t="str">
        <f t="shared" si="28"/>
        <v xml:space="preserve"> </v>
      </c>
      <c r="CJ48" s="2" t="str">
        <f t="shared" si="28"/>
        <v xml:space="preserve"> </v>
      </c>
      <c r="CK48" s="2" t="str">
        <f t="shared" si="28"/>
        <v xml:space="preserve"> </v>
      </c>
      <c r="CL48" s="2" t="str">
        <f t="shared" si="28"/>
        <v xml:space="preserve"> </v>
      </c>
      <c r="CM48" s="2" t="str">
        <f t="shared" si="28"/>
        <v xml:space="preserve"> </v>
      </c>
      <c r="CN48" s="2" t="str">
        <f t="shared" si="28"/>
        <v xml:space="preserve"> </v>
      </c>
      <c r="CO48" s="2" t="str">
        <f t="shared" si="28"/>
        <v xml:space="preserve"> </v>
      </c>
      <c r="CP48" s="2" t="str">
        <f t="shared" si="28"/>
        <v xml:space="preserve"> </v>
      </c>
      <c r="CQ48" s="2" t="str">
        <f t="shared" si="28"/>
        <v xml:space="preserve"> </v>
      </c>
      <c r="CR48" s="2" t="str">
        <f t="shared" si="28"/>
        <v xml:space="preserve"> </v>
      </c>
    </row>
    <row r="49" spans="1:96">
      <c r="A49" s="21" t="str">
        <f>VLOOKUP(L49,Ubicacion!A:K,2,FALSE)</f>
        <v>LI3BR</v>
      </c>
      <c r="B49" s="21" t="str">
        <f>VLOOKUP(L49,Ubicacion!A:K,3,FALSE)</f>
        <v>LI3BC08</v>
      </c>
      <c r="C49" s="21" t="str">
        <f>VLOOKUP(L49,Ubicacion!A:K,4,FALSE)</f>
        <v>LIMA</v>
      </c>
      <c r="D49" s="21" t="str">
        <f>VLOOKUP(L49,Ubicacion!A:K,5,FALSE)</f>
        <v>SURQUILLO</v>
      </c>
      <c r="E49" s="21" t="str">
        <f>VLOOKUP(L49,Ubicacion!A:K,6,FALSE)</f>
        <v>Universidad</v>
      </c>
      <c r="F49" s="21" t="str">
        <f>VLOOKUP(L49,Ubicacion!A:K,7,FALSE)</f>
        <v>09:00 - 18:00</v>
      </c>
      <c r="G49" s="21" t="str">
        <f>VLOOKUP(L49,Ubicacion!A:K,8,FALSE)</f>
        <v>SATURDAY</v>
      </c>
      <c r="H49" s="21">
        <f>VLOOKUP(L49,Ubicacion!A:K,9,FALSE)</f>
        <v>2</v>
      </c>
      <c r="I49" s="21">
        <f>VLOOKUP(L49,Ubicacion!A:K,10,FALSE)</f>
        <v>-12.1087621349306</v>
      </c>
      <c r="J49" s="21">
        <f>VLOOKUP(L49,Ubicacion!A:K,11,FALSE)</f>
        <v>-77.010310248930097</v>
      </c>
      <c r="K49" s="21" t="str">
        <f t="shared" si="3"/>
        <v>46154Grupo 3</v>
      </c>
      <c r="L49" s="21" t="s">
        <v>101</v>
      </c>
      <c r="M49" s="21">
        <v>1</v>
      </c>
      <c r="N49" s="24" t="s">
        <v>186</v>
      </c>
      <c r="O49" s="24" t="s">
        <v>192</v>
      </c>
      <c r="P49" s="23">
        <v>46154</v>
      </c>
      <c r="Q49" s="23">
        <f t="shared" si="14"/>
        <v>46154</v>
      </c>
      <c r="R49" s="24" t="str">
        <f ca="1">IF($A$1&lt;Q49,"On-time",IF(AND(Q49&lt;=$A$1,BJ49="OK"),"OK","NO OK"))</f>
        <v>OK</v>
      </c>
      <c r="S49" s="24" t="str">
        <f t="shared" si="4"/>
        <v>TUESDAY</v>
      </c>
      <c r="T49" s="24">
        <f>VLOOKUP(L49,Ubicacion!A:AE,13,FALSE)</f>
        <v>15</v>
      </c>
      <c r="U49" s="24">
        <f>VLOOKUP(L49,Ubicacion!A:AE,14,FALSE)</f>
        <v>25</v>
      </c>
      <c r="V49" s="24">
        <f>VLOOKUP(L49,Ubicacion!A:AE,15,FALSE)</f>
        <v>0</v>
      </c>
      <c r="W49" s="24">
        <f>VLOOKUP(L49,Ubicacion!A:AE,16,FALSE)</f>
        <v>5</v>
      </c>
      <c r="X49" s="24">
        <f>VLOOKUP(L49,Ubicacion!A:AE,17,FALSE)</f>
        <v>5</v>
      </c>
      <c r="Y49" s="24">
        <f>VLOOKUP(L49,Ubicacion!A:AE,18,FALSE)</f>
        <v>0</v>
      </c>
      <c r="Z49" s="24">
        <f>VLOOKUP(L49,Ubicacion!A:AE,19,FALSE)</f>
        <v>15</v>
      </c>
      <c r="AA49" s="24">
        <f>VLOOKUP(L49,Ubicacion!A:AE,20,FALSE)</f>
        <v>25</v>
      </c>
      <c r="AB49" s="24">
        <f>VLOOKUP(L49,Ubicacion!A:AE,21,FALSE)</f>
        <v>0</v>
      </c>
      <c r="AC49" s="24">
        <f>VLOOKUP(L49,Ubicacion!A:AE,22,FALSE)</f>
        <v>2</v>
      </c>
      <c r="AD49" s="24">
        <f>VLOOKUP(L49,Ubicacion!A:AE,23,FALSE)</f>
        <v>0</v>
      </c>
      <c r="AE49" s="24">
        <f>VLOOKUP(L49,Ubicacion!A:AE,24,FALSE)</f>
        <v>0</v>
      </c>
      <c r="AF49" s="24">
        <f>VLOOKUP(L49,Ubicacion!A:AE,25,FALSE)</f>
        <v>0</v>
      </c>
      <c r="AG49" s="24">
        <f>VLOOKUP(L49,Ubicacion!A:AE,26,FALSE)</f>
        <v>2</v>
      </c>
      <c r="AH49" s="24">
        <f>VLOOKUP(L49,Ubicacion!A:AE,27,FALSE)</f>
        <v>2</v>
      </c>
      <c r="AI49" s="24">
        <f>VLOOKUP(L49,Ubicacion!A:AE,28,FALSE)</f>
        <v>5</v>
      </c>
      <c r="AJ49" s="24">
        <f>VLOOKUP(L49,Ubicacion!A:AE,29,FALSE)</f>
        <v>3</v>
      </c>
      <c r="AK49" s="24">
        <f>VLOOKUP(L49,Ubicacion!A:AE,30,FALSE)</f>
        <v>1</v>
      </c>
      <c r="AL49" s="24">
        <f>VLOOKUP(L49,Ubicacion!A:AE,31,FALSE)</f>
        <v>1</v>
      </c>
      <c r="AM49" s="25">
        <f t="shared" si="15"/>
        <v>0.66666666666666663</v>
      </c>
      <c r="AN49" s="25">
        <f t="shared" si="16"/>
        <v>0.04</v>
      </c>
      <c r="AO49" s="25" t="str">
        <f t="shared" si="17"/>
        <v>100%</v>
      </c>
      <c r="AP49" s="25">
        <f t="shared" si="18"/>
        <v>0.4</v>
      </c>
      <c r="AQ49" s="25">
        <f t="shared" si="19"/>
        <v>0.4</v>
      </c>
      <c r="AR49" s="25" t="str">
        <f t="shared" si="20"/>
        <v>100%</v>
      </c>
      <c r="AS49" s="25">
        <f t="shared" si="21"/>
        <v>0.13333333333333333</v>
      </c>
      <c r="AT49" s="25">
        <f t="shared" si="22"/>
        <v>0.04</v>
      </c>
      <c r="AU49" s="25" t="str">
        <f t="shared" si="23"/>
        <v>100%</v>
      </c>
      <c r="AV49" s="24">
        <v>10</v>
      </c>
      <c r="AW49" s="24">
        <v>1</v>
      </c>
      <c r="AX49" s="24">
        <v>2</v>
      </c>
      <c r="AY49" s="24">
        <v>2</v>
      </c>
      <c r="AZ49" s="24">
        <v>2</v>
      </c>
      <c r="BA49" s="24">
        <v>1</v>
      </c>
      <c r="BB49" s="24">
        <v>2</v>
      </c>
      <c r="BC49" s="24">
        <v>1</v>
      </c>
      <c r="BD49" s="24">
        <v>1</v>
      </c>
      <c r="BE49" s="24" t="s">
        <v>184</v>
      </c>
      <c r="BF49" s="24" t="s">
        <v>184</v>
      </c>
      <c r="BG49" s="24" t="s">
        <v>183</v>
      </c>
      <c r="BH49" s="24" t="s">
        <v>183</v>
      </c>
      <c r="BI49" s="24" t="s">
        <v>183</v>
      </c>
      <c r="BJ49" s="24" t="s">
        <v>183</v>
      </c>
      <c r="BK49" s="24"/>
      <c r="BL49" s="24"/>
      <c r="BM49" s="57"/>
      <c r="BN49" s="2" t="str">
        <f t="shared" si="26"/>
        <v xml:space="preserve"> </v>
      </c>
      <c r="BO49" s="2" t="str">
        <f t="shared" si="26"/>
        <v xml:space="preserve"> </v>
      </c>
      <c r="BP49" s="2" t="str">
        <f t="shared" si="26"/>
        <v xml:space="preserve"> </v>
      </c>
      <c r="BQ49" s="2" t="str">
        <f t="shared" si="26"/>
        <v xml:space="preserve"> </v>
      </c>
      <c r="BR49" s="2" t="str">
        <f t="shared" si="26"/>
        <v xml:space="preserve"> </v>
      </c>
      <c r="BS49" s="2" t="str">
        <f t="shared" si="26"/>
        <v xml:space="preserve"> </v>
      </c>
      <c r="BT49" s="2" t="str">
        <f t="shared" si="26"/>
        <v xml:space="preserve"> </v>
      </c>
      <c r="BU49" s="2" t="str">
        <f t="shared" si="26"/>
        <v xml:space="preserve"> </v>
      </c>
      <c r="BV49" s="2" t="str">
        <f t="shared" si="26"/>
        <v xml:space="preserve"> </v>
      </c>
      <c r="BW49" s="2" t="str">
        <f t="shared" si="26"/>
        <v xml:space="preserve"> </v>
      </c>
      <c r="BX49" s="2" t="str">
        <f t="shared" si="26"/>
        <v xml:space="preserve"> </v>
      </c>
      <c r="BY49" s="2" t="str">
        <f t="shared" si="26"/>
        <v>.</v>
      </c>
      <c r="BZ49" s="2" t="str">
        <f t="shared" si="26"/>
        <v xml:space="preserve"> </v>
      </c>
      <c r="CA49" s="2" t="str">
        <f t="shared" si="26"/>
        <v xml:space="preserve"> </v>
      </c>
      <c r="CB49" s="2" t="str">
        <f t="shared" si="26"/>
        <v xml:space="preserve"> </v>
      </c>
      <c r="CC49" s="2" t="str">
        <f t="shared" si="26"/>
        <v xml:space="preserve"> </v>
      </c>
      <c r="CD49" s="2" t="str">
        <f t="shared" si="28"/>
        <v xml:space="preserve"> </v>
      </c>
      <c r="CE49" s="2" t="str">
        <f t="shared" si="28"/>
        <v xml:space="preserve"> </v>
      </c>
      <c r="CF49" s="2" t="str">
        <f t="shared" si="28"/>
        <v xml:space="preserve"> </v>
      </c>
      <c r="CG49" s="2" t="str">
        <f t="shared" si="28"/>
        <v xml:space="preserve"> </v>
      </c>
      <c r="CH49" s="2" t="str">
        <f t="shared" si="28"/>
        <v xml:space="preserve"> </v>
      </c>
      <c r="CI49" s="2" t="str">
        <f t="shared" si="28"/>
        <v xml:space="preserve"> </v>
      </c>
      <c r="CJ49" s="2" t="str">
        <f t="shared" si="28"/>
        <v xml:space="preserve"> </v>
      </c>
      <c r="CK49" s="2" t="str">
        <f t="shared" si="28"/>
        <v xml:space="preserve"> </v>
      </c>
      <c r="CL49" s="2" t="str">
        <f t="shared" si="28"/>
        <v xml:space="preserve"> </v>
      </c>
      <c r="CM49" s="2" t="str">
        <f t="shared" si="28"/>
        <v xml:space="preserve"> </v>
      </c>
      <c r="CN49" s="2" t="str">
        <f t="shared" si="28"/>
        <v xml:space="preserve"> </v>
      </c>
      <c r="CO49" s="2" t="str">
        <f t="shared" si="28"/>
        <v xml:space="preserve"> </v>
      </c>
      <c r="CP49" s="2" t="str">
        <f t="shared" si="28"/>
        <v xml:space="preserve"> </v>
      </c>
      <c r="CQ49" s="2" t="str">
        <f t="shared" si="28"/>
        <v xml:space="preserve"> </v>
      </c>
      <c r="CR49" s="2" t="str">
        <f t="shared" si="28"/>
        <v xml:space="preserve"> </v>
      </c>
    </row>
    <row r="50" spans="1:96">
      <c r="A50" s="21" t="str">
        <f>VLOOKUP(L50,Ubicacion!A:K,2,FALSE)</f>
        <v>LI3BR</v>
      </c>
      <c r="B50" s="21" t="str">
        <f>VLOOKUP(L50,Ubicacion!A:K,3,FALSE)</f>
        <v>LI3BC08</v>
      </c>
      <c r="C50" s="21" t="str">
        <f>VLOOKUP(L50,Ubicacion!A:K,4,FALSE)</f>
        <v>LIMA</v>
      </c>
      <c r="D50" s="21" t="str">
        <f>VLOOKUP(L50,Ubicacion!A:K,5,FALSE)</f>
        <v>SURQUILLO</v>
      </c>
      <c r="E50" s="21" t="str">
        <f>VLOOKUP(L50,Ubicacion!A:K,6,FALSE)</f>
        <v>Universidad</v>
      </c>
      <c r="F50" s="21" t="str">
        <f>VLOOKUP(L50,Ubicacion!A:K,7,FALSE)</f>
        <v>09:00 - 18:00</v>
      </c>
      <c r="G50" s="21" t="str">
        <f>VLOOKUP(L50,Ubicacion!A:K,8,FALSE)</f>
        <v>SUNDAY</v>
      </c>
      <c r="H50" s="21">
        <f>VLOOKUP(L50,Ubicacion!A:K,9,FALSE)</f>
        <v>2</v>
      </c>
      <c r="I50" s="21">
        <f>VLOOKUP(L50,Ubicacion!A:K,10,FALSE)</f>
        <v>-12.113413980941001</v>
      </c>
      <c r="J50" s="21">
        <f>VLOOKUP(L50,Ubicacion!A:K,11,FALSE)</f>
        <v>-77.023873011680806</v>
      </c>
      <c r="K50" s="21" t="str">
        <f t="shared" si="3"/>
        <v>46155Grupo 3</v>
      </c>
      <c r="L50" s="21" t="s">
        <v>102</v>
      </c>
      <c r="M50" s="21">
        <v>1</v>
      </c>
      <c r="N50" s="24" t="s">
        <v>186</v>
      </c>
      <c r="O50" s="24" t="s">
        <v>192</v>
      </c>
      <c r="P50" s="23">
        <v>46155</v>
      </c>
      <c r="Q50" s="23">
        <f t="shared" si="14"/>
        <v>46155</v>
      </c>
      <c r="R50" s="24" t="str">
        <f ca="1">IF($A$1&lt;Q50,"On-time",IF(AND(Q50&lt;=$A$1,BJ50="OK"),"OK","NO OK"))</f>
        <v>On-time</v>
      </c>
      <c r="S50" s="24" t="str">
        <f t="shared" si="4"/>
        <v>WEDNESDAY</v>
      </c>
      <c r="T50" s="24">
        <f>VLOOKUP(L50,Ubicacion!A:AE,13,FALSE)</f>
        <v>15</v>
      </c>
      <c r="U50" s="24">
        <f>VLOOKUP(L50,Ubicacion!A:AE,14,FALSE)</f>
        <v>25</v>
      </c>
      <c r="V50" s="24">
        <f>VLOOKUP(L50,Ubicacion!A:AE,15,FALSE)</f>
        <v>0</v>
      </c>
      <c r="W50" s="24">
        <f>VLOOKUP(L50,Ubicacion!A:AE,16,FALSE)</f>
        <v>5</v>
      </c>
      <c r="X50" s="24">
        <f>VLOOKUP(L50,Ubicacion!A:AE,17,FALSE)</f>
        <v>5</v>
      </c>
      <c r="Y50" s="24">
        <f>VLOOKUP(L50,Ubicacion!A:AE,18,FALSE)</f>
        <v>0</v>
      </c>
      <c r="Z50" s="24">
        <f>VLOOKUP(L50,Ubicacion!A:AE,19,FALSE)</f>
        <v>15</v>
      </c>
      <c r="AA50" s="24">
        <f>VLOOKUP(L50,Ubicacion!A:AE,20,FALSE)</f>
        <v>25</v>
      </c>
      <c r="AB50" s="24">
        <f>VLOOKUP(L50,Ubicacion!A:AE,21,FALSE)</f>
        <v>0</v>
      </c>
      <c r="AC50" s="24">
        <f>VLOOKUP(L50,Ubicacion!A:AE,22,FALSE)</f>
        <v>2</v>
      </c>
      <c r="AD50" s="24">
        <f>VLOOKUP(L50,Ubicacion!A:AE,23,FALSE)</f>
        <v>0</v>
      </c>
      <c r="AE50" s="24">
        <f>VLOOKUP(L50,Ubicacion!A:AE,24,FALSE)</f>
        <v>0</v>
      </c>
      <c r="AF50" s="24">
        <f>VLOOKUP(L50,Ubicacion!A:AE,25,FALSE)</f>
        <v>0</v>
      </c>
      <c r="AG50" s="24">
        <f>VLOOKUP(L50,Ubicacion!A:AE,26,FALSE)</f>
        <v>2</v>
      </c>
      <c r="AH50" s="24">
        <f>VLOOKUP(L50,Ubicacion!A:AE,27,FALSE)</f>
        <v>2</v>
      </c>
      <c r="AI50" s="24">
        <f>VLOOKUP(L50,Ubicacion!A:AE,28,FALSE)</f>
        <v>5</v>
      </c>
      <c r="AJ50" s="24">
        <f>VLOOKUP(L50,Ubicacion!A:AE,29,FALSE)</f>
        <v>3</v>
      </c>
      <c r="AK50" s="24">
        <f>VLOOKUP(L50,Ubicacion!A:AE,30,FALSE)</f>
        <v>1</v>
      </c>
      <c r="AL50" s="24">
        <f>VLOOKUP(L50,Ubicacion!A:AE,31,FALSE)</f>
        <v>1</v>
      </c>
      <c r="AM50" s="25">
        <f t="shared" si="15"/>
        <v>0.66666666666666663</v>
      </c>
      <c r="AN50" s="25">
        <f t="shared" si="16"/>
        <v>0.04</v>
      </c>
      <c r="AO50" s="25" t="str">
        <f t="shared" si="17"/>
        <v>100%</v>
      </c>
      <c r="AP50" s="25">
        <f t="shared" si="18"/>
        <v>0.4</v>
      </c>
      <c r="AQ50" s="25">
        <f t="shared" si="19"/>
        <v>0.4</v>
      </c>
      <c r="AR50" s="25" t="str">
        <f t="shared" si="20"/>
        <v>100%</v>
      </c>
      <c r="AS50" s="25">
        <f t="shared" si="21"/>
        <v>0.13333333333333333</v>
      </c>
      <c r="AT50" s="25">
        <f t="shared" si="22"/>
        <v>0.04</v>
      </c>
      <c r="AU50" s="25" t="str">
        <f t="shared" si="23"/>
        <v>100%</v>
      </c>
      <c r="AV50" s="24">
        <v>10</v>
      </c>
      <c r="AW50" s="24">
        <v>1</v>
      </c>
      <c r="AX50" s="24">
        <v>2</v>
      </c>
      <c r="AY50" s="24">
        <v>2</v>
      </c>
      <c r="AZ50" s="24">
        <v>2</v>
      </c>
      <c r="BA50" s="24">
        <v>1</v>
      </c>
      <c r="BB50" s="24">
        <v>2</v>
      </c>
      <c r="BC50" s="24">
        <v>1</v>
      </c>
      <c r="BD50" s="24">
        <v>1</v>
      </c>
      <c r="BE50" s="24" t="s">
        <v>184</v>
      </c>
      <c r="BF50" s="24" t="s">
        <v>184</v>
      </c>
      <c r="BG50" s="24" t="s">
        <v>183</v>
      </c>
      <c r="BH50" s="24" t="s">
        <v>183</v>
      </c>
      <c r="BI50" s="24" t="s">
        <v>183</v>
      </c>
      <c r="BJ50" s="24" t="s">
        <v>183</v>
      </c>
      <c r="BK50" s="24"/>
      <c r="BL50" s="24"/>
      <c r="BM50" s="57"/>
      <c r="BN50" s="2" t="str">
        <f t="shared" si="26"/>
        <v xml:space="preserve"> </v>
      </c>
      <c r="BO50" s="2" t="str">
        <f t="shared" si="26"/>
        <v xml:space="preserve"> </v>
      </c>
      <c r="BP50" s="2" t="str">
        <f t="shared" si="26"/>
        <v xml:space="preserve"> </v>
      </c>
      <c r="BQ50" s="2" t="str">
        <f t="shared" si="26"/>
        <v xml:space="preserve"> </v>
      </c>
      <c r="BR50" s="2" t="str">
        <f t="shared" si="26"/>
        <v xml:space="preserve"> </v>
      </c>
      <c r="BS50" s="2" t="str">
        <f t="shared" si="26"/>
        <v xml:space="preserve"> </v>
      </c>
      <c r="BT50" s="2" t="str">
        <f t="shared" si="26"/>
        <v xml:space="preserve"> </v>
      </c>
      <c r="BU50" s="2" t="str">
        <f t="shared" si="26"/>
        <v xml:space="preserve"> </v>
      </c>
      <c r="BV50" s="2" t="str">
        <f t="shared" si="26"/>
        <v xml:space="preserve"> </v>
      </c>
      <c r="BW50" s="2" t="str">
        <f t="shared" si="26"/>
        <v xml:space="preserve"> </v>
      </c>
      <c r="BX50" s="2" t="str">
        <f t="shared" si="26"/>
        <v xml:space="preserve"> </v>
      </c>
      <c r="BY50" s="2" t="str">
        <f t="shared" si="26"/>
        <v xml:space="preserve"> </v>
      </c>
      <c r="BZ50" s="2" t="str">
        <f t="shared" si="26"/>
        <v>.</v>
      </c>
      <c r="CA50" s="2" t="str">
        <f t="shared" si="26"/>
        <v xml:space="preserve"> </v>
      </c>
      <c r="CB50" s="2" t="str">
        <f t="shared" si="26"/>
        <v xml:space="preserve"> </v>
      </c>
      <c r="CC50" s="2" t="str">
        <f t="shared" si="26"/>
        <v xml:space="preserve"> </v>
      </c>
      <c r="CD50" s="2" t="str">
        <f t="shared" si="28"/>
        <v xml:space="preserve"> </v>
      </c>
      <c r="CE50" s="2" t="str">
        <f t="shared" si="28"/>
        <v xml:space="preserve"> </v>
      </c>
      <c r="CF50" s="2" t="str">
        <f t="shared" si="28"/>
        <v xml:space="preserve"> </v>
      </c>
      <c r="CG50" s="2" t="str">
        <f t="shared" si="28"/>
        <v xml:space="preserve"> </v>
      </c>
      <c r="CH50" s="2" t="str">
        <f t="shared" si="28"/>
        <v xml:space="preserve"> </v>
      </c>
      <c r="CI50" s="2" t="str">
        <f t="shared" si="28"/>
        <v xml:space="preserve"> </v>
      </c>
      <c r="CJ50" s="2" t="str">
        <f t="shared" si="28"/>
        <v xml:space="preserve"> </v>
      </c>
      <c r="CK50" s="2" t="str">
        <f t="shared" si="28"/>
        <v xml:space="preserve"> </v>
      </c>
      <c r="CL50" s="2" t="str">
        <f t="shared" si="28"/>
        <v xml:space="preserve"> </v>
      </c>
      <c r="CM50" s="2" t="str">
        <f t="shared" si="28"/>
        <v xml:space="preserve"> </v>
      </c>
      <c r="CN50" s="2" t="str">
        <f t="shared" si="28"/>
        <v xml:space="preserve"> </v>
      </c>
      <c r="CO50" s="2" t="str">
        <f t="shared" si="28"/>
        <v xml:space="preserve"> </v>
      </c>
      <c r="CP50" s="2" t="str">
        <f t="shared" si="28"/>
        <v xml:space="preserve"> </v>
      </c>
      <c r="CQ50" s="2" t="str">
        <f t="shared" si="28"/>
        <v xml:space="preserve"> </v>
      </c>
      <c r="CR50" s="2" t="str">
        <f t="shared" si="28"/>
        <v xml:space="preserve"> </v>
      </c>
    </row>
    <row r="51" spans="1:96">
      <c r="A51" s="21" t="str">
        <f>VLOOKUP(L51,Ubicacion!A:K,2,FALSE)</f>
        <v>LI3BR</v>
      </c>
      <c r="B51" s="21" t="str">
        <f>VLOOKUP(L51,Ubicacion!A:K,3,FALSE)</f>
        <v>LI3BC06</v>
      </c>
      <c r="C51" s="21" t="str">
        <f>VLOOKUP(L51,Ubicacion!A:K,4,FALSE)</f>
        <v>LIMA</v>
      </c>
      <c r="D51" s="21" t="str">
        <f>VLOOKUP(L51,Ubicacion!A:K,5,FALSE)</f>
        <v>SURCO</v>
      </c>
      <c r="E51" s="21" t="str">
        <f>VLOOKUP(L51,Ubicacion!A:K,6,FALSE)</f>
        <v>Universidad</v>
      </c>
      <c r="F51" s="21" t="str">
        <f>VLOOKUP(L51,Ubicacion!A:K,7,FALSE)</f>
        <v>09:00 - 18:00</v>
      </c>
      <c r="G51" s="21" t="str">
        <f>VLOOKUP(L51,Ubicacion!A:K,8,FALSE)</f>
        <v>MONDAY</v>
      </c>
      <c r="H51" s="21">
        <f>VLOOKUP(L51,Ubicacion!A:K,9,FALSE)</f>
        <v>2</v>
      </c>
      <c r="I51" s="21">
        <f>VLOOKUP(L51,Ubicacion!A:K,10,FALSE)</f>
        <v>-12.112046874306801</v>
      </c>
      <c r="J51" s="21">
        <f>VLOOKUP(L51,Ubicacion!A:K,11,FALSE)</f>
        <v>-76.993331857499001</v>
      </c>
      <c r="K51" s="21" t="str">
        <f t="shared" si="3"/>
        <v>46156Grupo 3</v>
      </c>
      <c r="L51" s="21" t="s">
        <v>103</v>
      </c>
      <c r="M51" s="21">
        <v>1</v>
      </c>
      <c r="N51" s="24" t="s">
        <v>186</v>
      </c>
      <c r="O51" s="24" t="s">
        <v>192</v>
      </c>
      <c r="P51" s="23">
        <v>46156</v>
      </c>
      <c r="Q51" s="23">
        <f t="shared" si="14"/>
        <v>46156</v>
      </c>
      <c r="R51" s="24" t="str">
        <f ca="1">IF($A$1&lt;Q51,"On-time",IF(AND(Q51&lt;=$A$1,BJ51="OK"),"OK","NO OK"))</f>
        <v>On-time</v>
      </c>
      <c r="S51" s="24" t="str">
        <f t="shared" si="4"/>
        <v>THURSDAY</v>
      </c>
      <c r="T51" s="24">
        <f>VLOOKUP(L51,Ubicacion!A:AE,13,FALSE)</f>
        <v>15</v>
      </c>
      <c r="U51" s="24">
        <f>VLOOKUP(L51,Ubicacion!A:AE,14,FALSE)</f>
        <v>25</v>
      </c>
      <c r="V51" s="24">
        <f>VLOOKUP(L51,Ubicacion!A:AE,15,FALSE)</f>
        <v>0</v>
      </c>
      <c r="W51" s="24">
        <f>VLOOKUP(L51,Ubicacion!A:AE,16,FALSE)</f>
        <v>5</v>
      </c>
      <c r="X51" s="24">
        <f>VLOOKUP(L51,Ubicacion!A:AE,17,FALSE)</f>
        <v>5</v>
      </c>
      <c r="Y51" s="24">
        <f>VLOOKUP(L51,Ubicacion!A:AE,18,FALSE)</f>
        <v>0</v>
      </c>
      <c r="Z51" s="24">
        <f>VLOOKUP(L51,Ubicacion!A:AE,19,FALSE)</f>
        <v>15</v>
      </c>
      <c r="AA51" s="24">
        <f>VLOOKUP(L51,Ubicacion!A:AE,20,FALSE)</f>
        <v>25</v>
      </c>
      <c r="AB51" s="24">
        <f>VLOOKUP(L51,Ubicacion!A:AE,21,FALSE)</f>
        <v>0</v>
      </c>
      <c r="AC51" s="24">
        <f>VLOOKUP(L51,Ubicacion!A:AE,22,FALSE)</f>
        <v>2</v>
      </c>
      <c r="AD51" s="24">
        <f>VLOOKUP(L51,Ubicacion!A:AE,23,FALSE)</f>
        <v>0</v>
      </c>
      <c r="AE51" s="24">
        <f>VLOOKUP(L51,Ubicacion!A:AE,24,FALSE)</f>
        <v>0</v>
      </c>
      <c r="AF51" s="24">
        <f>VLOOKUP(L51,Ubicacion!A:AE,25,FALSE)</f>
        <v>0</v>
      </c>
      <c r="AG51" s="24">
        <f>VLOOKUP(L51,Ubicacion!A:AE,26,FALSE)</f>
        <v>2</v>
      </c>
      <c r="AH51" s="24">
        <f>VLOOKUP(L51,Ubicacion!A:AE,27,FALSE)</f>
        <v>2</v>
      </c>
      <c r="AI51" s="24">
        <f>VLOOKUP(L51,Ubicacion!A:AE,28,FALSE)</f>
        <v>5</v>
      </c>
      <c r="AJ51" s="24">
        <f>VLOOKUP(L51,Ubicacion!A:AE,29,FALSE)</f>
        <v>3</v>
      </c>
      <c r="AK51" s="24">
        <f>VLOOKUP(L51,Ubicacion!A:AE,30,FALSE)</f>
        <v>1</v>
      </c>
      <c r="AL51" s="24">
        <f>VLOOKUP(L51,Ubicacion!A:AE,31,FALSE)</f>
        <v>1</v>
      </c>
      <c r="AM51" s="25">
        <f t="shared" si="15"/>
        <v>0.66666666666666663</v>
      </c>
      <c r="AN51" s="25">
        <f t="shared" si="16"/>
        <v>0.04</v>
      </c>
      <c r="AO51" s="25" t="str">
        <f t="shared" si="17"/>
        <v>100%</v>
      </c>
      <c r="AP51" s="25">
        <f t="shared" si="18"/>
        <v>0.4</v>
      </c>
      <c r="AQ51" s="25">
        <f t="shared" si="19"/>
        <v>0.4</v>
      </c>
      <c r="AR51" s="25" t="str">
        <f t="shared" si="20"/>
        <v>100%</v>
      </c>
      <c r="AS51" s="25">
        <f t="shared" si="21"/>
        <v>0.13333333333333333</v>
      </c>
      <c r="AT51" s="25">
        <f t="shared" si="22"/>
        <v>0.04</v>
      </c>
      <c r="AU51" s="25" t="str">
        <f t="shared" si="23"/>
        <v>100%</v>
      </c>
      <c r="AV51" s="24">
        <v>10</v>
      </c>
      <c r="AW51" s="24">
        <v>1</v>
      </c>
      <c r="AX51" s="24">
        <v>2</v>
      </c>
      <c r="AY51" s="24">
        <v>2</v>
      </c>
      <c r="AZ51" s="24">
        <v>2</v>
      </c>
      <c r="BA51" s="24">
        <v>1</v>
      </c>
      <c r="BB51" s="24">
        <v>2</v>
      </c>
      <c r="BC51" s="24">
        <v>1</v>
      </c>
      <c r="BD51" s="24">
        <v>1</v>
      </c>
      <c r="BE51" s="24" t="s">
        <v>184</v>
      </c>
      <c r="BF51" s="24" t="s">
        <v>184</v>
      </c>
      <c r="BG51" s="24" t="s">
        <v>183</v>
      </c>
      <c r="BH51" s="24" t="s">
        <v>183</v>
      </c>
      <c r="BI51" s="24" t="s">
        <v>183</v>
      </c>
      <c r="BJ51" s="24" t="s">
        <v>183</v>
      </c>
      <c r="BK51" s="24"/>
      <c r="BL51" s="24"/>
      <c r="BM51" s="57"/>
      <c r="BN51" s="2" t="str">
        <f t="shared" si="26"/>
        <v xml:space="preserve"> </v>
      </c>
      <c r="BO51" s="2" t="str">
        <f t="shared" si="26"/>
        <v xml:space="preserve"> </v>
      </c>
      <c r="BP51" s="2" t="str">
        <f t="shared" si="26"/>
        <v xml:space="preserve"> </v>
      </c>
      <c r="BQ51" s="2" t="str">
        <f t="shared" si="26"/>
        <v xml:space="preserve"> </v>
      </c>
      <c r="BR51" s="2" t="str">
        <f t="shared" si="26"/>
        <v xml:space="preserve"> </v>
      </c>
      <c r="BS51" s="2" t="str">
        <f t="shared" si="26"/>
        <v xml:space="preserve"> </v>
      </c>
      <c r="BT51" s="2" t="str">
        <f t="shared" si="26"/>
        <v xml:space="preserve"> </v>
      </c>
      <c r="BU51" s="2" t="str">
        <f t="shared" si="26"/>
        <v xml:space="preserve"> </v>
      </c>
      <c r="BV51" s="2" t="str">
        <f t="shared" si="26"/>
        <v xml:space="preserve"> </v>
      </c>
      <c r="BW51" s="2" t="str">
        <f t="shared" si="26"/>
        <v xml:space="preserve"> </v>
      </c>
      <c r="BX51" s="2" t="str">
        <f t="shared" si="26"/>
        <v xml:space="preserve"> </v>
      </c>
      <c r="BY51" s="2" t="str">
        <f t="shared" si="26"/>
        <v xml:space="preserve"> </v>
      </c>
      <c r="BZ51" s="2" t="str">
        <f t="shared" si="26"/>
        <v xml:space="preserve"> </v>
      </c>
      <c r="CA51" s="2" t="str">
        <f t="shared" si="26"/>
        <v>.</v>
      </c>
      <c r="CB51" s="2" t="str">
        <f t="shared" si="26"/>
        <v xml:space="preserve"> </v>
      </c>
      <c r="CC51" s="2" t="str">
        <f t="shared" si="26"/>
        <v xml:space="preserve"> </v>
      </c>
      <c r="CD51" s="2" t="str">
        <f t="shared" si="28"/>
        <v xml:space="preserve"> </v>
      </c>
      <c r="CE51" s="2" t="str">
        <f t="shared" si="28"/>
        <v xml:space="preserve"> </v>
      </c>
      <c r="CF51" s="2" t="str">
        <f t="shared" si="28"/>
        <v xml:space="preserve"> </v>
      </c>
      <c r="CG51" s="2" t="str">
        <f t="shared" si="28"/>
        <v xml:space="preserve"> </v>
      </c>
      <c r="CH51" s="2" t="str">
        <f t="shared" si="28"/>
        <v xml:space="preserve"> </v>
      </c>
      <c r="CI51" s="2" t="str">
        <f t="shared" si="28"/>
        <v xml:space="preserve"> </v>
      </c>
      <c r="CJ51" s="2" t="str">
        <f t="shared" si="28"/>
        <v xml:space="preserve"> </v>
      </c>
      <c r="CK51" s="2" t="str">
        <f t="shared" si="28"/>
        <v xml:space="preserve"> </v>
      </c>
      <c r="CL51" s="2" t="str">
        <f t="shared" si="28"/>
        <v xml:space="preserve"> </v>
      </c>
      <c r="CM51" s="2" t="str">
        <f t="shared" si="28"/>
        <v xml:space="preserve"> </v>
      </c>
      <c r="CN51" s="2" t="str">
        <f t="shared" si="28"/>
        <v xml:space="preserve"> </v>
      </c>
      <c r="CO51" s="2" t="str">
        <f t="shared" si="28"/>
        <v xml:space="preserve"> </v>
      </c>
      <c r="CP51" s="2" t="str">
        <f t="shared" si="28"/>
        <v xml:space="preserve"> </v>
      </c>
      <c r="CQ51" s="2" t="str">
        <f t="shared" si="28"/>
        <v xml:space="preserve"> </v>
      </c>
      <c r="CR51" s="2" t="str">
        <f t="shared" si="28"/>
        <v xml:space="preserve"> </v>
      </c>
    </row>
    <row r="52" spans="1:96">
      <c r="A52" s="21" t="str">
        <f>VLOOKUP(L52,Ubicacion!A:K,2,FALSE)</f>
        <v>LI3BR</v>
      </c>
      <c r="B52" s="21" t="str">
        <f>VLOOKUP(L52,Ubicacion!A:K,3,FALSE)</f>
        <v>LI3BC06</v>
      </c>
      <c r="C52" s="21" t="str">
        <f>VLOOKUP(L52,Ubicacion!A:K,4,FALSE)</f>
        <v>LIMA</v>
      </c>
      <c r="D52" s="21" t="str">
        <f>VLOOKUP(L52,Ubicacion!A:K,5,FALSE)</f>
        <v>SURCO</v>
      </c>
      <c r="E52" s="21" t="str">
        <f>VLOOKUP(L52,Ubicacion!A:K,6,FALSE)</f>
        <v>Universidad</v>
      </c>
      <c r="F52" s="21" t="str">
        <f>VLOOKUP(L52,Ubicacion!A:K,7,FALSE)</f>
        <v>09:00 - 18:00</v>
      </c>
      <c r="G52" s="21" t="str">
        <f>VLOOKUP(L52,Ubicacion!A:K,8,FALSE)</f>
        <v>TUESDAY</v>
      </c>
      <c r="H52" s="21">
        <f>VLOOKUP(L52,Ubicacion!A:K,9,FALSE)</f>
        <v>2</v>
      </c>
      <c r="I52" s="21">
        <f>VLOOKUP(L52,Ubicacion!A:K,10,FALSE)</f>
        <v>-12.1621695052941</v>
      </c>
      <c r="J52" s="21">
        <f>VLOOKUP(L52,Ubicacion!A:K,11,FALSE)</f>
        <v>-76.995394455671999</v>
      </c>
      <c r="K52" s="21" t="str">
        <f t="shared" si="3"/>
        <v>46157Grupo 3</v>
      </c>
      <c r="L52" s="21" t="s">
        <v>104</v>
      </c>
      <c r="M52" s="21">
        <v>1</v>
      </c>
      <c r="N52" s="24" t="s">
        <v>186</v>
      </c>
      <c r="O52" s="24" t="s">
        <v>192</v>
      </c>
      <c r="P52" s="23">
        <v>46157</v>
      </c>
      <c r="Q52" s="23">
        <f t="shared" si="14"/>
        <v>46157</v>
      </c>
      <c r="R52" s="24" t="str">
        <f ca="1">IF($A$1&lt;Q52,"On-time",IF(AND(Q52&lt;=$A$1,BJ52="OK"),"OK","NO OK"))</f>
        <v>On-time</v>
      </c>
      <c r="S52" s="24" t="str">
        <f t="shared" si="4"/>
        <v>FRIDAY</v>
      </c>
      <c r="T52" s="24">
        <f>VLOOKUP(L52,Ubicacion!A:AE,13,FALSE)</f>
        <v>15</v>
      </c>
      <c r="U52" s="24">
        <f>VLOOKUP(L52,Ubicacion!A:AE,14,FALSE)</f>
        <v>25</v>
      </c>
      <c r="V52" s="24">
        <f>VLOOKUP(L52,Ubicacion!A:AE,15,FALSE)</f>
        <v>0</v>
      </c>
      <c r="W52" s="24">
        <f>VLOOKUP(L52,Ubicacion!A:AE,16,FALSE)</f>
        <v>5</v>
      </c>
      <c r="X52" s="24">
        <f>VLOOKUP(L52,Ubicacion!A:AE,17,FALSE)</f>
        <v>5</v>
      </c>
      <c r="Y52" s="24">
        <f>VLOOKUP(L52,Ubicacion!A:AE,18,FALSE)</f>
        <v>0</v>
      </c>
      <c r="Z52" s="24">
        <f>VLOOKUP(L52,Ubicacion!A:AE,19,FALSE)</f>
        <v>15</v>
      </c>
      <c r="AA52" s="24">
        <f>VLOOKUP(L52,Ubicacion!A:AE,20,FALSE)</f>
        <v>25</v>
      </c>
      <c r="AB52" s="24">
        <f>VLOOKUP(L52,Ubicacion!A:AE,21,FALSE)</f>
        <v>0</v>
      </c>
      <c r="AC52" s="24">
        <f>VLOOKUP(L52,Ubicacion!A:AE,22,FALSE)</f>
        <v>2</v>
      </c>
      <c r="AD52" s="24">
        <f>VLOOKUP(L52,Ubicacion!A:AE,23,FALSE)</f>
        <v>0</v>
      </c>
      <c r="AE52" s="24">
        <f>VLOOKUP(L52,Ubicacion!A:AE,24,FALSE)</f>
        <v>0</v>
      </c>
      <c r="AF52" s="24">
        <f>VLOOKUP(L52,Ubicacion!A:AE,25,FALSE)</f>
        <v>0</v>
      </c>
      <c r="AG52" s="24">
        <f>VLOOKUP(L52,Ubicacion!A:AE,26,FALSE)</f>
        <v>2</v>
      </c>
      <c r="AH52" s="24">
        <f>VLOOKUP(L52,Ubicacion!A:AE,27,FALSE)</f>
        <v>2</v>
      </c>
      <c r="AI52" s="24">
        <f>VLOOKUP(L52,Ubicacion!A:AE,28,FALSE)</f>
        <v>5</v>
      </c>
      <c r="AJ52" s="24">
        <f>VLOOKUP(L52,Ubicacion!A:AE,29,FALSE)</f>
        <v>3</v>
      </c>
      <c r="AK52" s="24">
        <f>VLOOKUP(L52,Ubicacion!A:AE,30,FALSE)</f>
        <v>1</v>
      </c>
      <c r="AL52" s="24">
        <f>VLOOKUP(L52,Ubicacion!A:AE,31,FALSE)</f>
        <v>1</v>
      </c>
      <c r="AM52" s="25">
        <f t="shared" si="15"/>
        <v>0.66666666666666663</v>
      </c>
      <c r="AN52" s="25">
        <f t="shared" si="16"/>
        <v>0.04</v>
      </c>
      <c r="AO52" s="25" t="str">
        <f t="shared" si="17"/>
        <v>100%</v>
      </c>
      <c r="AP52" s="25">
        <f t="shared" si="18"/>
        <v>0.4</v>
      </c>
      <c r="AQ52" s="25">
        <f t="shared" si="19"/>
        <v>0.4</v>
      </c>
      <c r="AR52" s="25" t="str">
        <f t="shared" si="20"/>
        <v>100%</v>
      </c>
      <c r="AS52" s="25">
        <f t="shared" si="21"/>
        <v>0.13333333333333333</v>
      </c>
      <c r="AT52" s="25">
        <f t="shared" si="22"/>
        <v>0.04</v>
      </c>
      <c r="AU52" s="25" t="str">
        <f t="shared" si="23"/>
        <v>100%</v>
      </c>
      <c r="AV52" s="24">
        <v>10</v>
      </c>
      <c r="AW52" s="24">
        <v>1</v>
      </c>
      <c r="AX52" s="24">
        <v>2</v>
      </c>
      <c r="AY52" s="24">
        <v>2</v>
      </c>
      <c r="AZ52" s="24">
        <v>2</v>
      </c>
      <c r="BA52" s="24">
        <v>1</v>
      </c>
      <c r="BB52" s="24">
        <v>2</v>
      </c>
      <c r="BC52" s="24">
        <v>1</v>
      </c>
      <c r="BD52" s="24">
        <v>1</v>
      </c>
      <c r="BE52" s="24" t="s">
        <v>184</v>
      </c>
      <c r="BF52" s="24" t="s">
        <v>184</v>
      </c>
      <c r="BG52" s="24" t="s">
        <v>183</v>
      </c>
      <c r="BH52" s="24" t="s">
        <v>183</v>
      </c>
      <c r="BI52" s="24" t="s">
        <v>183</v>
      </c>
      <c r="BJ52" s="24" t="s">
        <v>183</v>
      </c>
      <c r="BK52" s="24"/>
      <c r="BL52" s="24"/>
      <c r="BM52" s="57"/>
      <c r="BN52" s="2" t="str">
        <f t="shared" si="26"/>
        <v xml:space="preserve"> </v>
      </c>
      <c r="BO52" s="2" t="str">
        <f t="shared" si="26"/>
        <v xml:space="preserve"> </v>
      </c>
      <c r="BP52" s="2" t="str">
        <f t="shared" si="26"/>
        <v xml:space="preserve"> </v>
      </c>
      <c r="BQ52" s="2" t="str">
        <f t="shared" si="26"/>
        <v xml:space="preserve"> </v>
      </c>
      <c r="BR52" s="2" t="str">
        <f t="shared" si="26"/>
        <v xml:space="preserve"> </v>
      </c>
      <c r="BS52" s="2" t="str">
        <f t="shared" si="26"/>
        <v xml:space="preserve"> </v>
      </c>
      <c r="BT52" s="2" t="str">
        <f t="shared" si="26"/>
        <v xml:space="preserve"> </v>
      </c>
      <c r="BU52" s="2" t="str">
        <f t="shared" si="26"/>
        <v xml:space="preserve"> </v>
      </c>
      <c r="BV52" s="2" t="str">
        <f t="shared" si="26"/>
        <v xml:space="preserve"> </v>
      </c>
      <c r="BW52" s="2" t="str">
        <f t="shared" si="26"/>
        <v xml:space="preserve"> </v>
      </c>
      <c r="BX52" s="2" t="str">
        <f t="shared" si="26"/>
        <v xml:space="preserve"> </v>
      </c>
      <c r="BY52" s="2" t="str">
        <f t="shared" si="26"/>
        <v xml:space="preserve"> </v>
      </c>
      <c r="BZ52" s="2" t="str">
        <f t="shared" si="26"/>
        <v xml:space="preserve"> </v>
      </c>
      <c r="CA52" s="2" t="str">
        <f t="shared" si="26"/>
        <v xml:space="preserve"> </v>
      </c>
      <c r="CB52" s="2" t="str">
        <f t="shared" si="26"/>
        <v>.</v>
      </c>
      <c r="CC52" s="2" t="str">
        <f t="shared" si="26"/>
        <v xml:space="preserve"> </v>
      </c>
      <c r="CD52" s="2" t="str">
        <f t="shared" si="28"/>
        <v xml:space="preserve"> </v>
      </c>
      <c r="CE52" s="2" t="str">
        <f t="shared" si="28"/>
        <v xml:space="preserve"> </v>
      </c>
      <c r="CF52" s="2" t="str">
        <f t="shared" si="28"/>
        <v xml:space="preserve"> </v>
      </c>
      <c r="CG52" s="2" t="str">
        <f t="shared" si="28"/>
        <v xml:space="preserve"> </v>
      </c>
      <c r="CH52" s="2" t="str">
        <f t="shared" si="28"/>
        <v xml:space="preserve"> </v>
      </c>
      <c r="CI52" s="2" t="str">
        <f t="shared" si="28"/>
        <v xml:space="preserve"> </v>
      </c>
      <c r="CJ52" s="2" t="str">
        <f t="shared" si="28"/>
        <v xml:space="preserve"> </v>
      </c>
      <c r="CK52" s="2" t="str">
        <f t="shared" si="28"/>
        <v xml:space="preserve"> </v>
      </c>
      <c r="CL52" s="2" t="str">
        <f t="shared" si="28"/>
        <v xml:space="preserve"> </v>
      </c>
      <c r="CM52" s="2" t="str">
        <f t="shared" si="28"/>
        <v xml:space="preserve"> </v>
      </c>
      <c r="CN52" s="2" t="str">
        <f t="shared" si="28"/>
        <v xml:space="preserve"> </v>
      </c>
      <c r="CO52" s="2" t="str">
        <f t="shared" si="28"/>
        <v xml:space="preserve"> </v>
      </c>
      <c r="CP52" s="2" t="str">
        <f t="shared" si="28"/>
        <v xml:space="preserve"> </v>
      </c>
      <c r="CQ52" s="2" t="str">
        <f t="shared" si="28"/>
        <v xml:space="preserve"> </v>
      </c>
      <c r="CR52" s="2" t="str">
        <f t="shared" si="28"/>
        <v xml:space="preserve"> </v>
      </c>
    </row>
    <row r="53" spans="1:96">
      <c r="A53" s="21" t="str">
        <f>VLOOKUP(L53,Ubicacion!A:K,2,FALSE)</f>
        <v>LI3BR</v>
      </c>
      <c r="B53" s="21" t="str">
        <f>VLOOKUP(L53,Ubicacion!A:K,3,FALSE)</f>
        <v>LI3BC12</v>
      </c>
      <c r="C53" s="21" t="str">
        <f>VLOOKUP(L53,Ubicacion!A:K,4,FALSE)</f>
        <v>LIMA</v>
      </c>
      <c r="D53" s="21" t="str">
        <f>VLOOKUP(L53,Ubicacion!A:K,5,FALSE)</f>
        <v>BARRANCO</v>
      </c>
      <c r="E53" s="21" t="str">
        <f>VLOOKUP(L53,Ubicacion!A:K,6,FALSE)</f>
        <v>Universidad</v>
      </c>
      <c r="F53" s="21" t="str">
        <f>VLOOKUP(L53,Ubicacion!A:K,7,FALSE)</f>
        <v>09:00 - 18:00</v>
      </c>
      <c r="G53" s="21" t="str">
        <f>VLOOKUP(L53,Ubicacion!A:K,8,FALSE)</f>
        <v>WEDNESDAY</v>
      </c>
      <c r="H53" s="21">
        <f>VLOOKUP(L53,Ubicacion!A:K,9,FALSE)</f>
        <v>2</v>
      </c>
      <c r="I53" s="21">
        <f>VLOOKUP(L53,Ubicacion!A:K,10,FALSE)</f>
        <v>-12.152040718196499</v>
      </c>
      <c r="J53" s="21">
        <f>VLOOKUP(L53,Ubicacion!A:K,11,FALSE)</f>
        <v>-77.019793881341897</v>
      </c>
      <c r="K53" s="21" t="str">
        <f t="shared" si="3"/>
        <v>46158Grupo 3</v>
      </c>
      <c r="L53" s="21" t="s">
        <v>105</v>
      </c>
      <c r="M53" s="21">
        <v>1</v>
      </c>
      <c r="N53" s="22" t="s">
        <v>185</v>
      </c>
      <c r="O53" s="24" t="s">
        <v>192</v>
      </c>
      <c r="P53" s="23">
        <v>46158</v>
      </c>
      <c r="Q53" s="23">
        <f t="shared" si="14"/>
        <v>46158</v>
      </c>
      <c r="R53" s="24" t="str">
        <f ca="1">IF($A$1&lt;Q53,"On-time",IF(AND(Q53&lt;=$A$1,BJ53="OK"),"OK","NO OK"))</f>
        <v>On-time</v>
      </c>
      <c r="S53" s="24" t="str">
        <f t="shared" si="4"/>
        <v>SATURDAY</v>
      </c>
      <c r="T53" s="24">
        <f>VLOOKUP(L53,Ubicacion!A:AE,13,FALSE)</f>
        <v>15</v>
      </c>
      <c r="U53" s="24">
        <f>VLOOKUP(L53,Ubicacion!A:AE,14,FALSE)</f>
        <v>25</v>
      </c>
      <c r="V53" s="24">
        <f>VLOOKUP(L53,Ubicacion!A:AE,15,FALSE)</f>
        <v>0</v>
      </c>
      <c r="W53" s="24">
        <f>VLOOKUP(L53,Ubicacion!A:AE,16,FALSE)</f>
        <v>5</v>
      </c>
      <c r="X53" s="24">
        <f>VLOOKUP(L53,Ubicacion!A:AE,17,FALSE)</f>
        <v>5</v>
      </c>
      <c r="Y53" s="24">
        <f>VLOOKUP(L53,Ubicacion!A:AE,18,FALSE)</f>
        <v>0</v>
      </c>
      <c r="Z53" s="24">
        <f>VLOOKUP(L53,Ubicacion!A:AE,19,FALSE)</f>
        <v>15</v>
      </c>
      <c r="AA53" s="24">
        <f>VLOOKUP(L53,Ubicacion!A:AE,20,FALSE)</f>
        <v>25</v>
      </c>
      <c r="AB53" s="24">
        <f>VLOOKUP(L53,Ubicacion!A:AE,21,FALSE)</f>
        <v>0</v>
      </c>
      <c r="AC53" s="24">
        <f>VLOOKUP(L53,Ubicacion!A:AE,22,FALSE)</f>
        <v>2</v>
      </c>
      <c r="AD53" s="24">
        <f>VLOOKUP(L53,Ubicacion!A:AE,23,FALSE)</f>
        <v>0</v>
      </c>
      <c r="AE53" s="24">
        <f>VLOOKUP(L53,Ubicacion!A:AE,24,FALSE)</f>
        <v>0</v>
      </c>
      <c r="AF53" s="24">
        <f>VLOOKUP(L53,Ubicacion!A:AE,25,FALSE)</f>
        <v>0</v>
      </c>
      <c r="AG53" s="24">
        <f>VLOOKUP(L53,Ubicacion!A:AE,26,FALSE)</f>
        <v>2</v>
      </c>
      <c r="AH53" s="24">
        <f>VLOOKUP(L53,Ubicacion!A:AE,27,FALSE)</f>
        <v>2</v>
      </c>
      <c r="AI53" s="24">
        <f>VLOOKUP(L53,Ubicacion!A:AE,28,FALSE)</f>
        <v>5</v>
      </c>
      <c r="AJ53" s="24">
        <f>VLOOKUP(L53,Ubicacion!A:AE,29,FALSE)</f>
        <v>3</v>
      </c>
      <c r="AK53" s="24">
        <f>VLOOKUP(L53,Ubicacion!A:AE,30,FALSE)</f>
        <v>1</v>
      </c>
      <c r="AL53" s="24">
        <f>VLOOKUP(L53,Ubicacion!A:AE,31,FALSE)</f>
        <v>1</v>
      </c>
      <c r="AM53" s="25">
        <f t="shared" si="15"/>
        <v>0.66666666666666663</v>
      </c>
      <c r="AN53" s="25">
        <f t="shared" si="16"/>
        <v>0.04</v>
      </c>
      <c r="AO53" s="25" t="str">
        <f t="shared" si="17"/>
        <v>100%</v>
      </c>
      <c r="AP53" s="25">
        <f t="shared" si="18"/>
        <v>0.4</v>
      </c>
      <c r="AQ53" s="25">
        <f t="shared" si="19"/>
        <v>0.4</v>
      </c>
      <c r="AR53" s="25" t="str">
        <f t="shared" si="20"/>
        <v>100%</v>
      </c>
      <c r="AS53" s="25">
        <f t="shared" si="21"/>
        <v>0.13333333333333333</v>
      </c>
      <c r="AT53" s="25">
        <f t="shared" si="22"/>
        <v>0.04</v>
      </c>
      <c r="AU53" s="25" t="str">
        <f t="shared" si="23"/>
        <v>100%</v>
      </c>
      <c r="AV53" s="24">
        <v>10</v>
      </c>
      <c r="AW53" s="24">
        <v>1</v>
      </c>
      <c r="AX53" s="24">
        <v>2</v>
      </c>
      <c r="AY53" s="24">
        <v>2</v>
      </c>
      <c r="AZ53" s="24">
        <v>2</v>
      </c>
      <c r="BA53" s="24">
        <v>1</v>
      </c>
      <c r="BB53" s="24">
        <v>2</v>
      </c>
      <c r="BC53" s="24">
        <v>1</v>
      </c>
      <c r="BD53" s="24">
        <v>1</v>
      </c>
      <c r="BE53" s="24" t="s">
        <v>184</v>
      </c>
      <c r="BF53" s="24" t="s">
        <v>184</v>
      </c>
      <c r="BG53" s="24" t="s">
        <v>183</v>
      </c>
      <c r="BH53" s="24" t="s">
        <v>183</v>
      </c>
      <c r="BI53" s="24" t="s">
        <v>183</v>
      </c>
      <c r="BJ53" s="24" t="s">
        <v>183</v>
      </c>
      <c r="BK53" s="24"/>
      <c r="BL53" s="24"/>
      <c r="BM53" s="57"/>
      <c r="BN53" s="2" t="str">
        <f t="shared" si="26"/>
        <v xml:space="preserve"> </v>
      </c>
      <c r="BO53" s="2" t="str">
        <f t="shared" si="26"/>
        <v xml:space="preserve"> </v>
      </c>
      <c r="BP53" s="2" t="str">
        <f t="shared" si="26"/>
        <v xml:space="preserve"> </v>
      </c>
      <c r="BQ53" s="2" t="str">
        <f t="shared" si="26"/>
        <v xml:space="preserve"> </v>
      </c>
      <c r="BR53" s="2" t="str">
        <f t="shared" si="26"/>
        <v xml:space="preserve"> </v>
      </c>
      <c r="BS53" s="2" t="str">
        <f t="shared" si="26"/>
        <v xml:space="preserve"> </v>
      </c>
      <c r="BT53" s="2" t="str">
        <f t="shared" si="26"/>
        <v xml:space="preserve"> </v>
      </c>
      <c r="BU53" s="2" t="str">
        <f t="shared" si="26"/>
        <v xml:space="preserve"> </v>
      </c>
      <c r="BV53" s="2" t="str">
        <f t="shared" si="26"/>
        <v xml:space="preserve"> </v>
      </c>
      <c r="BW53" s="2" t="str">
        <f t="shared" si="26"/>
        <v xml:space="preserve"> </v>
      </c>
      <c r="BX53" s="2" t="str">
        <f t="shared" si="26"/>
        <v xml:space="preserve"> </v>
      </c>
      <c r="BY53" s="2" t="str">
        <f t="shared" si="26"/>
        <v xml:space="preserve"> </v>
      </c>
      <c r="BZ53" s="2" t="str">
        <f t="shared" si="26"/>
        <v xml:space="preserve"> </v>
      </c>
      <c r="CA53" s="2" t="str">
        <f t="shared" si="26"/>
        <v xml:space="preserve"> </v>
      </c>
      <c r="CB53" s="2" t="str">
        <f t="shared" si="26"/>
        <v xml:space="preserve"> </v>
      </c>
      <c r="CC53" s="2" t="str">
        <f t="shared" si="26"/>
        <v>.</v>
      </c>
      <c r="CD53" s="2" t="str">
        <f t="shared" si="28"/>
        <v xml:space="preserve"> </v>
      </c>
      <c r="CE53" s="2" t="str">
        <f t="shared" si="28"/>
        <v xml:space="preserve"> </v>
      </c>
      <c r="CF53" s="2" t="str">
        <f t="shared" si="28"/>
        <v xml:space="preserve"> </v>
      </c>
      <c r="CG53" s="2" t="str">
        <f t="shared" si="28"/>
        <v xml:space="preserve"> </v>
      </c>
      <c r="CH53" s="2" t="str">
        <f t="shared" si="28"/>
        <v xml:space="preserve"> </v>
      </c>
      <c r="CI53" s="2" t="str">
        <f t="shared" si="28"/>
        <v xml:space="preserve"> </v>
      </c>
      <c r="CJ53" s="2" t="str">
        <f t="shared" si="28"/>
        <v xml:space="preserve"> </v>
      </c>
      <c r="CK53" s="2" t="str">
        <f t="shared" si="28"/>
        <v xml:space="preserve"> </v>
      </c>
      <c r="CL53" s="2" t="str">
        <f t="shared" si="28"/>
        <v xml:space="preserve"> </v>
      </c>
      <c r="CM53" s="2" t="str">
        <f t="shared" si="28"/>
        <v xml:space="preserve"> </v>
      </c>
      <c r="CN53" s="2" t="str">
        <f t="shared" si="28"/>
        <v xml:space="preserve"> </v>
      </c>
      <c r="CO53" s="2" t="str">
        <f t="shared" si="28"/>
        <v xml:space="preserve"> </v>
      </c>
      <c r="CP53" s="2" t="str">
        <f t="shared" si="28"/>
        <v xml:space="preserve"> </v>
      </c>
      <c r="CQ53" s="2" t="str">
        <f t="shared" si="28"/>
        <v xml:space="preserve"> </v>
      </c>
      <c r="CR53" s="2" t="str">
        <f t="shared" si="28"/>
        <v xml:space="preserve"> </v>
      </c>
    </row>
    <row r="54" spans="1:96">
      <c r="A54" s="21" t="str">
        <f>VLOOKUP(L54,Ubicacion!A:K,2,FALSE)</f>
        <v>LI3BR</v>
      </c>
      <c r="B54" s="21" t="str">
        <f>VLOOKUP(L54,Ubicacion!A:K,3,FALSE)</f>
        <v>LI3BC12</v>
      </c>
      <c r="C54" s="21" t="str">
        <f>VLOOKUP(L54,Ubicacion!A:K,4,FALSE)</f>
        <v>LIMA</v>
      </c>
      <c r="D54" s="21" t="str">
        <f>VLOOKUP(L54,Ubicacion!A:K,5,FALSE)</f>
        <v>SURCO</v>
      </c>
      <c r="E54" s="21" t="str">
        <f>VLOOKUP(L54,Ubicacion!A:K,6,FALSE)</f>
        <v>Universidad</v>
      </c>
      <c r="F54" s="21" t="str">
        <f>VLOOKUP(L54,Ubicacion!A:K,7,FALSE)</f>
        <v>09:00 - 18:00</v>
      </c>
      <c r="G54" s="21" t="str">
        <f>VLOOKUP(L54,Ubicacion!A:K,8,FALSE)</f>
        <v>THURSDAY</v>
      </c>
      <c r="H54" s="21">
        <f>VLOOKUP(L54,Ubicacion!A:K,9,FALSE)</f>
        <v>2</v>
      </c>
      <c r="I54" s="21">
        <f>VLOOKUP(L54,Ubicacion!A:K,10,FALSE)</f>
        <v>-12.1453864238153</v>
      </c>
      <c r="J54" s="21">
        <f>VLOOKUP(L54,Ubicacion!A:K,11,FALSE)</f>
        <v>-77.004130835054397</v>
      </c>
      <c r="K54" s="21" t="str">
        <f t="shared" si="3"/>
        <v>46159Grupo 3</v>
      </c>
      <c r="L54" s="21" t="s">
        <v>106</v>
      </c>
      <c r="M54" s="21">
        <v>1</v>
      </c>
      <c r="N54" s="24" t="s">
        <v>186</v>
      </c>
      <c r="O54" s="24" t="s">
        <v>192</v>
      </c>
      <c r="P54" s="23">
        <v>46159</v>
      </c>
      <c r="Q54" s="23">
        <f t="shared" si="14"/>
        <v>46159</v>
      </c>
      <c r="R54" s="24" t="str">
        <f ca="1">IF($A$1&lt;Q54,"On-time",IF(AND(Q54&lt;=$A$1,BJ54="OK"),"OK","NO OK"))</f>
        <v>On-time</v>
      </c>
      <c r="S54" s="24" t="str">
        <f t="shared" si="4"/>
        <v>SUNDAY</v>
      </c>
      <c r="T54" s="24">
        <f>VLOOKUP(L54,Ubicacion!A:AE,13,FALSE)</f>
        <v>15</v>
      </c>
      <c r="U54" s="24">
        <f>VLOOKUP(L54,Ubicacion!A:AE,14,FALSE)</f>
        <v>25</v>
      </c>
      <c r="V54" s="24">
        <f>VLOOKUP(L54,Ubicacion!A:AE,15,FALSE)</f>
        <v>0</v>
      </c>
      <c r="W54" s="24">
        <f>VLOOKUP(L54,Ubicacion!A:AE,16,FALSE)</f>
        <v>5</v>
      </c>
      <c r="X54" s="24">
        <f>VLOOKUP(L54,Ubicacion!A:AE,17,FALSE)</f>
        <v>5</v>
      </c>
      <c r="Y54" s="24">
        <f>VLOOKUP(L54,Ubicacion!A:AE,18,FALSE)</f>
        <v>0</v>
      </c>
      <c r="Z54" s="24">
        <f>VLOOKUP(L54,Ubicacion!A:AE,19,FALSE)</f>
        <v>15</v>
      </c>
      <c r="AA54" s="24">
        <f>VLOOKUP(L54,Ubicacion!A:AE,20,FALSE)</f>
        <v>25</v>
      </c>
      <c r="AB54" s="24">
        <f>VLOOKUP(L54,Ubicacion!A:AE,21,FALSE)</f>
        <v>0</v>
      </c>
      <c r="AC54" s="24">
        <f>VLOOKUP(L54,Ubicacion!A:AE,22,FALSE)</f>
        <v>2</v>
      </c>
      <c r="AD54" s="24">
        <f>VLOOKUP(L54,Ubicacion!A:AE,23,FALSE)</f>
        <v>0</v>
      </c>
      <c r="AE54" s="24">
        <f>VLOOKUP(L54,Ubicacion!A:AE,24,FALSE)</f>
        <v>0</v>
      </c>
      <c r="AF54" s="24">
        <f>VLOOKUP(L54,Ubicacion!A:AE,25,FALSE)</f>
        <v>0</v>
      </c>
      <c r="AG54" s="24">
        <f>VLOOKUP(L54,Ubicacion!A:AE,26,FALSE)</f>
        <v>2</v>
      </c>
      <c r="AH54" s="24">
        <f>VLOOKUP(L54,Ubicacion!A:AE,27,FALSE)</f>
        <v>2</v>
      </c>
      <c r="AI54" s="24">
        <f>VLOOKUP(L54,Ubicacion!A:AE,28,FALSE)</f>
        <v>5</v>
      </c>
      <c r="AJ54" s="24">
        <f>VLOOKUP(L54,Ubicacion!A:AE,29,FALSE)</f>
        <v>3</v>
      </c>
      <c r="AK54" s="24">
        <f>VLOOKUP(L54,Ubicacion!A:AE,30,FALSE)</f>
        <v>1</v>
      </c>
      <c r="AL54" s="24">
        <f>VLOOKUP(L54,Ubicacion!A:AE,31,FALSE)</f>
        <v>1</v>
      </c>
      <c r="AM54" s="25">
        <f t="shared" si="15"/>
        <v>0.66666666666666663</v>
      </c>
      <c r="AN54" s="25">
        <f t="shared" si="16"/>
        <v>0.04</v>
      </c>
      <c r="AO54" s="25" t="str">
        <f t="shared" si="17"/>
        <v>100%</v>
      </c>
      <c r="AP54" s="25">
        <f t="shared" si="18"/>
        <v>0.4</v>
      </c>
      <c r="AQ54" s="25">
        <f t="shared" si="19"/>
        <v>0.4</v>
      </c>
      <c r="AR54" s="25" t="str">
        <f t="shared" si="20"/>
        <v>100%</v>
      </c>
      <c r="AS54" s="25">
        <f t="shared" si="21"/>
        <v>0.13333333333333333</v>
      </c>
      <c r="AT54" s="25">
        <f t="shared" si="22"/>
        <v>0.04</v>
      </c>
      <c r="AU54" s="25" t="str">
        <f t="shared" si="23"/>
        <v>100%</v>
      </c>
      <c r="AV54" s="24">
        <v>10</v>
      </c>
      <c r="AW54" s="24">
        <v>1</v>
      </c>
      <c r="AX54" s="24">
        <v>2</v>
      </c>
      <c r="AY54" s="24">
        <v>2</v>
      </c>
      <c r="AZ54" s="24">
        <v>2</v>
      </c>
      <c r="BA54" s="24">
        <v>1</v>
      </c>
      <c r="BB54" s="24">
        <v>2</v>
      </c>
      <c r="BC54" s="24">
        <v>1</v>
      </c>
      <c r="BD54" s="24">
        <v>1</v>
      </c>
      <c r="BE54" s="24" t="s">
        <v>184</v>
      </c>
      <c r="BF54" s="24" t="s">
        <v>184</v>
      </c>
      <c r="BG54" s="24" t="s">
        <v>183</v>
      </c>
      <c r="BH54" s="24" t="s">
        <v>183</v>
      </c>
      <c r="BI54" s="24" t="s">
        <v>183</v>
      </c>
      <c r="BJ54" s="24" t="s">
        <v>183</v>
      </c>
      <c r="BK54" s="24"/>
      <c r="BL54" s="24"/>
      <c r="BM54" s="57"/>
      <c r="BN54" s="2" t="str">
        <f t="shared" si="26"/>
        <v xml:space="preserve"> </v>
      </c>
      <c r="BO54" s="2" t="str">
        <f t="shared" si="26"/>
        <v xml:space="preserve"> </v>
      </c>
      <c r="BP54" s="2" t="str">
        <f t="shared" si="26"/>
        <v xml:space="preserve"> </v>
      </c>
      <c r="BQ54" s="2" t="str">
        <f t="shared" si="26"/>
        <v xml:space="preserve"> </v>
      </c>
      <c r="BR54" s="2" t="str">
        <f t="shared" si="26"/>
        <v xml:space="preserve"> </v>
      </c>
      <c r="BS54" s="2" t="str">
        <f t="shared" si="26"/>
        <v xml:space="preserve"> </v>
      </c>
      <c r="BT54" s="2" t="str">
        <f t="shared" si="26"/>
        <v xml:space="preserve"> </v>
      </c>
      <c r="BU54" s="2" t="str">
        <f t="shared" si="26"/>
        <v xml:space="preserve"> </v>
      </c>
      <c r="BV54" s="2" t="str">
        <f t="shared" si="26"/>
        <v xml:space="preserve"> </v>
      </c>
      <c r="BW54" s="2" t="str">
        <f t="shared" si="26"/>
        <v xml:space="preserve"> </v>
      </c>
      <c r="BX54" s="2" t="str">
        <f t="shared" si="26"/>
        <v xml:space="preserve"> </v>
      </c>
      <c r="BY54" s="2" t="str">
        <f t="shared" si="26"/>
        <v xml:space="preserve"> </v>
      </c>
      <c r="BZ54" s="2" t="str">
        <f t="shared" si="26"/>
        <v xml:space="preserve"> </v>
      </c>
      <c r="CA54" s="2" t="str">
        <f t="shared" si="26"/>
        <v xml:space="preserve"> </v>
      </c>
      <c r="CB54" s="2" t="str">
        <f t="shared" si="26"/>
        <v xml:space="preserve"> </v>
      </c>
      <c r="CC54" s="2" t="str">
        <f t="shared" si="26"/>
        <v xml:space="preserve"> </v>
      </c>
      <c r="CD54" s="2" t="str">
        <f t="shared" si="28"/>
        <v>.</v>
      </c>
      <c r="CE54" s="2" t="str">
        <f t="shared" si="28"/>
        <v xml:space="preserve"> </v>
      </c>
      <c r="CF54" s="2" t="str">
        <f t="shared" si="28"/>
        <v xml:space="preserve"> </v>
      </c>
      <c r="CG54" s="2" t="str">
        <f t="shared" si="28"/>
        <v xml:space="preserve"> </v>
      </c>
      <c r="CH54" s="2" t="str">
        <f t="shared" si="28"/>
        <v xml:space="preserve"> </v>
      </c>
      <c r="CI54" s="2" t="str">
        <f t="shared" si="28"/>
        <v xml:space="preserve"> </v>
      </c>
      <c r="CJ54" s="2" t="str">
        <f t="shared" si="28"/>
        <v xml:space="preserve"> </v>
      </c>
      <c r="CK54" s="2" t="str">
        <f t="shared" si="28"/>
        <v xml:space="preserve"> </v>
      </c>
      <c r="CL54" s="2" t="str">
        <f t="shared" si="28"/>
        <v xml:space="preserve"> </v>
      </c>
      <c r="CM54" s="2" t="str">
        <f t="shared" si="28"/>
        <v xml:space="preserve"> </v>
      </c>
      <c r="CN54" s="2" t="str">
        <f t="shared" si="28"/>
        <v xml:space="preserve"> </v>
      </c>
      <c r="CO54" s="2" t="str">
        <f t="shared" si="28"/>
        <v xml:space="preserve"> </v>
      </c>
      <c r="CP54" s="2" t="str">
        <f t="shared" si="28"/>
        <v xml:space="preserve"> </v>
      </c>
      <c r="CQ54" s="2" t="str">
        <f t="shared" si="28"/>
        <v xml:space="preserve"> </v>
      </c>
      <c r="CR54" s="2" t="str">
        <f t="shared" si="28"/>
        <v xml:space="preserve"> </v>
      </c>
    </row>
    <row r="55" spans="1:96">
      <c r="A55" s="21" t="str">
        <f>VLOOKUP(L55,Ubicacion!A:K,2,FALSE)</f>
        <v>LI3BR</v>
      </c>
      <c r="B55" s="21" t="str">
        <f>VLOOKUP(L55,Ubicacion!A:K,3,FALSE)</f>
        <v>LI3BC10</v>
      </c>
      <c r="C55" s="21" t="str">
        <f>VLOOKUP(L55,Ubicacion!A:K,4,FALSE)</f>
        <v>LIMA</v>
      </c>
      <c r="D55" s="21" t="str">
        <f>VLOOKUP(L55,Ubicacion!A:K,5,FALSE)</f>
        <v>PACHACAMAC</v>
      </c>
      <c r="E55" s="21" t="str">
        <f>VLOOKUP(L55,Ubicacion!A:K,6,FALSE)</f>
        <v>Universidad</v>
      </c>
      <c r="F55" s="21" t="str">
        <f>VLOOKUP(L55,Ubicacion!A:K,7,FALSE)</f>
        <v>09:00 - 18:00</v>
      </c>
      <c r="G55" s="21" t="str">
        <f>VLOOKUP(L55,Ubicacion!A:K,8,FALSE)</f>
        <v>FRIDAY</v>
      </c>
      <c r="H55" s="21">
        <f>VLOOKUP(L55,Ubicacion!A:K,9,FALSE)</f>
        <v>2</v>
      </c>
      <c r="I55" s="21">
        <f>VLOOKUP(L55,Ubicacion!A:K,10,FALSE)</f>
        <v>-12.103010599929799</v>
      </c>
      <c r="J55" s="21">
        <f>VLOOKUP(L55,Ubicacion!A:K,11,FALSE)</f>
        <v>-76.877334428232402</v>
      </c>
      <c r="K55" s="21" t="str">
        <f t="shared" si="3"/>
        <v>46160Grupo 3</v>
      </c>
      <c r="L55" s="21" t="s">
        <v>107</v>
      </c>
      <c r="M55" s="21">
        <v>1</v>
      </c>
      <c r="N55" s="24" t="s">
        <v>187</v>
      </c>
      <c r="O55" s="24" t="s">
        <v>192</v>
      </c>
      <c r="P55" s="23">
        <v>46160</v>
      </c>
      <c r="Q55" s="23">
        <f t="shared" si="14"/>
        <v>46160</v>
      </c>
      <c r="R55" s="24" t="str">
        <f ca="1">IF($A$1&lt;Q55,"On-time",IF(AND(Q55&lt;=$A$1,BJ55="OK"),"OK","NO OK"))</f>
        <v>On-time</v>
      </c>
      <c r="S55" s="24" t="str">
        <f t="shared" si="4"/>
        <v>MONDAY</v>
      </c>
      <c r="T55" s="24">
        <f>VLOOKUP(L55,Ubicacion!A:AE,13,FALSE)</f>
        <v>15</v>
      </c>
      <c r="U55" s="24">
        <f>VLOOKUP(L55,Ubicacion!A:AE,14,FALSE)</f>
        <v>25</v>
      </c>
      <c r="V55" s="24">
        <f>VLOOKUP(L55,Ubicacion!A:AE,15,FALSE)</f>
        <v>0</v>
      </c>
      <c r="W55" s="24">
        <f>VLOOKUP(L55,Ubicacion!A:AE,16,FALSE)</f>
        <v>5</v>
      </c>
      <c r="X55" s="24">
        <f>VLOOKUP(L55,Ubicacion!A:AE,17,FALSE)</f>
        <v>5</v>
      </c>
      <c r="Y55" s="24">
        <f>VLOOKUP(L55,Ubicacion!A:AE,18,FALSE)</f>
        <v>0</v>
      </c>
      <c r="Z55" s="24">
        <f>VLOOKUP(L55,Ubicacion!A:AE,19,FALSE)</f>
        <v>15</v>
      </c>
      <c r="AA55" s="24">
        <f>VLOOKUP(L55,Ubicacion!A:AE,20,FALSE)</f>
        <v>25</v>
      </c>
      <c r="AB55" s="24">
        <f>VLOOKUP(L55,Ubicacion!A:AE,21,FALSE)</f>
        <v>0</v>
      </c>
      <c r="AC55" s="24">
        <f>VLOOKUP(L55,Ubicacion!A:AE,22,FALSE)</f>
        <v>2</v>
      </c>
      <c r="AD55" s="24">
        <f>VLOOKUP(L55,Ubicacion!A:AE,23,FALSE)</f>
        <v>0</v>
      </c>
      <c r="AE55" s="24">
        <f>VLOOKUP(L55,Ubicacion!A:AE,24,FALSE)</f>
        <v>0</v>
      </c>
      <c r="AF55" s="24">
        <f>VLOOKUP(L55,Ubicacion!A:AE,25,FALSE)</f>
        <v>0</v>
      </c>
      <c r="AG55" s="24">
        <f>VLOOKUP(L55,Ubicacion!A:AE,26,FALSE)</f>
        <v>2</v>
      </c>
      <c r="AH55" s="24">
        <f>VLOOKUP(L55,Ubicacion!A:AE,27,FALSE)</f>
        <v>2</v>
      </c>
      <c r="AI55" s="24">
        <f>VLOOKUP(L55,Ubicacion!A:AE,28,FALSE)</f>
        <v>5</v>
      </c>
      <c r="AJ55" s="24">
        <f>VLOOKUP(L55,Ubicacion!A:AE,29,FALSE)</f>
        <v>3</v>
      </c>
      <c r="AK55" s="24">
        <f>VLOOKUP(L55,Ubicacion!A:AE,30,FALSE)</f>
        <v>1</v>
      </c>
      <c r="AL55" s="24">
        <f>VLOOKUP(L55,Ubicacion!A:AE,31,FALSE)</f>
        <v>1</v>
      </c>
      <c r="AM55" s="25">
        <f t="shared" si="15"/>
        <v>0.66666666666666663</v>
      </c>
      <c r="AN55" s="25">
        <f t="shared" si="16"/>
        <v>0.04</v>
      </c>
      <c r="AO55" s="25" t="str">
        <f t="shared" si="17"/>
        <v>100%</v>
      </c>
      <c r="AP55" s="25">
        <f t="shared" si="18"/>
        <v>0.4</v>
      </c>
      <c r="AQ55" s="25">
        <f t="shared" si="19"/>
        <v>0.4</v>
      </c>
      <c r="AR55" s="25" t="str">
        <f t="shared" si="20"/>
        <v>100%</v>
      </c>
      <c r="AS55" s="25">
        <f t="shared" si="21"/>
        <v>0.13333333333333333</v>
      </c>
      <c r="AT55" s="25">
        <f t="shared" si="22"/>
        <v>0.04</v>
      </c>
      <c r="AU55" s="25" t="str">
        <f t="shared" si="23"/>
        <v>100%</v>
      </c>
      <c r="AV55" s="24">
        <v>10</v>
      </c>
      <c r="AW55" s="24">
        <v>1</v>
      </c>
      <c r="AX55" s="24">
        <v>2</v>
      </c>
      <c r="AY55" s="24">
        <v>2</v>
      </c>
      <c r="AZ55" s="24">
        <v>2</v>
      </c>
      <c r="BA55" s="24">
        <v>1</v>
      </c>
      <c r="BB55" s="24">
        <v>2</v>
      </c>
      <c r="BC55" s="24">
        <v>1</v>
      </c>
      <c r="BD55" s="24">
        <v>1</v>
      </c>
      <c r="BE55" s="24" t="s">
        <v>184</v>
      </c>
      <c r="BF55" s="24" t="s">
        <v>184</v>
      </c>
      <c r="BG55" s="24" t="s">
        <v>183</v>
      </c>
      <c r="BH55" s="24" t="s">
        <v>183</v>
      </c>
      <c r="BI55" s="24" t="s">
        <v>183</v>
      </c>
      <c r="BJ55" s="24" t="s">
        <v>183</v>
      </c>
      <c r="BK55" s="24"/>
      <c r="BL55" s="24"/>
      <c r="BM55" s="57"/>
      <c r="BN55" s="2" t="str">
        <f t="shared" si="26"/>
        <v xml:space="preserve"> </v>
      </c>
      <c r="BO55" s="2" t="str">
        <f t="shared" si="26"/>
        <v xml:space="preserve"> </v>
      </c>
      <c r="BP55" s="2" t="str">
        <f t="shared" si="26"/>
        <v xml:space="preserve"> </v>
      </c>
      <c r="BQ55" s="2" t="str">
        <f t="shared" si="26"/>
        <v xml:space="preserve"> </v>
      </c>
      <c r="BR55" s="2" t="str">
        <f t="shared" si="26"/>
        <v xml:space="preserve"> </v>
      </c>
      <c r="BS55" s="2" t="str">
        <f t="shared" si="26"/>
        <v xml:space="preserve"> </v>
      </c>
      <c r="BT55" s="2" t="str">
        <f t="shared" si="26"/>
        <v xml:space="preserve"> </v>
      </c>
      <c r="BU55" s="2" t="str">
        <f t="shared" si="26"/>
        <v xml:space="preserve"> </v>
      </c>
      <c r="BV55" s="2" t="str">
        <f t="shared" si="26"/>
        <v xml:space="preserve"> </v>
      </c>
      <c r="BW55" s="2" t="str">
        <f t="shared" si="26"/>
        <v xml:space="preserve"> </v>
      </c>
      <c r="BX55" s="2" t="str">
        <f t="shared" si="26"/>
        <v xml:space="preserve"> </v>
      </c>
      <c r="BY55" s="2" t="str">
        <f t="shared" si="26"/>
        <v xml:space="preserve"> </v>
      </c>
      <c r="BZ55" s="2" t="str">
        <f t="shared" si="26"/>
        <v xml:space="preserve"> </v>
      </c>
      <c r="CA55" s="2" t="str">
        <f t="shared" si="26"/>
        <v xml:space="preserve"> </v>
      </c>
      <c r="CB55" s="2" t="str">
        <f t="shared" si="26"/>
        <v xml:space="preserve"> </v>
      </c>
      <c r="CC55" s="2" t="str">
        <f t="shared" si="26"/>
        <v xml:space="preserve"> </v>
      </c>
      <c r="CD55" s="2" t="str">
        <f t="shared" si="28"/>
        <v xml:space="preserve"> </v>
      </c>
      <c r="CE55" s="2" t="str">
        <f t="shared" si="28"/>
        <v>.</v>
      </c>
      <c r="CF55" s="2" t="str">
        <f t="shared" si="28"/>
        <v xml:space="preserve"> </v>
      </c>
      <c r="CG55" s="2" t="str">
        <f t="shared" si="28"/>
        <v xml:space="preserve"> </v>
      </c>
      <c r="CH55" s="2" t="str">
        <f t="shared" si="28"/>
        <v xml:space="preserve"> </v>
      </c>
      <c r="CI55" s="2" t="str">
        <f t="shared" si="28"/>
        <v xml:space="preserve"> </v>
      </c>
      <c r="CJ55" s="2" t="str">
        <f t="shared" si="28"/>
        <v xml:space="preserve"> </v>
      </c>
      <c r="CK55" s="2" t="str">
        <f t="shared" si="28"/>
        <v xml:space="preserve"> </v>
      </c>
      <c r="CL55" s="2" t="str">
        <f t="shared" si="28"/>
        <v xml:space="preserve"> </v>
      </c>
      <c r="CM55" s="2" t="str">
        <f t="shared" si="28"/>
        <v xml:space="preserve"> </v>
      </c>
      <c r="CN55" s="2" t="str">
        <f t="shared" si="28"/>
        <v xml:space="preserve"> </v>
      </c>
      <c r="CO55" s="2" t="str">
        <f t="shared" si="28"/>
        <v xml:space="preserve"> </v>
      </c>
      <c r="CP55" s="2" t="str">
        <f t="shared" si="28"/>
        <v xml:space="preserve"> </v>
      </c>
      <c r="CQ55" s="2" t="str">
        <f t="shared" si="28"/>
        <v xml:space="preserve"> </v>
      </c>
      <c r="CR55" s="2" t="str">
        <f t="shared" si="28"/>
        <v xml:space="preserve"> </v>
      </c>
    </row>
    <row r="56" spans="1:96">
      <c r="A56" s="21" t="str">
        <f>VLOOKUP(L56,Ubicacion!A:K,2,FALSE)</f>
        <v>LI3BR</v>
      </c>
      <c r="B56" s="21" t="str">
        <f>VLOOKUP(L56,Ubicacion!A:K,3,FALSE)</f>
        <v>LI3BC10</v>
      </c>
      <c r="C56" s="21" t="str">
        <f>VLOOKUP(L56,Ubicacion!A:K,4,FALSE)</f>
        <v>LIMA</v>
      </c>
      <c r="D56" s="21" t="str">
        <f>VLOOKUP(L56,Ubicacion!A:K,5,FALSE)</f>
        <v>CIENEGUILLA</v>
      </c>
      <c r="E56" s="21" t="str">
        <f>VLOOKUP(L56,Ubicacion!A:K,6,FALSE)</f>
        <v>Universidad</v>
      </c>
      <c r="F56" s="21" t="str">
        <f>VLOOKUP(L56,Ubicacion!A:K,7,FALSE)</f>
        <v>09:00 - 18:00</v>
      </c>
      <c r="G56" s="21" t="str">
        <f>VLOOKUP(L56,Ubicacion!A:K,8,FALSE)</f>
        <v>SATURDAY</v>
      </c>
      <c r="H56" s="21">
        <f>VLOOKUP(L56,Ubicacion!A:K,9,FALSE)</f>
        <v>2</v>
      </c>
      <c r="I56" s="21">
        <f>VLOOKUP(L56,Ubicacion!A:K,10,FALSE)</f>
        <v>-12.088741707781701</v>
      </c>
      <c r="J56" s="21">
        <f>VLOOKUP(L56,Ubicacion!A:K,11,FALSE)</f>
        <v>-76.856089169581296</v>
      </c>
      <c r="K56" s="21" t="str">
        <f t="shared" si="3"/>
        <v>46161Grupo 3</v>
      </c>
      <c r="L56" s="21" t="s">
        <v>108</v>
      </c>
      <c r="M56" s="21">
        <v>1</v>
      </c>
      <c r="N56" s="24" t="s">
        <v>186</v>
      </c>
      <c r="O56" s="24" t="s">
        <v>192</v>
      </c>
      <c r="P56" s="23">
        <v>46161</v>
      </c>
      <c r="Q56" s="23">
        <f t="shared" si="14"/>
        <v>46161</v>
      </c>
      <c r="R56" s="24" t="str">
        <f ca="1">IF($A$1&lt;Q56,"On-time",IF(AND(Q56&lt;=$A$1,BJ56="OK"),"OK","NO OK"))</f>
        <v>On-time</v>
      </c>
      <c r="S56" s="24" t="str">
        <f t="shared" si="4"/>
        <v>TUESDAY</v>
      </c>
      <c r="T56" s="24">
        <f>VLOOKUP(L56,Ubicacion!A:AE,13,FALSE)</f>
        <v>15</v>
      </c>
      <c r="U56" s="24">
        <f>VLOOKUP(L56,Ubicacion!A:AE,14,FALSE)</f>
        <v>25</v>
      </c>
      <c r="V56" s="24">
        <f>VLOOKUP(L56,Ubicacion!A:AE,15,FALSE)</f>
        <v>0</v>
      </c>
      <c r="W56" s="24">
        <f>VLOOKUP(L56,Ubicacion!A:AE,16,FALSE)</f>
        <v>5</v>
      </c>
      <c r="X56" s="24">
        <f>VLOOKUP(L56,Ubicacion!A:AE,17,FALSE)</f>
        <v>5</v>
      </c>
      <c r="Y56" s="24">
        <f>VLOOKUP(L56,Ubicacion!A:AE,18,FALSE)</f>
        <v>0</v>
      </c>
      <c r="Z56" s="24">
        <f>VLOOKUP(L56,Ubicacion!A:AE,19,FALSE)</f>
        <v>15</v>
      </c>
      <c r="AA56" s="24">
        <f>VLOOKUP(L56,Ubicacion!A:AE,20,FALSE)</f>
        <v>25</v>
      </c>
      <c r="AB56" s="24">
        <f>VLOOKUP(L56,Ubicacion!A:AE,21,FALSE)</f>
        <v>0</v>
      </c>
      <c r="AC56" s="24">
        <f>VLOOKUP(L56,Ubicacion!A:AE,22,FALSE)</f>
        <v>2</v>
      </c>
      <c r="AD56" s="24">
        <f>VLOOKUP(L56,Ubicacion!A:AE,23,FALSE)</f>
        <v>0</v>
      </c>
      <c r="AE56" s="24">
        <f>VLOOKUP(L56,Ubicacion!A:AE,24,FALSE)</f>
        <v>0</v>
      </c>
      <c r="AF56" s="24">
        <f>VLOOKUP(L56,Ubicacion!A:AE,25,FALSE)</f>
        <v>0</v>
      </c>
      <c r="AG56" s="24">
        <f>VLOOKUP(L56,Ubicacion!A:AE,26,FALSE)</f>
        <v>2</v>
      </c>
      <c r="AH56" s="24">
        <f>VLOOKUP(L56,Ubicacion!A:AE,27,FALSE)</f>
        <v>2</v>
      </c>
      <c r="AI56" s="24">
        <f>VLOOKUP(L56,Ubicacion!A:AE,28,FALSE)</f>
        <v>5</v>
      </c>
      <c r="AJ56" s="24">
        <f>VLOOKUP(L56,Ubicacion!A:AE,29,FALSE)</f>
        <v>3</v>
      </c>
      <c r="AK56" s="24">
        <f>VLOOKUP(L56,Ubicacion!A:AE,30,FALSE)</f>
        <v>1</v>
      </c>
      <c r="AL56" s="24">
        <f>VLOOKUP(L56,Ubicacion!A:AE,31,FALSE)</f>
        <v>1</v>
      </c>
      <c r="AM56" s="25">
        <f t="shared" si="15"/>
        <v>0.66666666666666663</v>
      </c>
      <c r="AN56" s="25">
        <f t="shared" si="16"/>
        <v>0.04</v>
      </c>
      <c r="AO56" s="25" t="str">
        <f t="shared" si="17"/>
        <v>100%</v>
      </c>
      <c r="AP56" s="25">
        <f t="shared" si="18"/>
        <v>0.4</v>
      </c>
      <c r="AQ56" s="25">
        <f t="shared" si="19"/>
        <v>0.4</v>
      </c>
      <c r="AR56" s="25" t="str">
        <f t="shared" si="20"/>
        <v>100%</v>
      </c>
      <c r="AS56" s="25">
        <f t="shared" si="21"/>
        <v>0.13333333333333333</v>
      </c>
      <c r="AT56" s="25">
        <f t="shared" si="22"/>
        <v>0.04</v>
      </c>
      <c r="AU56" s="25" t="str">
        <f t="shared" si="23"/>
        <v>100%</v>
      </c>
      <c r="AV56" s="24">
        <v>10</v>
      </c>
      <c r="AW56" s="24">
        <v>1</v>
      </c>
      <c r="AX56" s="24">
        <v>2</v>
      </c>
      <c r="AY56" s="24">
        <v>2</v>
      </c>
      <c r="AZ56" s="24">
        <v>2</v>
      </c>
      <c r="BA56" s="24">
        <v>1</v>
      </c>
      <c r="BB56" s="24">
        <v>2</v>
      </c>
      <c r="BC56" s="24">
        <v>1</v>
      </c>
      <c r="BD56" s="24">
        <v>1</v>
      </c>
      <c r="BE56" s="24" t="s">
        <v>184</v>
      </c>
      <c r="BF56" s="24" t="s">
        <v>184</v>
      </c>
      <c r="BG56" s="24" t="s">
        <v>183</v>
      </c>
      <c r="BH56" s="24" t="s">
        <v>183</v>
      </c>
      <c r="BI56" s="24" t="s">
        <v>183</v>
      </c>
      <c r="BJ56" s="24" t="s">
        <v>183</v>
      </c>
      <c r="BK56" s="24"/>
      <c r="BL56" s="24"/>
      <c r="BM56" s="57"/>
      <c r="BN56" s="2" t="str">
        <f t="shared" si="26"/>
        <v xml:space="preserve"> </v>
      </c>
      <c r="BO56" s="2" t="str">
        <f t="shared" si="26"/>
        <v xml:space="preserve"> </v>
      </c>
      <c r="BP56" s="2" t="str">
        <f t="shared" si="26"/>
        <v xml:space="preserve"> </v>
      </c>
      <c r="BQ56" s="2" t="str">
        <f t="shared" si="26"/>
        <v xml:space="preserve"> </v>
      </c>
      <c r="BR56" s="2" t="str">
        <f t="shared" si="26"/>
        <v xml:space="preserve"> </v>
      </c>
      <c r="BS56" s="2" t="str">
        <f t="shared" si="26"/>
        <v xml:space="preserve"> </v>
      </c>
      <c r="BT56" s="2" t="str">
        <f t="shared" ref="BT56:CI71" si="29">IF(AND((BT$6-$P56)&gt;=0,(BT$6-$P56)&lt;=($Q56-$P56)),"."," ")</f>
        <v xml:space="preserve"> </v>
      </c>
      <c r="BU56" s="2" t="str">
        <f t="shared" si="29"/>
        <v xml:space="preserve"> </v>
      </c>
      <c r="BV56" s="2" t="str">
        <f t="shared" si="29"/>
        <v xml:space="preserve"> </v>
      </c>
      <c r="BW56" s="2" t="str">
        <f t="shared" si="29"/>
        <v xml:space="preserve"> </v>
      </c>
      <c r="BX56" s="2" t="str">
        <f t="shared" si="29"/>
        <v xml:space="preserve"> </v>
      </c>
      <c r="BY56" s="2" t="str">
        <f t="shared" si="29"/>
        <v xml:space="preserve"> </v>
      </c>
      <c r="BZ56" s="2" t="str">
        <f t="shared" si="29"/>
        <v xml:space="preserve"> </v>
      </c>
      <c r="CA56" s="2" t="str">
        <f t="shared" si="29"/>
        <v xml:space="preserve"> </v>
      </c>
      <c r="CB56" s="2" t="str">
        <f t="shared" si="29"/>
        <v xml:space="preserve"> </v>
      </c>
      <c r="CC56" s="2" t="str">
        <f t="shared" si="29"/>
        <v xml:space="preserve"> </v>
      </c>
      <c r="CD56" s="2" t="str">
        <f t="shared" si="29"/>
        <v xml:space="preserve"> </v>
      </c>
      <c r="CE56" s="2" t="str">
        <f t="shared" si="29"/>
        <v xml:space="preserve"> </v>
      </c>
      <c r="CF56" s="2" t="str">
        <f t="shared" si="29"/>
        <v>.</v>
      </c>
      <c r="CG56" s="2" t="str">
        <f t="shared" si="29"/>
        <v xml:space="preserve"> </v>
      </c>
      <c r="CH56" s="2" t="str">
        <f t="shared" si="29"/>
        <v xml:space="preserve"> </v>
      </c>
      <c r="CI56" s="2" t="str">
        <f t="shared" si="29"/>
        <v xml:space="preserve"> </v>
      </c>
      <c r="CJ56" s="2" t="str">
        <f t="shared" si="28"/>
        <v xml:space="preserve"> </v>
      </c>
      <c r="CK56" s="2" t="str">
        <f t="shared" si="28"/>
        <v xml:space="preserve"> </v>
      </c>
      <c r="CL56" s="2" t="str">
        <f t="shared" si="28"/>
        <v xml:space="preserve"> </v>
      </c>
      <c r="CM56" s="2" t="str">
        <f t="shared" si="28"/>
        <v xml:space="preserve"> </v>
      </c>
      <c r="CN56" s="2" t="str">
        <f t="shared" si="28"/>
        <v xml:space="preserve"> </v>
      </c>
      <c r="CO56" s="2" t="str">
        <f t="shared" si="28"/>
        <v xml:space="preserve"> </v>
      </c>
      <c r="CP56" s="2" t="str">
        <f t="shared" si="28"/>
        <v xml:space="preserve"> </v>
      </c>
      <c r="CQ56" s="2" t="str">
        <f t="shared" si="28"/>
        <v xml:space="preserve"> </v>
      </c>
      <c r="CR56" s="2" t="str">
        <f t="shared" si="28"/>
        <v xml:space="preserve"> </v>
      </c>
    </row>
    <row r="57" spans="1:96">
      <c r="A57" s="21" t="str">
        <f>VLOOKUP(L57,Ubicacion!A:K,2,FALSE)</f>
        <v>LI3BR</v>
      </c>
      <c r="B57" s="21" t="str">
        <f>VLOOKUP(L57,Ubicacion!A:K,3,FALSE)</f>
        <v>LI3BC06</v>
      </c>
      <c r="C57" s="21" t="str">
        <f>VLOOKUP(L57,Ubicacion!A:K,4,FALSE)</f>
        <v>LIMA</v>
      </c>
      <c r="D57" s="21" t="str">
        <f>VLOOKUP(L57,Ubicacion!A:K,5,FALSE)</f>
        <v>SURCO</v>
      </c>
      <c r="E57" s="21" t="str">
        <f>VLOOKUP(L57,Ubicacion!A:K,6,FALSE)</f>
        <v>Universidad</v>
      </c>
      <c r="F57" s="21" t="str">
        <f>VLOOKUP(L57,Ubicacion!A:K,7,FALSE)</f>
        <v>09:00 - 18:00</v>
      </c>
      <c r="G57" s="21" t="str">
        <f>VLOOKUP(L57,Ubicacion!A:K,8,FALSE)</f>
        <v>SUNDAY</v>
      </c>
      <c r="H57" s="21">
        <f>VLOOKUP(L57,Ubicacion!A:K,9,FALSE)</f>
        <v>2</v>
      </c>
      <c r="I57" s="21">
        <f>VLOOKUP(L57,Ubicacion!A:K,10,FALSE)</f>
        <v>-12.095351118679799</v>
      </c>
      <c r="J57" s="21">
        <f>VLOOKUP(L57,Ubicacion!A:K,11,FALSE)</f>
        <v>-76.963971960391405</v>
      </c>
      <c r="K57" s="21" t="str">
        <f t="shared" si="3"/>
        <v>46162Grupo 3</v>
      </c>
      <c r="L57" s="21" t="s">
        <v>109</v>
      </c>
      <c r="M57" s="21">
        <v>1</v>
      </c>
      <c r="N57" s="24" t="s">
        <v>188</v>
      </c>
      <c r="O57" s="24" t="s">
        <v>192</v>
      </c>
      <c r="P57" s="23">
        <v>46162</v>
      </c>
      <c r="Q57" s="23">
        <f t="shared" si="14"/>
        <v>46162</v>
      </c>
      <c r="R57" s="24" t="str">
        <f ca="1">IF($A$1&lt;Q57,"On-time",IF(AND(Q57&lt;=$A$1,BJ57="OK"),"OK","NO OK"))</f>
        <v>On-time</v>
      </c>
      <c r="S57" s="24" t="str">
        <f t="shared" si="4"/>
        <v>WEDNESDAY</v>
      </c>
      <c r="T57" s="24">
        <f>VLOOKUP(L57,Ubicacion!A:AE,13,FALSE)</f>
        <v>15</v>
      </c>
      <c r="U57" s="24">
        <f>VLOOKUP(L57,Ubicacion!A:AE,14,FALSE)</f>
        <v>18</v>
      </c>
      <c r="V57" s="24">
        <f>VLOOKUP(L57,Ubicacion!A:AE,15,FALSE)</f>
        <v>2</v>
      </c>
      <c r="W57" s="24">
        <f>VLOOKUP(L57,Ubicacion!A:AE,16,FALSE)</f>
        <v>4</v>
      </c>
      <c r="X57" s="24">
        <f>VLOOKUP(L57,Ubicacion!A:AE,17,FALSE)</f>
        <v>4</v>
      </c>
      <c r="Y57" s="24">
        <f>VLOOKUP(L57,Ubicacion!A:AE,18,FALSE)</f>
        <v>0</v>
      </c>
      <c r="Z57" s="24">
        <f>VLOOKUP(L57,Ubicacion!A:AE,19,FALSE)</f>
        <v>0</v>
      </c>
      <c r="AA57" s="24">
        <f>VLOOKUP(L57,Ubicacion!A:AE,20,FALSE)</f>
        <v>0</v>
      </c>
      <c r="AB57" s="24">
        <f>VLOOKUP(L57,Ubicacion!A:AE,21,FALSE)</f>
        <v>0</v>
      </c>
      <c r="AC57" s="24">
        <f>VLOOKUP(L57,Ubicacion!A:AE,22,FALSE)</f>
        <v>4</v>
      </c>
      <c r="AD57" s="24">
        <f>VLOOKUP(L57,Ubicacion!A:AE,23,FALSE)</f>
        <v>30</v>
      </c>
      <c r="AE57" s="24">
        <f>VLOOKUP(L57,Ubicacion!A:AE,24,FALSE)</f>
        <v>0</v>
      </c>
      <c r="AF57" s="24">
        <f>VLOOKUP(L57,Ubicacion!A:AE,25,FALSE)</f>
        <v>0</v>
      </c>
      <c r="AG57" s="24">
        <f>VLOOKUP(L57,Ubicacion!A:AE,26,FALSE)</f>
        <v>34</v>
      </c>
      <c r="AH57" s="24">
        <f>VLOOKUP(L57,Ubicacion!A:AE,27,FALSE)</f>
        <v>2</v>
      </c>
      <c r="AI57" s="24">
        <f>VLOOKUP(L57,Ubicacion!A:AE,28,FALSE)</f>
        <v>5</v>
      </c>
      <c r="AJ57" s="24">
        <f>VLOOKUP(L57,Ubicacion!A:AE,29,FALSE)</f>
        <v>3</v>
      </c>
      <c r="AK57" s="24">
        <f>VLOOKUP(L57,Ubicacion!A:AE,30,FALSE)</f>
        <v>1</v>
      </c>
      <c r="AL57" s="24">
        <f>VLOOKUP(L57,Ubicacion!A:AE,31,FALSE)</f>
        <v>1</v>
      </c>
      <c r="AM57" s="25">
        <f t="shared" si="15"/>
        <v>0.66666666666666663</v>
      </c>
      <c r="AN57" s="25">
        <f t="shared" si="16"/>
        <v>5.5555555555555552E-2</v>
      </c>
      <c r="AO57" s="25">
        <f t="shared" si="17"/>
        <v>1</v>
      </c>
      <c r="AP57" s="25">
        <f t="shared" si="18"/>
        <v>0.5</v>
      </c>
      <c r="AQ57" s="25">
        <f t="shared" si="19"/>
        <v>0.5</v>
      </c>
      <c r="AR57" s="25" t="str">
        <f t="shared" si="20"/>
        <v>100%</v>
      </c>
      <c r="AS57" s="25" t="str">
        <f t="shared" si="21"/>
        <v>100%</v>
      </c>
      <c r="AT57" s="25" t="str">
        <f t="shared" si="22"/>
        <v>100%</v>
      </c>
      <c r="AU57" s="25" t="str">
        <f t="shared" si="23"/>
        <v>100%</v>
      </c>
      <c r="AV57" s="24">
        <v>10</v>
      </c>
      <c r="AW57" s="24">
        <v>1</v>
      </c>
      <c r="AX57" s="24">
        <v>2</v>
      </c>
      <c r="AY57" s="24">
        <v>2</v>
      </c>
      <c r="AZ57" s="24">
        <v>2</v>
      </c>
      <c r="BA57" s="24">
        <v>1</v>
      </c>
      <c r="BB57" s="24">
        <v>2</v>
      </c>
      <c r="BC57" s="24">
        <v>1</v>
      </c>
      <c r="BD57" s="24">
        <v>1</v>
      </c>
      <c r="BE57" s="24" t="s">
        <v>184</v>
      </c>
      <c r="BF57" s="24" t="s">
        <v>184</v>
      </c>
      <c r="BG57" s="24" t="s">
        <v>183</v>
      </c>
      <c r="BH57" s="24" t="s">
        <v>183</v>
      </c>
      <c r="BI57" s="24" t="s">
        <v>183</v>
      </c>
      <c r="BJ57" s="24" t="s">
        <v>183</v>
      </c>
      <c r="BK57" s="24"/>
      <c r="BL57" s="24"/>
      <c r="BM57" s="57"/>
      <c r="BN57" s="2" t="str">
        <f t="shared" ref="BN57:CC72" si="30">IF(AND((BN$6-$P57)&gt;=0,(BN$6-$P57)&lt;=($Q57-$P57)),"."," ")</f>
        <v xml:space="preserve"> </v>
      </c>
      <c r="BO57" s="2" t="str">
        <f t="shared" si="30"/>
        <v xml:space="preserve"> </v>
      </c>
      <c r="BP57" s="2" t="str">
        <f t="shared" si="30"/>
        <v xml:space="preserve"> </v>
      </c>
      <c r="BQ57" s="2" t="str">
        <f t="shared" si="30"/>
        <v xml:space="preserve"> </v>
      </c>
      <c r="BR57" s="2" t="str">
        <f t="shared" si="30"/>
        <v xml:space="preserve"> </v>
      </c>
      <c r="BS57" s="2" t="str">
        <f t="shared" si="30"/>
        <v xml:space="preserve"> </v>
      </c>
      <c r="BT57" s="2" t="str">
        <f t="shared" si="30"/>
        <v xml:space="preserve"> </v>
      </c>
      <c r="BU57" s="2" t="str">
        <f t="shared" si="30"/>
        <v xml:space="preserve"> </v>
      </c>
      <c r="BV57" s="2" t="str">
        <f t="shared" si="30"/>
        <v xml:space="preserve"> </v>
      </c>
      <c r="BW57" s="2" t="str">
        <f t="shared" si="30"/>
        <v xml:space="preserve"> </v>
      </c>
      <c r="BX57" s="2" t="str">
        <f t="shared" si="30"/>
        <v xml:space="preserve"> </v>
      </c>
      <c r="BY57" s="2" t="str">
        <f t="shared" si="30"/>
        <v xml:space="preserve"> </v>
      </c>
      <c r="BZ57" s="2" t="str">
        <f t="shared" si="30"/>
        <v xml:space="preserve"> </v>
      </c>
      <c r="CA57" s="2" t="str">
        <f t="shared" si="30"/>
        <v xml:space="preserve"> </v>
      </c>
      <c r="CB57" s="2" t="str">
        <f t="shared" si="30"/>
        <v xml:space="preserve"> </v>
      </c>
      <c r="CC57" s="2" t="str">
        <f t="shared" si="30"/>
        <v xml:space="preserve"> </v>
      </c>
      <c r="CD57" s="2" t="str">
        <f t="shared" si="29"/>
        <v xml:space="preserve"> </v>
      </c>
      <c r="CE57" s="2" t="str">
        <f t="shared" si="29"/>
        <v xml:space="preserve"> </v>
      </c>
      <c r="CF57" s="2" t="str">
        <f t="shared" si="29"/>
        <v xml:space="preserve"> </v>
      </c>
      <c r="CG57" s="2" t="str">
        <f t="shared" si="29"/>
        <v>.</v>
      </c>
      <c r="CH57" s="2" t="str">
        <f t="shared" si="29"/>
        <v xml:space="preserve"> </v>
      </c>
      <c r="CI57" s="2" t="str">
        <f t="shared" si="29"/>
        <v xml:space="preserve"> </v>
      </c>
      <c r="CJ57" s="2" t="str">
        <f t="shared" si="28"/>
        <v xml:space="preserve"> </v>
      </c>
      <c r="CK57" s="2" t="str">
        <f t="shared" si="28"/>
        <v xml:space="preserve"> </v>
      </c>
      <c r="CL57" s="2" t="str">
        <f t="shared" si="28"/>
        <v xml:space="preserve"> </v>
      </c>
      <c r="CM57" s="2" t="str">
        <f t="shared" si="28"/>
        <v xml:space="preserve"> </v>
      </c>
      <c r="CN57" s="2" t="str">
        <f t="shared" si="28"/>
        <v xml:space="preserve"> </v>
      </c>
      <c r="CO57" s="2" t="str">
        <f t="shared" si="28"/>
        <v xml:space="preserve"> </v>
      </c>
      <c r="CP57" s="2" t="str">
        <f t="shared" si="28"/>
        <v xml:space="preserve"> </v>
      </c>
      <c r="CQ57" s="2" t="str">
        <f t="shared" si="28"/>
        <v xml:space="preserve"> </v>
      </c>
      <c r="CR57" s="2" t="str">
        <f t="shared" si="28"/>
        <v xml:space="preserve"> </v>
      </c>
    </row>
    <row r="58" spans="1:96">
      <c r="A58" s="21" t="str">
        <f>VLOOKUP(L58,Ubicacion!A:K,2,FALSE)</f>
        <v>LI3BR</v>
      </c>
      <c r="B58" s="21" t="str">
        <f>VLOOKUP(L58,Ubicacion!A:K,3,FALSE)</f>
        <v>LI3BC06</v>
      </c>
      <c r="C58" s="21" t="str">
        <f>VLOOKUP(L58,Ubicacion!A:K,4,FALSE)</f>
        <v>LIMA</v>
      </c>
      <c r="D58" s="21" t="str">
        <f>VLOOKUP(L58,Ubicacion!A:K,5,FALSE)</f>
        <v>SURCO</v>
      </c>
      <c r="E58" s="21" t="str">
        <f>VLOOKUP(L58,Ubicacion!A:K,6,FALSE)</f>
        <v>Universidad</v>
      </c>
      <c r="F58" s="21" t="str">
        <f>VLOOKUP(L58,Ubicacion!A:K,7,FALSE)</f>
        <v>09:00 - 18:00</v>
      </c>
      <c r="G58" s="21" t="str">
        <f>VLOOKUP(L58,Ubicacion!A:K,8,FALSE)</f>
        <v>WEEKDAY</v>
      </c>
      <c r="H58" s="21">
        <f>VLOOKUP(L58,Ubicacion!A:K,9,FALSE)</f>
        <v>2</v>
      </c>
      <c r="I58" s="21">
        <f>VLOOKUP(L58,Ubicacion!A:K,10,FALSE)</f>
        <v>-12.109176562861601</v>
      </c>
      <c r="J58" s="21">
        <f>VLOOKUP(L58,Ubicacion!A:K,11,FALSE)</f>
        <v>-76.974709064532902</v>
      </c>
      <c r="K58" s="21" t="str">
        <f t="shared" si="3"/>
        <v>46163Grupo 3</v>
      </c>
      <c r="L58" s="21" t="s">
        <v>110</v>
      </c>
      <c r="M58" s="21">
        <v>1</v>
      </c>
      <c r="N58" s="24" t="s">
        <v>189</v>
      </c>
      <c r="O58" s="24" t="s">
        <v>192</v>
      </c>
      <c r="P58" s="23">
        <v>46163</v>
      </c>
      <c r="Q58" s="23">
        <f t="shared" si="14"/>
        <v>46163</v>
      </c>
      <c r="R58" s="24" t="str">
        <f ca="1">IF($A$1&lt;Q58,"On-time",IF(AND(Q58&lt;=$A$1,BJ58="OK"),"OK","NO OK"))</f>
        <v>On-time</v>
      </c>
      <c r="S58" s="24" t="str">
        <f t="shared" si="4"/>
        <v>THURSDAY</v>
      </c>
      <c r="T58" s="24">
        <f>VLOOKUP(L58,Ubicacion!A:AE,13,FALSE)</f>
        <v>15</v>
      </c>
      <c r="U58" s="24">
        <f>VLOOKUP(L58,Ubicacion!A:AE,14,FALSE)</f>
        <v>18</v>
      </c>
      <c r="V58" s="24">
        <f>VLOOKUP(L58,Ubicacion!A:AE,15,FALSE)</f>
        <v>2</v>
      </c>
      <c r="W58" s="24">
        <f>VLOOKUP(L58,Ubicacion!A:AE,16,FALSE)</f>
        <v>4</v>
      </c>
      <c r="X58" s="24">
        <f>VLOOKUP(L58,Ubicacion!A:AE,17,FALSE)</f>
        <v>4</v>
      </c>
      <c r="Y58" s="24">
        <f>VLOOKUP(L58,Ubicacion!A:AE,18,FALSE)</f>
        <v>0</v>
      </c>
      <c r="Z58" s="24">
        <f>VLOOKUP(L58,Ubicacion!A:AE,19,FALSE)</f>
        <v>0</v>
      </c>
      <c r="AA58" s="24">
        <f>VLOOKUP(L58,Ubicacion!A:AE,20,FALSE)</f>
        <v>0</v>
      </c>
      <c r="AB58" s="24">
        <f>VLOOKUP(L58,Ubicacion!A:AE,21,FALSE)</f>
        <v>0</v>
      </c>
      <c r="AC58" s="24">
        <f>VLOOKUP(L58,Ubicacion!A:AE,22,FALSE)</f>
        <v>4</v>
      </c>
      <c r="AD58" s="24">
        <f>VLOOKUP(L58,Ubicacion!A:AE,23,FALSE)</f>
        <v>30</v>
      </c>
      <c r="AE58" s="24">
        <f>VLOOKUP(L58,Ubicacion!A:AE,24,FALSE)</f>
        <v>0</v>
      </c>
      <c r="AF58" s="24">
        <f>VLOOKUP(L58,Ubicacion!A:AE,25,FALSE)</f>
        <v>0</v>
      </c>
      <c r="AG58" s="24">
        <f>VLOOKUP(L58,Ubicacion!A:AE,26,FALSE)</f>
        <v>34</v>
      </c>
      <c r="AH58" s="24">
        <f>VLOOKUP(L58,Ubicacion!A:AE,27,FALSE)</f>
        <v>2</v>
      </c>
      <c r="AI58" s="24">
        <f>VLOOKUP(L58,Ubicacion!A:AE,28,FALSE)</f>
        <v>5</v>
      </c>
      <c r="AJ58" s="24">
        <f>VLOOKUP(L58,Ubicacion!A:AE,29,FALSE)</f>
        <v>3</v>
      </c>
      <c r="AK58" s="24">
        <f>VLOOKUP(L58,Ubicacion!A:AE,30,FALSE)</f>
        <v>1</v>
      </c>
      <c r="AL58" s="24">
        <f>VLOOKUP(L58,Ubicacion!A:AE,31,FALSE)</f>
        <v>1</v>
      </c>
      <c r="AM58" s="25">
        <f t="shared" si="15"/>
        <v>0.66666666666666663</v>
      </c>
      <c r="AN58" s="25">
        <f t="shared" si="16"/>
        <v>5.5555555555555552E-2</v>
      </c>
      <c r="AO58" s="25">
        <f t="shared" si="17"/>
        <v>1</v>
      </c>
      <c r="AP58" s="25">
        <f t="shared" si="18"/>
        <v>0.5</v>
      </c>
      <c r="AQ58" s="25">
        <f t="shared" si="19"/>
        <v>0.5</v>
      </c>
      <c r="AR58" s="25" t="str">
        <f t="shared" si="20"/>
        <v>100%</v>
      </c>
      <c r="AS58" s="25" t="str">
        <f t="shared" si="21"/>
        <v>100%</v>
      </c>
      <c r="AT58" s="25" t="str">
        <f t="shared" si="22"/>
        <v>100%</v>
      </c>
      <c r="AU58" s="25" t="str">
        <f t="shared" si="23"/>
        <v>100%</v>
      </c>
      <c r="AV58" s="24">
        <v>10</v>
      </c>
      <c r="AW58" s="24">
        <v>1</v>
      </c>
      <c r="AX58" s="24">
        <v>2</v>
      </c>
      <c r="AY58" s="24">
        <v>2</v>
      </c>
      <c r="AZ58" s="24">
        <v>2</v>
      </c>
      <c r="BA58" s="24">
        <v>1</v>
      </c>
      <c r="BB58" s="24">
        <v>2</v>
      </c>
      <c r="BC58" s="24">
        <v>1</v>
      </c>
      <c r="BD58" s="24">
        <v>1</v>
      </c>
      <c r="BE58" s="24" t="s">
        <v>184</v>
      </c>
      <c r="BF58" s="24" t="s">
        <v>184</v>
      </c>
      <c r="BG58" s="24" t="s">
        <v>183</v>
      </c>
      <c r="BH58" s="24" t="s">
        <v>183</v>
      </c>
      <c r="BI58" s="24" t="s">
        <v>183</v>
      </c>
      <c r="BJ58" s="24" t="s">
        <v>183</v>
      </c>
      <c r="BK58" s="24"/>
      <c r="BL58" s="24"/>
      <c r="BM58" s="57"/>
      <c r="BN58" s="2" t="str">
        <f t="shared" si="30"/>
        <v xml:space="preserve"> </v>
      </c>
      <c r="BO58" s="2" t="str">
        <f t="shared" si="30"/>
        <v xml:space="preserve"> </v>
      </c>
      <c r="BP58" s="2" t="str">
        <f t="shared" si="30"/>
        <v xml:space="preserve"> </v>
      </c>
      <c r="BQ58" s="2" t="str">
        <f t="shared" si="30"/>
        <v xml:space="preserve"> </v>
      </c>
      <c r="BR58" s="2" t="str">
        <f t="shared" si="30"/>
        <v xml:space="preserve"> </v>
      </c>
      <c r="BS58" s="2" t="str">
        <f t="shared" si="30"/>
        <v xml:space="preserve"> </v>
      </c>
      <c r="BT58" s="2" t="str">
        <f t="shared" si="30"/>
        <v xml:space="preserve"> </v>
      </c>
      <c r="BU58" s="2" t="str">
        <f t="shared" si="30"/>
        <v xml:space="preserve"> </v>
      </c>
      <c r="BV58" s="2" t="str">
        <f t="shared" si="30"/>
        <v xml:space="preserve"> </v>
      </c>
      <c r="BW58" s="2" t="str">
        <f t="shared" si="30"/>
        <v xml:space="preserve"> </v>
      </c>
      <c r="BX58" s="2" t="str">
        <f t="shared" si="30"/>
        <v xml:space="preserve"> </v>
      </c>
      <c r="BY58" s="2" t="str">
        <f t="shared" si="30"/>
        <v xml:space="preserve"> </v>
      </c>
      <c r="BZ58" s="2" t="str">
        <f t="shared" si="30"/>
        <v xml:space="preserve"> </v>
      </c>
      <c r="CA58" s="2" t="str">
        <f t="shared" si="30"/>
        <v xml:space="preserve"> </v>
      </c>
      <c r="CB58" s="2" t="str">
        <f t="shared" si="30"/>
        <v xml:space="preserve"> </v>
      </c>
      <c r="CC58" s="2" t="str">
        <f t="shared" si="30"/>
        <v xml:space="preserve"> </v>
      </c>
      <c r="CD58" s="2" t="str">
        <f t="shared" si="29"/>
        <v xml:space="preserve"> </v>
      </c>
      <c r="CE58" s="2" t="str">
        <f t="shared" si="29"/>
        <v xml:space="preserve"> </v>
      </c>
      <c r="CF58" s="2" t="str">
        <f t="shared" si="29"/>
        <v xml:space="preserve"> </v>
      </c>
      <c r="CG58" s="2" t="str">
        <f t="shared" si="29"/>
        <v xml:space="preserve"> </v>
      </c>
      <c r="CH58" s="2" t="str">
        <f t="shared" si="29"/>
        <v>.</v>
      </c>
      <c r="CI58" s="2" t="str">
        <f t="shared" si="29"/>
        <v xml:space="preserve"> </v>
      </c>
      <c r="CJ58" s="2" t="str">
        <f t="shared" si="28"/>
        <v xml:space="preserve"> </v>
      </c>
      <c r="CK58" s="2" t="str">
        <f t="shared" si="28"/>
        <v xml:space="preserve"> </v>
      </c>
      <c r="CL58" s="2" t="str">
        <f t="shared" si="28"/>
        <v xml:space="preserve"> </v>
      </c>
      <c r="CM58" s="2" t="str">
        <f t="shared" si="28"/>
        <v xml:space="preserve"> </v>
      </c>
      <c r="CN58" s="2" t="str">
        <f t="shared" si="28"/>
        <v xml:space="preserve"> </v>
      </c>
      <c r="CO58" s="2" t="str">
        <f t="shared" si="28"/>
        <v xml:space="preserve"> </v>
      </c>
      <c r="CP58" s="2" t="str">
        <f t="shared" si="28"/>
        <v xml:space="preserve"> </v>
      </c>
      <c r="CQ58" s="2" t="str">
        <f t="shared" si="28"/>
        <v xml:space="preserve"> </v>
      </c>
      <c r="CR58" s="2" t="str">
        <f t="shared" si="28"/>
        <v xml:space="preserve"> </v>
      </c>
    </row>
    <row r="59" spans="1:96">
      <c r="A59" s="21" t="str">
        <f>VLOOKUP(L59,Ubicacion!A:K,2,FALSE)</f>
        <v>LI3BR</v>
      </c>
      <c r="B59" s="21" t="str">
        <f>VLOOKUP(L59,Ubicacion!A:K,3,FALSE)</f>
        <v>LI3BC06</v>
      </c>
      <c r="C59" s="21" t="str">
        <f>VLOOKUP(L59,Ubicacion!A:K,4,FALSE)</f>
        <v>LIMA</v>
      </c>
      <c r="D59" s="21" t="str">
        <f>VLOOKUP(L59,Ubicacion!A:K,5,FALSE)</f>
        <v>SURCO</v>
      </c>
      <c r="E59" s="21" t="str">
        <f>VLOOKUP(L59,Ubicacion!A:K,6,FALSE)</f>
        <v>Universidad</v>
      </c>
      <c r="F59" s="21" t="str">
        <f>VLOOKUP(L59,Ubicacion!A:K,7,FALSE)</f>
        <v>09:00 - 18:00</v>
      </c>
      <c r="G59" s="21" t="str">
        <f>VLOOKUP(L59,Ubicacion!A:K,8,FALSE)</f>
        <v>WEEKEND</v>
      </c>
      <c r="H59" s="21">
        <f>VLOOKUP(L59,Ubicacion!A:K,9,FALSE)</f>
        <v>2</v>
      </c>
      <c r="I59" s="21">
        <f>VLOOKUP(L59,Ubicacion!A:K,10,FALSE)</f>
        <v>-12.1080574448434</v>
      </c>
      <c r="J59" s="21">
        <f>VLOOKUP(L59,Ubicacion!A:K,11,FALSE)</f>
        <v>-76.969219400494694</v>
      </c>
      <c r="K59" s="21" t="str">
        <f t="shared" si="3"/>
        <v>46164Grupo 3</v>
      </c>
      <c r="L59" s="21" t="s">
        <v>111</v>
      </c>
      <c r="M59" s="21">
        <v>1</v>
      </c>
      <c r="N59" s="24" t="s">
        <v>190</v>
      </c>
      <c r="O59" s="24" t="s">
        <v>192</v>
      </c>
      <c r="P59" s="23">
        <v>46164</v>
      </c>
      <c r="Q59" s="23">
        <f t="shared" si="14"/>
        <v>46164</v>
      </c>
      <c r="R59" s="24" t="str">
        <f ca="1">IF($A$1&lt;Q59,"On-time",IF(AND(Q59&lt;=$A$1,BJ59="OK"),"OK","NO OK"))</f>
        <v>On-time</v>
      </c>
      <c r="S59" s="24" t="str">
        <f t="shared" si="4"/>
        <v>FRIDAY</v>
      </c>
      <c r="T59" s="24">
        <f>VLOOKUP(L59,Ubicacion!A:AE,13,FALSE)</f>
        <v>15</v>
      </c>
      <c r="U59" s="24">
        <f>VLOOKUP(L59,Ubicacion!A:AE,14,FALSE)</f>
        <v>18</v>
      </c>
      <c r="V59" s="24">
        <f>VLOOKUP(L59,Ubicacion!A:AE,15,FALSE)</f>
        <v>2</v>
      </c>
      <c r="W59" s="24">
        <f>VLOOKUP(L59,Ubicacion!A:AE,16,FALSE)</f>
        <v>4</v>
      </c>
      <c r="X59" s="24">
        <f>VLOOKUP(L59,Ubicacion!A:AE,17,FALSE)</f>
        <v>4</v>
      </c>
      <c r="Y59" s="24">
        <f>VLOOKUP(L59,Ubicacion!A:AE,18,FALSE)</f>
        <v>0</v>
      </c>
      <c r="Z59" s="24">
        <f>VLOOKUP(L59,Ubicacion!A:AE,19,FALSE)</f>
        <v>0</v>
      </c>
      <c r="AA59" s="24">
        <f>VLOOKUP(L59,Ubicacion!A:AE,20,FALSE)</f>
        <v>0</v>
      </c>
      <c r="AB59" s="24">
        <f>VLOOKUP(L59,Ubicacion!A:AE,21,FALSE)</f>
        <v>0</v>
      </c>
      <c r="AC59" s="24">
        <f>VLOOKUP(L59,Ubicacion!A:AE,22,FALSE)</f>
        <v>4</v>
      </c>
      <c r="AD59" s="24">
        <f>VLOOKUP(L59,Ubicacion!A:AE,23,FALSE)</f>
        <v>30</v>
      </c>
      <c r="AE59" s="24">
        <f>VLOOKUP(L59,Ubicacion!A:AE,24,FALSE)</f>
        <v>0</v>
      </c>
      <c r="AF59" s="24">
        <f>VLOOKUP(L59,Ubicacion!A:AE,25,FALSE)</f>
        <v>0</v>
      </c>
      <c r="AG59" s="24">
        <f>VLOOKUP(L59,Ubicacion!A:AE,26,FALSE)</f>
        <v>34</v>
      </c>
      <c r="AH59" s="24">
        <f>VLOOKUP(L59,Ubicacion!A:AE,27,FALSE)</f>
        <v>2</v>
      </c>
      <c r="AI59" s="24">
        <f>VLOOKUP(L59,Ubicacion!A:AE,28,FALSE)</f>
        <v>5</v>
      </c>
      <c r="AJ59" s="24">
        <f>VLOOKUP(L59,Ubicacion!A:AE,29,FALSE)</f>
        <v>3</v>
      </c>
      <c r="AK59" s="24">
        <f>VLOOKUP(L59,Ubicacion!A:AE,30,FALSE)</f>
        <v>1</v>
      </c>
      <c r="AL59" s="24">
        <f>VLOOKUP(L59,Ubicacion!A:AE,31,FALSE)</f>
        <v>1</v>
      </c>
      <c r="AM59" s="25">
        <f t="shared" si="15"/>
        <v>0.66666666666666663</v>
      </c>
      <c r="AN59" s="25">
        <f t="shared" si="16"/>
        <v>5.5555555555555552E-2</v>
      </c>
      <c r="AO59" s="25">
        <f t="shared" si="17"/>
        <v>1</v>
      </c>
      <c r="AP59" s="25">
        <f t="shared" si="18"/>
        <v>0.5</v>
      </c>
      <c r="AQ59" s="25">
        <f t="shared" si="19"/>
        <v>0.5</v>
      </c>
      <c r="AR59" s="25" t="str">
        <f t="shared" si="20"/>
        <v>100%</v>
      </c>
      <c r="AS59" s="25" t="str">
        <f t="shared" si="21"/>
        <v>100%</v>
      </c>
      <c r="AT59" s="25" t="str">
        <f t="shared" si="22"/>
        <v>100%</v>
      </c>
      <c r="AU59" s="25" t="str">
        <f t="shared" si="23"/>
        <v>100%</v>
      </c>
      <c r="AV59" s="24">
        <v>10</v>
      </c>
      <c r="AW59" s="24">
        <v>1</v>
      </c>
      <c r="AX59" s="24">
        <v>2</v>
      </c>
      <c r="AY59" s="24">
        <v>2</v>
      </c>
      <c r="AZ59" s="24">
        <v>2</v>
      </c>
      <c r="BA59" s="24">
        <v>1</v>
      </c>
      <c r="BB59" s="24">
        <v>2</v>
      </c>
      <c r="BC59" s="24">
        <v>1</v>
      </c>
      <c r="BD59" s="24">
        <v>1</v>
      </c>
      <c r="BE59" s="24" t="s">
        <v>184</v>
      </c>
      <c r="BF59" s="24" t="s">
        <v>184</v>
      </c>
      <c r="BG59" s="24" t="s">
        <v>183</v>
      </c>
      <c r="BH59" s="24" t="s">
        <v>183</v>
      </c>
      <c r="BI59" s="24" t="s">
        <v>183</v>
      </c>
      <c r="BJ59" s="24" t="s">
        <v>183</v>
      </c>
      <c r="BK59" s="24"/>
      <c r="BL59" s="24"/>
      <c r="BM59" s="57"/>
      <c r="BN59" s="2" t="str">
        <f t="shared" si="30"/>
        <v xml:space="preserve"> </v>
      </c>
      <c r="BO59" s="2" t="str">
        <f t="shared" si="30"/>
        <v xml:space="preserve"> </v>
      </c>
      <c r="BP59" s="2" t="str">
        <f t="shared" si="30"/>
        <v xml:space="preserve"> </v>
      </c>
      <c r="BQ59" s="2" t="str">
        <f t="shared" si="30"/>
        <v xml:space="preserve"> </v>
      </c>
      <c r="BR59" s="2" t="str">
        <f t="shared" si="30"/>
        <v xml:space="preserve"> </v>
      </c>
      <c r="BS59" s="2" t="str">
        <f t="shared" si="30"/>
        <v xml:space="preserve"> </v>
      </c>
      <c r="BT59" s="2" t="str">
        <f t="shared" si="30"/>
        <v xml:space="preserve"> </v>
      </c>
      <c r="BU59" s="2" t="str">
        <f t="shared" si="30"/>
        <v xml:space="preserve"> </v>
      </c>
      <c r="BV59" s="2" t="str">
        <f t="shared" si="30"/>
        <v xml:space="preserve"> </v>
      </c>
      <c r="BW59" s="2" t="str">
        <f t="shared" si="30"/>
        <v xml:space="preserve"> </v>
      </c>
      <c r="BX59" s="2" t="str">
        <f t="shared" si="30"/>
        <v xml:space="preserve"> </v>
      </c>
      <c r="BY59" s="2" t="str">
        <f t="shared" si="30"/>
        <v xml:space="preserve"> </v>
      </c>
      <c r="BZ59" s="2" t="str">
        <f t="shared" si="30"/>
        <v xml:space="preserve"> </v>
      </c>
      <c r="CA59" s="2" t="str">
        <f t="shared" si="30"/>
        <v xml:space="preserve"> </v>
      </c>
      <c r="CB59" s="2" t="str">
        <f t="shared" si="30"/>
        <v xml:space="preserve"> </v>
      </c>
      <c r="CC59" s="2" t="str">
        <f t="shared" si="30"/>
        <v xml:space="preserve"> </v>
      </c>
      <c r="CD59" s="2" t="str">
        <f t="shared" si="29"/>
        <v xml:space="preserve"> </v>
      </c>
      <c r="CE59" s="2" t="str">
        <f t="shared" si="29"/>
        <v xml:space="preserve"> </v>
      </c>
      <c r="CF59" s="2" t="str">
        <f t="shared" si="29"/>
        <v xml:space="preserve"> </v>
      </c>
      <c r="CG59" s="2" t="str">
        <f t="shared" si="29"/>
        <v xml:space="preserve"> </v>
      </c>
      <c r="CH59" s="2" t="str">
        <f t="shared" si="29"/>
        <v xml:space="preserve"> </v>
      </c>
      <c r="CI59" s="2" t="str">
        <f t="shared" si="29"/>
        <v>.</v>
      </c>
      <c r="CJ59" s="2" t="str">
        <f t="shared" si="28"/>
        <v xml:space="preserve"> </v>
      </c>
      <c r="CK59" s="2" t="str">
        <f t="shared" si="28"/>
        <v xml:space="preserve"> </v>
      </c>
      <c r="CL59" s="2" t="str">
        <f t="shared" ref="CL59:CR59" si="31">IF(AND((CL$6-$P59)&gt;=0,(CL$6-$P59)&lt;=($Q59-$P59)),"."," ")</f>
        <v xml:space="preserve"> </v>
      </c>
      <c r="CM59" s="2" t="str">
        <f t="shared" si="31"/>
        <v xml:space="preserve"> </v>
      </c>
      <c r="CN59" s="2" t="str">
        <f t="shared" si="31"/>
        <v xml:space="preserve"> </v>
      </c>
      <c r="CO59" s="2" t="str">
        <f t="shared" si="31"/>
        <v xml:space="preserve"> </v>
      </c>
      <c r="CP59" s="2" t="str">
        <f t="shared" si="31"/>
        <v xml:space="preserve"> </v>
      </c>
      <c r="CQ59" s="2" t="str">
        <f t="shared" si="31"/>
        <v xml:space="preserve"> </v>
      </c>
      <c r="CR59" s="2" t="str">
        <f t="shared" si="31"/>
        <v xml:space="preserve"> </v>
      </c>
    </row>
    <row r="60" spans="1:96">
      <c r="A60" s="21" t="str">
        <f>VLOOKUP(L60,Ubicacion!A:K,2,FALSE)</f>
        <v>LI3BR</v>
      </c>
      <c r="B60" s="21" t="str">
        <f>VLOOKUP(L60,Ubicacion!A:K,3,FALSE)</f>
        <v>LI3BC06</v>
      </c>
      <c r="C60" s="21" t="str">
        <f>VLOOKUP(L60,Ubicacion!A:K,4,FALSE)</f>
        <v>LIMA</v>
      </c>
      <c r="D60" s="21" t="str">
        <f>VLOOKUP(L60,Ubicacion!A:K,5,FALSE)</f>
        <v>SURCO</v>
      </c>
      <c r="E60" s="21" t="str">
        <f>VLOOKUP(L60,Ubicacion!A:K,6,FALSE)</f>
        <v xml:space="preserve">Plaza </v>
      </c>
      <c r="F60" s="21" t="str">
        <f>VLOOKUP(L60,Ubicacion!A:K,7,FALSE)</f>
        <v>09:00 - 18:00</v>
      </c>
      <c r="G60" s="21" t="str">
        <f>VLOOKUP(L60,Ubicacion!A:K,8,FALSE)</f>
        <v>SUNDAY</v>
      </c>
      <c r="H60" s="21">
        <f>VLOOKUP(L60,Ubicacion!A:K,9,FALSE)</f>
        <v>2</v>
      </c>
      <c r="I60" s="21">
        <f>VLOOKUP(L60,Ubicacion!A:K,10,FALSE)</f>
        <v>-12.1432353226497</v>
      </c>
      <c r="J60" s="21">
        <f>VLOOKUP(L60,Ubicacion!A:K,11,FALSE)</f>
        <v>-76.985056288996603</v>
      </c>
      <c r="K60" s="21" t="str">
        <f t="shared" si="3"/>
        <v>46165Grupo 3</v>
      </c>
      <c r="L60" s="21" t="s">
        <v>112</v>
      </c>
      <c r="M60" s="21">
        <v>1</v>
      </c>
      <c r="N60" s="24" t="s">
        <v>186</v>
      </c>
      <c r="O60" s="24" t="s">
        <v>192</v>
      </c>
      <c r="P60" s="23">
        <v>46165</v>
      </c>
      <c r="Q60" s="23">
        <f t="shared" si="14"/>
        <v>46165</v>
      </c>
      <c r="R60" s="24" t="str">
        <f ca="1">IF($A$1&lt;Q60,"On-time",IF(AND(Q60&lt;=$A$1,BJ60="OK"),"OK","NO OK"))</f>
        <v>On-time</v>
      </c>
      <c r="S60" s="24" t="str">
        <f t="shared" si="4"/>
        <v>SATURDAY</v>
      </c>
      <c r="T60" s="24">
        <f>VLOOKUP(L60,Ubicacion!A:AE,13,FALSE)</f>
        <v>15</v>
      </c>
      <c r="U60" s="24">
        <f>VLOOKUP(L60,Ubicacion!A:AE,14,FALSE)</f>
        <v>18</v>
      </c>
      <c r="V60" s="24">
        <f>VLOOKUP(L60,Ubicacion!A:AE,15,FALSE)</f>
        <v>2</v>
      </c>
      <c r="W60" s="24">
        <f>VLOOKUP(L60,Ubicacion!A:AE,16,FALSE)</f>
        <v>4</v>
      </c>
      <c r="X60" s="24">
        <f>VLOOKUP(L60,Ubicacion!A:AE,17,FALSE)</f>
        <v>4</v>
      </c>
      <c r="Y60" s="24">
        <f>VLOOKUP(L60,Ubicacion!A:AE,18,FALSE)</f>
        <v>0</v>
      </c>
      <c r="Z60" s="24">
        <f>VLOOKUP(L60,Ubicacion!A:AE,19,FALSE)</f>
        <v>0</v>
      </c>
      <c r="AA60" s="24">
        <f>VLOOKUP(L60,Ubicacion!A:AE,20,FALSE)</f>
        <v>0</v>
      </c>
      <c r="AB60" s="24">
        <f>VLOOKUP(L60,Ubicacion!A:AE,21,FALSE)</f>
        <v>0</v>
      </c>
      <c r="AC60" s="24">
        <f>VLOOKUP(L60,Ubicacion!A:AE,22,FALSE)</f>
        <v>4</v>
      </c>
      <c r="AD60" s="24">
        <f>VLOOKUP(L60,Ubicacion!A:AE,23,FALSE)</f>
        <v>30</v>
      </c>
      <c r="AE60" s="24">
        <f>VLOOKUP(L60,Ubicacion!A:AE,24,FALSE)</f>
        <v>0</v>
      </c>
      <c r="AF60" s="24">
        <f>VLOOKUP(L60,Ubicacion!A:AE,25,FALSE)</f>
        <v>0</v>
      </c>
      <c r="AG60" s="24">
        <f>VLOOKUP(L60,Ubicacion!A:AE,26,FALSE)</f>
        <v>34</v>
      </c>
      <c r="AH60" s="24">
        <f>VLOOKUP(L60,Ubicacion!A:AE,27,FALSE)</f>
        <v>2</v>
      </c>
      <c r="AI60" s="24">
        <f>VLOOKUP(L60,Ubicacion!A:AE,28,FALSE)</f>
        <v>5</v>
      </c>
      <c r="AJ60" s="24">
        <f>VLOOKUP(L60,Ubicacion!A:AE,29,FALSE)</f>
        <v>3</v>
      </c>
      <c r="AK60" s="24">
        <f>VLOOKUP(L60,Ubicacion!A:AE,30,FALSE)</f>
        <v>1</v>
      </c>
      <c r="AL60" s="24">
        <f>VLOOKUP(L60,Ubicacion!A:AE,31,FALSE)</f>
        <v>1</v>
      </c>
      <c r="AM60" s="25">
        <f t="shared" si="15"/>
        <v>0.66666666666666663</v>
      </c>
      <c r="AN60" s="25">
        <f t="shared" si="16"/>
        <v>5.5555555555555552E-2</v>
      </c>
      <c r="AO60" s="25">
        <f t="shared" si="17"/>
        <v>1</v>
      </c>
      <c r="AP60" s="25">
        <f t="shared" si="18"/>
        <v>0.5</v>
      </c>
      <c r="AQ60" s="25">
        <f t="shared" si="19"/>
        <v>0.5</v>
      </c>
      <c r="AR60" s="25" t="str">
        <f t="shared" si="20"/>
        <v>100%</v>
      </c>
      <c r="AS60" s="25" t="str">
        <f t="shared" si="21"/>
        <v>100%</v>
      </c>
      <c r="AT60" s="25" t="str">
        <f t="shared" si="22"/>
        <v>100%</v>
      </c>
      <c r="AU60" s="25" t="str">
        <f t="shared" si="23"/>
        <v>100%</v>
      </c>
      <c r="AV60" s="24">
        <v>10</v>
      </c>
      <c r="AW60" s="24">
        <v>1</v>
      </c>
      <c r="AX60" s="24">
        <v>2</v>
      </c>
      <c r="AY60" s="24">
        <v>2</v>
      </c>
      <c r="AZ60" s="24">
        <v>2</v>
      </c>
      <c r="BA60" s="24">
        <v>1</v>
      </c>
      <c r="BB60" s="24">
        <v>2</v>
      </c>
      <c r="BC60" s="24">
        <v>1</v>
      </c>
      <c r="BD60" s="24">
        <v>1</v>
      </c>
      <c r="BE60" s="24" t="s">
        <v>184</v>
      </c>
      <c r="BF60" s="24" t="s">
        <v>184</v>
      </c>
      <c r="BG60" s="24" t="s">
        <v>183</v>
      </c>
      <c r="BH60" s="24" t="s">
        <v>183</v>
      </c>
      <c r="BI60" s="24" t="s">
        <v>183</v>
      </c>
      <c r="BJ60" s="24" t="s">
        <v>183</v>
      </c>
      <c r="BK60" s="24"/>
      <c r="BL60" s="24"/>
      <c r="BM60" s="57"/>
      <c r="BN60" s="2" t="str">
        <f t="shared" si="30"/>
        <v xml:space="preserve"> </v>
      </c>
      <c r="BO60" s="2" t="str">
        <f t="shared" si="30"/>
        <v xml:space="preserve"> </v>
      </c>
      <c r="BP60" s="2" t="str">
        <f t="shared" si="30"/>
        <v xml:space="preserve"> </v>
      </c>
      <c r="BQ60" s="2" t="str">
        <f t="shared" si="30"/>
        <v xml:space="preserve"> </v>
      </c>
      <c r="BR60" s="2" t="str">
        <f t="shared" si="30"/>
        <v xml:space="preserve"> </v>
      </c>
      <c r="BS60" s="2" t="str">
        <f t="shared" si="30"/>
        <v xml:space="preserve"> </v>
      </c>
      <c r="BT60" s="2" t="str">
        <f t="shared" si="30"/>
        <v xml:space="preserve"> </v>
      </c>
      <c r="BU60" s="2" t="str">
        <f t="shared" si="30"/>
        <v xml:space="preserve"> </v>
      </c>
      <c r="BV60" s="2" t="str">
        <f t="shared" si="30"/>
        <v xml:space="preserve"> </v>
      </c>
      <c r="BW60" s="2" t="str">
        <f t="shared" si="30"/>
        <v xml:space="preserve"> </v>
      </c>
      <c r="BX60" s="2" t="str">
        <f t="shared" si="30"/>
        <v xml:space="preserve"> </v>
      </c>
      <c r="BY60" s="2" t="str">
        <f t="shared" si="30"/>
        <v xml:space="preserve"> </v>
      </c>
      <c r="BZ60" s="2" t="str">
        <f t="shared" si="30"/>
        <v xml:space="preserve"> </v>
      </c>
      <c r="CA60" s="2" t="str">
        <f t="shared" si="30"/>
        <v xml:space="preserve"> </v>
      </c>
      <c r="CB60" s="2" t="str">
        <f t="shared" si="30"/>
        <v xml:space="preserve"> </v>
      </c>
      <c r="CC60" s="2" t="str">
        <f t="shared" si="30"/>
        <v xml:space="preserve"> </v>
      </c>
      <c r="CD60" s="2" t="str">
        <f t="shared" si="29"/>
        <v xml:space="preserve"> </v>
      </c>
      <c r="CE60" s="2" t="str">
        <f t="shared" si="29"/>
        <v xml:space="preserve"> </v>
      </c>
      <c r="CF60" s="2" t="str">
        <f t="shared" si="29"/>
        <v xml:space="preserve"> </v>
      </c>
      <c r="CG60" s="2" t="str">
        <f t="shared" si="29"/>
        <v xml:space="preserve"> </v>
      </c>
      <c r="CH60" s="2" t="str">
        <f t="shared" si="29"/>
        <v xml:space="preserve"> </v>
      </c>
      <c r="CI60" s="2" t="str">
        <f t="shared" si="29"/>
        <v xml:space="preserve"> </v>
      </c>
      <c r="CJ60" s="2" t="str">
        <f t="shared" ref="CJ60:CR71" si="32">IF(AND((CJ$6-$P60)&gt;=0,(CJ$6-$P60)&lt;=($Q60-$P60)),"."," ")</f>
        <v>.</v>
      </c>
      <c r="CK60" s="2" t="str">
        <f t="shared" si="32"/>
        <v xml:space="preserve"> </v>
      </c>
      <c r="CL60" s="2" t="str">
        <f t="shared" si="32"/>
        <v xml:space="preserve"> </v>
      </c>
      <c r="CM60" s="2" t="str">
        <f t="shared" si="32"/>
        <v xml:space="preserve"> </v>
      </c>
      <c r="CN60" s="2" t="str">
        <f t="shared" si="32"/>
        <v xml:space="preserve"> </v>
      </c>
      <c r="CO60" s="2" t="str">
        <f t="shared" si="32"/>
        <v xml:space="preserve"> </v>
      </c>
      <c r="CP60" s="2" t="str">
        <f t="shared" si="32"/>
        <v xml:space="preserve"> </v>
      </c>
      <c r="CQ60" s="2" t="str">
        <f t="shared" si="32"/>
        <v xml:space="preserve"> </v>
      </c>
      <c r="CR60" s="2" t="str">
        <f t="shared" si="32"/>
        <v xml:space="preserve"> </v>
      </c>
    </row>
    <row r="61" spans="1:96">
      <c r="A61" s="21" t="str">
        <f>VLOOKUP(L61,Ubicacion!A:K,2,FALSE)</f>
        <v>LI3BR</v>
      </c>
      <c r="B61" s="21" t="str">
        <f>VLOOKUP(L61,Ubicacion!A:K,3,FALSE)</f>
        <v>LI3BC03</v>
      </c>
      <c r="C61" s="21" t="str">
        <f>VLOOKUP(L61,Ubicacion!A:K,4,FALSE)</f>
        <v>LIMA</v>
      </c>
      <c r="D61" s="21" t="str">
        <f>VLOOKUP(L61,Ubicacion!A:K,5,FALSE)</f>
        <v>CHORRILLOS</v>
      </c>
      <c r="E61" s="21" t="str">
        <f>VLOOKUP(L61,Ubicacion!A:K,6,FALSE)</f>
        <v xml:space="preserve">Plaza </v>
      </c>
      <c r="F61" s="21" t="str">
        <f>VLOOKUP(L61,Ubicacion!A:K,7,FALSE)</f>
        <v>09:00 - 17:00</v>
      </c>
      <c r="G61" s="21" t="str">
        <f>VLOOKUP(L61,Ubicacion!A:K,8,FALSE)</f>
        <v>MONDAY</v>
      </c>
      <c r="H61" s="21">
        <f>VLOOKUP(L61,Ubicacion!A:K,9,FALSE)</f>
        <v>2</v>
      </c>
      <c r="I61" s="21">
        <f>VLOOKUP(L61,Ubicacion!A:K,10,FALSE)</f>
        <v>-12.1893666241277</v>
      </c>
      <c r="J61" s="21">
        <f>VLOOKUP(L61,Ubicacion!A:K,11,FALSE)</f>
        <v>-77.014350112041598</v>
      </c>
      <c r="K61" s="21" t="str">
        <f t="shared" si="3"/>
        <v>46166Grupo 3</v>
      </c>
      <c r="L61" s="21" t="s">
        <v>113</v>
      </c>
      <c r="M61" s="21">
        <v>1</v>
      </c>
      <c r="N61" s="24" t="s">
        <v>186</v>
      </c>
      <c r="O61" s="24" t="s">
        <v>192</v>
      </c>
      <c r="P61" s="23">
        <v>46166</v>
      </c>
      <c r="Q61" s="23">
        <f t="shared" si="14"/>
        <v>46166</v>
      </c>
      <c r="R61" s="24" t="str">
        <f ca="1">IF($A$1&lt;Q61,"On-time",IF(AND(Q61&lt;=$A$1,BJ61="OK"),"OK","NO OK"))</f>
        <v>On-time</v>
      </c>
      <c r="S61" s="24" t="str">
        <f t="shared" si="4"/>
        <v>SUNDAY</v>
      </c>
      <c r="T61" s="24">
        <f>VLOOKUP(L61,Ubicacion!A:AE,13,FALSE)</f>
        <v>15</v>
      </c>
      <c r="U61" s="24">
        <f>VLOOKUP(L61,Ubicacion!A:AE,14,FALSE)</f>
        <v>18</v>
      </c>
      <c r="V61" s="24">
        <f>VLOOKUP(L61,Ubicacion!A:AE,15,FALSE)</f>
        <v>2</v>
      </c>
      <c r="W61" s="24">
        <f>VLOOKUP(L61,Ubicacion!A:AE,16,FALSE)</f>
        <v>4</v>
      </c>
      <c r="X61" s="24">
        <f>VLOOKUP(L61,Ubicacion!A:AE,17,FALSE)</f>
        <v>4</v>
      </c>
      <c r="Y61" s="24">
        <f>VLOOKUP(L61,Ubicacion!A:AE,18,FALSE)</f>
        <v>0</v>
      </c>
      <c r="Z61" s="24">
        <f>VLOOKUP(L61,Ubicacion!A:AE,19,FALSE)</f>
        <v>0</v>
      </c>
      <c r="AA61" s="24">
        <f>VLOOKUP(L61,Ubicacion!A:AE,20,FALSE)</f>
        <v>0</v>
      </c>
      <c r="AB61" s="24">
        <f>VLOOKUP(L61,Ubicacion!A:AE,21,FALSE)</f>
        <v>0</v>
      </c>
      <c r="AC61" s="24">
        <f>VLOOKUP(L61,Ubicacion!A:AE,22,FALSE)</f>
        <v>4</v>
      </c>
      <c r="AD61" s="24">
        <f>VLOOKUP(L61,Ubicacion!A:AE,23,FALSE)</f>
        <v>30</v>
      </c>
      <c r="AE61" s="24">
        <f>VLOOKUP(L61,Ubicacion!A:AE,24,FALSE)</f>
        <v>0</v>
      </c>
      <c r="AF61" s="24">
        <f>VLOOKUP(L61,Ubicacion!A:AE,25,FALSE)</f>
        <v>0</v>
      </c>
      <c r="AG61" s="24">
        <f>VLOOKUP(L61,Ubicacion!A:AE,26,FALSE)</f>
        <v>34</v>
      </c>
      <c r="AH61" s="24">
        <f>VLOOKUP(L61,Ubicacion!A:AE,27,FALSE)</f>
        <v>2</v>
      </c>
      <c r="AI61" s="24">
        <f>VLOOKUP(L61,Ubicacion!A:AE,28,FALSE)</f>
        <v>5</v>
      </c>
      <c r="AJ61" s="24">
        <f>VLOOKUP(L61,Ubicacion!A:AE,29,FALSE)</f>
        <v>3</v>
      </c>
      <c r="AK61" s="24">
        <f>VLOOKUP(L61,Ubicacion!A:AE,30,FALSE)</f>
        <v>1</v>
      </c>
      <c r="AL61" s="24">
        <f>VLOOKUP(L61,Ubicacion!A:AE,31,FALSE)</f>
        <v>1</v>
      </c>
      <c r="AM61" s="25">
        <f t="shared" si="15"/>
        <v>0.66666666666666663</v>
      </c>
      <c r="AN61" s="25">
        <f t="shared" si="16"/>
        <v>5.5555555555555552E-2</v>
      </c>
      <c r="AO61" s="25">
        <f t="shared" si="17"/>
        <v>1</v>
      </c>
      <c r="AP61" s="25">
        <f t="shared" si="18"/>
        <v>0.5</v>
      </c>
      <c r="AQ61" s="25">
        <f t="shared" si="19"/>
        <v>0.5</v>
      </c>
      <c r="AR61" s="25" t="str">
        <f t="shared" si="20"/>
        <v>100%</v>
      </c>
      <c r="AS61" s="25" t="str">
        <f t="shared" si="21"/>
        <v>100%</v>
      </c>
      <c r="AT61" s="25" t="str">
        <f t="shared" si="22"/>
        <v>100%</v>
      </c>
      <c r="AU61" s="25" t="str">
        <f t="shared" si="23"/>
        <v>100%</v>
      </c>
      <c r="AV61" s="24">
        <v>10</v>
      </c>
      <c r="AW61" s="24">
        <v>1</v>
      </c>
      <c r="AX61" s="24">
        <v>2</v>
      </c>
      <c r="AY61" s="24">
        <v>2</v>
      </c>
      <c r="AZ61" s="24">
        <v>2</v>
      </c>
      <c r="BA61" s="24">
        <v>1</v>
      </c>
      <c r="BB61" s="24">
        <v>2</v>
      </c>
      <c r="BC61" s="24">
        <v>1</v>
      </c>
      <c r="BD61" s="24">
        <v>1</v>
      </c>
      <c r="BE61" s="24" t="s">
        <v>184</v>
      </c>
      <c r="BF61" s="24" t="s">
        <v>184</v>
      </c>
      <c r="BG61" s="24" t="s">
        <v>183</v>
      </c>
      <c r="BH61" s="24" t="s">
        <v>183</v>
      </c>
      <c r="BI61" s="24" t="s">
        <v>183</v>
      </c>
      <c r="BJ61" s="24" t="s">
        <v>183</v>
      </c>
      <c r="BK61" s="24"/>
      <c r="BL61" s="24"/>
      <c r="BM61" s="57"/>
      <c r="BN61" s="2" t="str">
        <f t="shared" si="30"/>
        <v xml:space="preserve"> </v>
      </c>
      <c r="BO61" s="2" t="str">
        <f t="shared" si="30"/>
        <v xml:space="preserve"> </v>
      </c>
      <c r="BP61" s="2" t="str">
        <f t="shared" si="30"/>
        <v xml:space="preserve"> </v>
      </c>
      <c r="BQ61" s="2" t="str">
        <f t="shared" si="30"/>
        <v xml:space="preserve"> </v>
      </c>
      <c r="BR61" s="2" t="str">
        <f t="shared" si="30"/>
        <v xml:space="preserve"> </v>
      </c>
      <c r="BS61" s="2" t="str">
        <f t="shared" si="30"/>
        <v xml:space="preserve"> </v>
      </c>
      <c r="BT61" s="2" t="str">
        <f t="shared" si="30"/>
        <v xml:space="preserve"> </v>
      </c>
      <c r="BU61" s="2" t="str">
        <f t="shared" si="30"/>
        <v xml:space="preserve"> </v>
      </c>
      <c r="BV61" s="2" t="str">
        <f t="shared" si="30"/>
        <v xml:space="preserve"> </v>
      </c>
      <c r="BW61" s="2" t="str">
        <f t="shared" si="30"/>
        <v xml:space="preserve"> </v>
      </c>
      <c r="BX61" s="2" t="str">
        <f t="shared" si="30"/>
        <v xml:space="preserve"> </v>
      </c>
      <c r="BY61" s="2" t="str">
        <f t="shared" si="30"/>
        <v xml:space="preserve"> </v>
      </c>
      <c r="BZ61" s="2" t="str">
        <f t="shared" si="30"/>
        <v xml:space="preserve"> </v>
      </c>
      <c r="CA61" s="2" t="str">
        <f t="shared" si="30"/>
        <v xml:space="preserve"> </v>
      </c>
      <c r="CB61" s="2" t="str">
        <f t="shared" si="30"/>
        <v xml:space="preserve"> </v>
      </c>
      <c r="CC61" s="2" t="str">
        <f t="shared" si="30"/>
        <v xml:space="preserve"> </v>
      </c>
      <c r="CD61" s="2" t="str">
        <f t="shared" si="29"/>
        <v xml:space="preserve"> </v>
      </c>
      <c r="CE61" s="2" t="str">
        <f t="shared" si="29"/>
        <v xml:space="preserve"> </v>
      </c>
      <c r="CF61" s="2" t="str">
        <f t="shared" si="29"/>
        <v xml:space="preserve"> </v>
      </c>
      <c r="CG61" s="2" t="str">
        <f t="shared" si="29"/>
        <v xml:space="preserve"> </v>
      </c>
      <c r="CH61" s="2" t="str">
        <f t="shared" si="29"/>
        <v xml:space="preserve"> </v>
      </c>
      <c r="CI61" s="2" t="str">
        <f t="shared" si="29"/>
        <v xml:space="preserve"> </v>
      </c>
      <c r="CJ61" s="2" t="str">
        <f t="shared" si="32"/>
        <v xml:space="preserve"> </v>
      </c>
      <c r="CK61" s="2" t="str">
        <f t="shared" si="32"/>
        <v>.</v>
      </c>
      <c r="CL61" s="2" t="str">
        <f t="shared" si="32"/>
        <v xml:space="preserve"> </v>
      </c>
      <c r="CM61" s="2" t="str">
        <f t="shared" si="32"/>
        <v xml:space="preserve"> </v>
      </c>
      <c r="CN61" s="2" t="str">
        <f t="shared" si="32"/>
        <v xml:space="preserve"> </v>
      </c>
      <c r="CO61" s="2" t="str">
        <f t="shared" si="32"/>
        <v xml:space="preserve"> </v>
      </c>
      <c r="CP61" s="2" t="str">
        <f t="shared" si="32"/>
        <v xml:space="preserve"> </v>
      </c>
      <c r="CQ61" s="2" t="str">
        <f t="shared" si="32"/>
        <v xml:space="preserve"> </v>
      </c>
      <c r="CR61" s="2" t="str">
        <f t="shared" si="32"/>
        <v xml:space="preserve"> </v>
      </c>
    </row>
    <row r="62" spans="1:96">
      <c r="A62" s="21" t="str">
        <f>VLOOKUP(L62,Ubicacion!A:K,2,FALSE)</f>
        <v>LI3BR</v>
      </c>
      <c r="B62" s="21" t="str">
        <f>VLOOKUP(L62,Ubicacion!A:K,3,FALSE)</f>
        <v>LI3BC03</v>
      </c>
      <c r="C62" s="21" t="str">
        <f>VLOOKUP(L62,Ubicacion!A:K,4,FALSE)</f>
        <v>LIMA</v>
      </c>
      <c r="D62" s="21" t="str">
        <f>VLOOKUP(L62,Ubicacion!A:K,5,FALSE)</f>
        <v>CHORRILLOS</v>
      </c>
      <c r="E62" s="21" t="str">
        <f>VLOOKUP(L62,Ubicacion!A:K,6,FALSE)</f>
        <v xml:space="preserve">Plaza </v>
      </c>
      <c r="F62" s="21" t="str">
        <f>VLOOKUP(L62,Ubicacion!A:K,7,FALSE)</f>
        <v>09:00 - 17:00</v>
      </c>
      <c r="G62" s="21" t="str">
        <f>VLOOKUP(L62,Ubicacion!A:K,8,FALSE)</f>
        <v>TUESDAY</v>
      </c>
      <c r="H62" s="21">
        <f>VLOOKUP(L62,Ubicacion!A:K,9,FALSE)</f>
        <v>2</v>
      </c>
      <c r="I62" s="21">
        <f>VLOOKUP(L62,Ubicacion!A:K,10,FALSE)</f>
        <v>-12.1765523799787</v>
      </c>
      <c r="J62" s="21">
        <f>VLOOKUP(L62,Ubicacion!A:K,11,FALSE)</f>
        <v>-77.006746532375303</v>
      </c>
      <c r="K62" s="21" t="str">
        <f t="shared" si="3"/>
        <v>46167Grupo 3</v>
      </c>
      <c r="L62" s="21" t="s">
        <v>114</v>
      </c>
      <c r="M62" s="21">
        <v>1</v>
      </c>
      <c r="N62" s="24" t="s">
        <v>186</v>
      </c>
      <c r="O62" s="24" t="s">
        <v>192</v>
      </c>
      <c r="P62" s="23">
        <v>46167</v>
      </c>
      <c r="Q62" s="23">
        <f t="shared" si="14"/>
        <v>46167</v>
      </c>
      <c r="R62" s="24" t="str">
        <f ca="1">IF($A$1&lt;Q62,"On-time",IF(AND(Q62&lt;=$A$1,BJ62="OK"),"OK","NO OK"))</f>
        <v>On-time</v>
      </c>
      <c r="S62" s="24" t="str">
        <f t="shared" si="4"/>
        <v>MONDAY</v>
      </c>
      <c r="T62" s="24">
        <f>VLOOKUP(L62,Ubicacion!A:AE,13,FALSE)</f>
        <v>15</v>
      </c>
      <c r="U62" s="24">
        <f>VLOOKUP(L62,Ubicacion!A:AE,14,FALSE)</f>
        <v>18</v>
      </c>
      <c r="V62" s="24">
        <f>VLOOKUP(L62,Ubicacion!A:AE,15,FALSE)</f>
        <v>2</v>
      </c>
      <c r="W62" s="24">
        <f>VLOOKUP(L62,Ubicacion!A:AE,16,FALSE)</f>
        <v>4</v>
      </c>
      <c r="X62" s="24">
        <f>VLOOKUP(L62,Ubicacion!A:AE,17,FALSE)</f>
        <v>4</v>
      </c>
      <c r="Y62" s="24">
        <f>VLOOKUP(L62,Ubicacion!A:AE,18,FALSE)</f>
        <v>0</v>
      </c>
      <c r="Z62" s="24">
        <f>VLOOKUP(L62,Ubicacion!A:AE,19,FALSE)</f>
        <v>0</v>
      </c>
      <c r="AA62" s="24">
        <f>VLOOKUP(L62,Ubicacion!A:AE,20,FALSE)</f>
        <v>0</v>
      </c>
      <c r="AB62" s="24">
        <f>VLOOKUP(L62,Ubicacion!A:AE,21,FALSE)</f>
        <v>0</v>
      </c>
      <c r="AC62" s="24">
        <f>VLOOKUP(L62,Ubicacion!A:AE,22,FALSE)</f>
        <v>4</v>
      </c>
      <c r="AD62" s="24">
        <f>VLOOKUP(L62,Ubicacion!A:AE,23,FALSE)</f>
        <v>30</v>
      </c>
      <c r="AE62" s="24">
        <f>VLOOKUP(L62,Ubicacion!A:AE,24,FALSE)</f>
        <v>0</v>
      </c>
      <c r="AF62" s="24">
        <f>VLOOKUP(L62,Ubicacion!A:AE,25,FALSE)</f>
        <v>0</v>
      </c>
      <c r="AG62" s="24">
        <f>VLOOKUP(L62,Ubicacion!A:AE,26,FALSE)</f>
        <v>34</v>
      </c>
      <c r="AH62" s="24">
        <f>VLOOKUP(L62,Ubicacion!A:AE,27,FALSE)</f>
        <v>2</v>
      </c>
      <c r="AI62" s="24">
        <f>VLOOKUP(L62,Ubicacion!A:AE,28,FALSE)</f>
        <v>5</v>
      </c>
      <c r="AJ62" s="24">
        <f>VLOOKUP(L62,Ubicacion!A:AE,29,FALSE)</f>
        <v>3</v>
      </c>
      <c r="AK62" s="24">
        <f>VLOOKUP(L62,Ubicacion!A:AE,30,FALSE)</f>
        <v>1</v>
      </c>
      <c r="AL62" s="24">
        <f>VLOOKUP(L62,Ubicacion!A:AE,31,FALSE)</f>
        <v>1</v>
      </c>
      <c r="AM62" s="25">
        <f t="shared" si="15"/>
        <v>0.66666666666666663</v>
      </c>
      <c r="AN62" s="25">
        <f t="shared" si="16"/>
        <v>5.5555555555555552E-2</v>
      </c>
      <c r="AO62" s="25">
        <f t="shared" si="17"/>
        <v>1</v>
      </c>
      <c r="AP62" s="25">
        <f t="shared" si="18"/>
        <v>0.5</v>
      </c>
      <c r="AQ62" s="25">
        <f t="shared" si="19"/>
        <v>0.5</v>
      </c>
      <c r="AR62" s="25" t="str">
        <f t="shared" si="20"/>
        <v>100%</v>
      </c>
      <c r="AS62" s="25" t="str">
        <f t="shared" si="21"/>
        <v>100%</v>
      </c>
      <c r="AT62" s="25" t="str">
        <f t="shared" si="22"/>
        <v>100%</v>
      </c>
      <c r="AU62" s="25" t="str">
        <f t="shared" si="23"/>
        <v>100%</v>
      </c>
      <c r="AV62" s="24">
        <v>10</v>
      </c>
      <c r="AW62" s="24">
        <v>1</v>
      </c>
      <c r="AX62" s="24">
        <v>2</v>
      </c>
      <c r="AY62" s="24">
        <v>2</v>
      </c>
      <c r="AZ62" s="24">
        <v>2</v>
      </c>
      <c r="BA62" s="24">
        <v>1</v>
      </c>
      <c r="BB62" s="24">
        <v>2</v>
      </c>
      <c r="BC62" s="24">
        <v>1</v>
      </c>
      <c r="BD62" s="24">
        <v>1</v>
      </c>
      <c r="BE62" s="24" t="s">
        <v>184</v>
      </c>
      <c r="BF62" s="24" t="s">
        <v>184</v>
      </c>
      <c r="BG62" s="24" t="s">
        <v>183</v>
      </c>
      <c r="BH62" s="24" t="s">
        <v>183</v>
      </c>
      <c r="BI62" s="24" t="s">
        <v>183</v>
      </c>
      <c r="BJ62" s="24" t="s">
        <v>183</v>
      </c>
      <c r="BK62" s="24"/>
      <c r="BL62" s="24"/>
      <c r="BM62" s="57"/>
      <c r="BN62" s="2" t="str">
        <f t="shared" si="30"/>
        <v xml:space="preserve"> </v>
      </c>
      <c r="BO62" s="2" t="str">
        <f t="shared" si="30"/>
        <v xml:space="preserve"> </v>
      </c>
      <c r="BP62" s="2" t="str">
        <f t="shared" si="30"/>
        <v xml:space="preserve"> </v>
      </c>
      <c r="BQ62" s="2" t="str">
        <f t="shared" si="30"/>
        <v xml:space="preserve"> </v>
      </c>
      <c r="BR62" s="2" t="str">
        <f t="shared" si="30"/>
        <v xml:space="preserve"> </v>
      </c>
      <c r="BS62" s="2" t="str">
        <f t="shared" si="30"/>
        <v xml:space="preserve"> </v>
      </c>
      <c r="BT62" s="2" t="str">
        <f t="shared" si="30"/>
        <v xml:space="preserve"> </v>
      </c>
      <c r="BU62" s="2" t="str">
        <f t="shared" si="30"/>
        <v xml:space="preserve"> </v>
      </c>
      <c r="BV62" s="2" t="str">
        <f t="shared" si="30"/>
        <v xml:space="preserve"> </v>
      </c>
      <c r="BW62" s="2" t="str">
        <f t="shared" si="30"/>
        <v xml:space="preserve"> </v>
      </c>
      <c r="BX62" s="2" t="str">
        <f t="shared" si="30"/>
        <v xml:space="preserve"> </v>
      </c>
      <c r="BY62" s="2" t="str">
        <f t="shared" si="30"/>
        <v xml:space="preserve"> </v>
      </c>
      <c r="BZ62" s="2" t="str">
        <f t="shared" si="30"/>
        <v xml:space="preserve"> </v>
      </c>
      <c r="CA62" s="2" t="str">
        <f t="shared" si="30"/>
        <v xml:space="preserve"> </v>
      </c>
      <c r="CB62" s="2" t="str">
        <f t="shared" si="30"/>
        <v xml:space="preserve"> </v>
      </c>
      <c r="CC62" s="2" t="str">
        <f t="shared" si="30"/>
        <v xml:space="preserve"> </v>
      </c>
      <c r="CD62" s="2" t="str">
        <f t="shared" si="29"/>
        <v xml:space="preserve"> </v>
      </c>
      <c r="CE62" s="2" t="str">
        <f t="shared" si="29"/>
        <v xml:space="preserve"> </v>
      </c>
      <c r="CF62" s="2" t="str">
        <f t="shared" si="29"/>
        <v xml:space="preserve"> </v>
      </c>
      <c r="CG62" s="2" t="str">
        <f t="shared" si="29"/>
        <v xml:space="preserve"> </v>
      </c>
      <c r="CH62" s="2" t="str">
        <f t="shared" si="29"/>
        <v xml:space="preserve"> </v>
      </c>
      <c r="CI62" s="2" t="str">
        <f t="shared" si="29"/>
        <v xml:space="preserve"> </v>
      </c>
      <c r="CJ62" s="2" t="str">
        <f t="shared" si="32"/>
        <v xml:space="preserve"> </v>
      </c>
      <c r="CK62" s="2" t="str">
        <f t="shared" si="32"/>
        <v xml:space="preserve"> </v>
      </c>
      <c r="CL62" s="2" t="str">
        <f t="shared" si="32"/>
        <v>.</v>
      </c>
      <c r="CM62" s="2" t="str">
        <f t="shared" si="32"/>
        <v xml:space="preserve"> </v>
      </c>
      <c r="CN62" s="2" t="str">
        <f t="shared" si="32"/>
        <v xml:space="preserve"> </v>
      </c>
      <c r="CO62" s="2" t="str">
        <f t="shared" si="32"/>
        <v xml:space="preserve"> </v>
      </c>
      <c r="CP62" s="2" t="str">
        <f t="shared" si="32"/>
        <v xml:space="preserve"> </v>
      </c>
      <c r="CQ62" s="2" t="str">
        <f t="shared" si="32"/>
        <v xml:space="preserve"> </v>
      </c>
      <c r="CR62" s="2" t="str">
        <f t="shared" si="32"/>
        <v xml:space="preserve"> </v>
      </c>
    </row>
    <row r="63" spans="1:96">
      <c r="A63" s="21" t="str">
        <f>VLOOKUP(L63,Ubicacion!A:K,2,FALSE)</f>
        <v>LI3BR</v>
      </c>
      <c r="B63" s="21" t="str">
        <f>VLOOKUP(L63,Ubicacion!A:K,3,FALSE)</f>
        <v>LI3BC03</v>
      </c>
      <c r="C63" s="21" t="str">
        <f>VLOOKUP(L63,Ubicacion!A:K,4,FALSE)</f>
        <v>LIMA</v>
      </c>
      <c r="D63" s="21" t="str">
        <f>VLOOKUP(L63,Ubicacion!A:K,5,FALSE)</f>
        <v>CHORRILLOS</v>
      </c>
      <c r="E63" s="21" t="str">
        <f>VLOOKUP(L63,Ubicacion!A:K,6,FALSE)</f>
        <v xml:space="preserve">Plaza </v>
      </c>
      <c r="F63" s="21" t="str">
        <f>VLOOKUP(L63,Ubicacion!A:K,7,FALSE)</f>
        <v>09:00 - 17:00</v>
      </c>
      <c r="G63" s="21" t="str">
        <f>VLOOKUP(L63,Ubicacion!A:K,8,FALSE)</f>
        <v>WEDNESDAY</v>
      </c>
      <c r="H63" s="21">
        <f>VLOOKUP(L63,Ubicacion!A:K,9,FALSE)</f>
        <v>2</v>
      </c>
      <c r="I63" s="21">
        <f>VLOOKUP(L63,Ubicacion!A:K,10,FALSE)</f>
        <v>-12.1723275323801</v>
      </c>
      <c r="J63" s="21">
        <f>VLOOKUP(L63,Ubicacion!A:K,11,FALSE)</f>
        <v>-77.021250496886694</v>
      </c>
      <c r="K63" s="21" t="str">
        <f t="shared" si="3"/>
        <v>46168Grupo 4</v>
      </c>
      <c r="L63" s="21" t="s">
        <v>115</v>
      </c>
      <c r="M63" s="21">
        <v>1</v>
      </c>
      <c r="N63" s="24" t="s">
        <v>186</v>
      </c>
      <c r="O63" s="24" t="s">
        <v>193</v>
      </c>
      <c r="P63" s="23">
        <v>46168</v>
      </c>
      <c r="Q63" s="23">
        <f t="shared" si="14"/>
        <v>46168</v>
      </c>
      <c r="R63" s="24" t="str">
        <f ca="1">IF($A$1&lt;Q63,"On-time",IF(AND(Q63&lt;=$A$1,BJ63="OK"),"OK","NO OK"))</f>
        <v>On-time</v>
      </c>
      <c r="S63" s="24" t="str">
        <f t="shared" si="4"/>
        <v>TUESDAY</v>
      </c>
      <c r="T63" s="24">
        <f>VLOOKUP(L63,Ubicacion!A:AE,13,FALSE)</f>
        <v>15</v>
      </c>
      <c r="U63" s="24">
        <f>VLOOKUP(L63,Ubicacion!A:AE,14,FALSE)</f>
        <v>18</v>
      </c>
      <c r="V63" s="24">
        <f>VLOOKUP(L63,Ubicacion!A:AE,15,FALSE)</f>
        <v>2</v>
      </c>
      <c r="W63" s="24">
        <f>VLOOKUP(L63,Ubicacion!A:AE,16,FALSE)</f>
        <v>4</v>
      </c>
      <c r="X63" s="24">
        <f>VLOOKUP(L63,Ubicacion!A:AE,17,FALSE)</f>
        <v>4</v>
      </c>
      <c r="Y63" s="24">
        <f>VLOOKUP(L63,Ubicacion!A:AE,18,FALSE)</f>
        <v>0</v>
      </c>
      <c r="Z63" s="24">
        <f>VLOOKUP(L63,Ubicacion!A:AE,19,FALSE)</f>
        <v>0</v>
      </c>
      <c r="AA63" s="24">
        <f>VLOOKUP(L63,Ubicacion!A:AE,20,FALSE)</f>
        <v>0</v>
      </c>
      <c r="AB63" s="24">
        <f>VLOOKUP(L63,Ubicacion!A:AE,21,FALSE)</f>
        <v>0</v>
      </c>
      <c r="AC63" s="24">
        <f>VLOOKUP(L63,Ubicacion!A:AE,22,FALSE)</f>
        <v>4</v>
      </c>
      <c r="AD63" s="24">
        <f>VLOOKUP(L63,Ubicacion!A:AE,23,FALSE)</f>
        <v>30</v>
      </c>
      <c r="AE63" s="24">
        <f>VLOOKUP(L63,Ubicacion!A:AE,24,FALSE)</f>
        <v>0</v>
      </c>
      <c r="AF63" s="24">
        <f>VLOOKUP(L63,Ubicacion!A:AE,25,FALSE)</f>
        <v>0</v>
      </c>
      <c r="AG63" s="24">
        <f>VLOOKUP(L63,Ubicacion!A:AE,26,FALSE)</f>
        <v>34</v>
      </c>
      <c r="AH63" s="24">
        <f>VLOOKUP(L63,Ubicacion!A:AE,27,FALSE)</f>
        <v>2</v>
      </c>
      <c r="AI63" s="24">
        <f>VLOOKUP(L63,Ubicacion!A:AE,28,FALSE)</f>
        <v>5</v>
      </c>
      <c r="AJ63" s="24">
        <f>VLOOKUP(L63,Ubicacion!A:AE,29,FALSE)</f>
        <v>3</v>
      </c>
      <c r="AK63" s="24">
        <f>VLOOKUP(L63,Ubicacion!A:AE,30,FALSE)</f>
        <v>1</v>
      </c>
      <c r="AL63" s="24">
        <f>VLOOKUP(L63,Ubicacion!A:AE,31,FALSE)</f>
        <v>1</v>
      </c>
      <c r="AM63" s="25">
        <f t="shared" si="15"/>
        <v>0.66666666666666663</v>
      </c>
      <c r="AN63" s="25">
        <f t="shared" si="16"/>
        <v>5.5555555555555552E-2</v>
      </c>
      <c r="AO63" s="25">
        <f t="shared" si="17"/>
        <v>1</v>
      </c>
      <c r="AP63" s="25">
        <f t="shared" si="18"/>
        <v>0.5</v>
      </c>
      <c r="AQ63" s="25">
        <f t="shared" si="19"/>
        <v>0.5</v>
      </c>
      <c r="AR63" s="25" t="str">
        <f t="shared" si="20"/>
        <v>100%</v>
      </c>
      <c r="AS63" s="25" t="str">
        <f t="shared" si="21"/>
        <v>100%</v>
      </c>
      <c r="AT63" s="25" t="str">
        <f t="shared" si="22"/>
        <v>100%</v>
      </c>
      <c r="AU63" s="25" t="str">
        <f t="shared" si="23"/>
        <v>100%</v>
      </c>
      <c r="AV63" s="24">
        <v>10</v>
      </c>
      <c r="AW63" s="24">
        <v>1</v>
      </c>
      <c r="AX63" s="24">
        <v>2</v>
      </c>
      <c r="AY63" s="24">
        <v>2</v>
      </c>
      <c r="AZ63" s="24">
        <v>2</v>
      </c>
      <c r="BA63" s="24">
        <v>1</v>
      </c>
      <c r="BB63" s="24">
        <v>2</v>
      </c>
      <c r="BC63" s="24">
        <v>1</v>
      </c>
      <c r="BD63" s="24">
        <v>1</v>
      </c>
      <c r="BE63" s="24" t="s">
        <v>184</v>
      </c>
      <c r="BF63" s="24" t="s">
        <v>184</v>
      </c>
      <c r="BG63" s="24" t="s">
        <v>183</v>
      </c>
      <c r="BH63" s="24" t="s">
        <v>183</v>
      </c>
      <c r="BI63" s="24" t="s">
        <v>183</v>
      </c>
      <c r="BJ63" s="24" t="s">
        <v>183</v>
      </c>
      <c r="BK63" s="24"/>
      <c r="BL63" s="24"/>
      <c r="BM63" s="57"/>
      <c r="BN63" s="2" t="str">
        <f t="shared" si="30"/>
        <v xml:space="preserve"> </v>
      </c>
      <c r="BO63" s="2" t="str">
        <f t="shared" si="30"/>
        <v xml:space="preserve"> </v>
      </c>
      <c r="BP63" s="2" t="str">
        <f t="shared" si="30"/>
        <v xml:space="preserve"> </v>
      </c>
      <c r="BQ63" s="2" t="str">
        <f t="shared" si="30"/>
        <v xml:space="preserve"> </v>
      </c>
      <c r="BR63" s="2" t="str">
        <f t="shared" si="30"/>
        <v xml:space="preserve"> </v>
      </c>
      <c r="BS63" s="2" t="str">
        <f t="shared" si="30"/>
        <v xml:space="preserve"> </v>
      </c>
      <c r="BT63" s="2" t="str">
        <f t="shared" si="30"/>
        <v xml:space="preserve"> </v>
      </c>
      <c r="BU63" s="2" t="str">
        <f t="shared" si="30"/>
        <v xml:space="preserve"> </v>
      </c>
      <c r="BV63" s="2" t="str">
        <f t="shared" si="30"/>
        <v xml:space="preserve"> </v>
      </c>
      <c r="BW63" s="2" t="str">
        <f t="shared" si="30"/>
        <v xml:space="preserve"> </v>
      </c>
      <c r="BX63" s="2" t="str">
        <f t="shared" si="30"/>
        <v xml:space="preserve"> </v>
      </c>
      <c r="BY63" s="2" t="str">
        <f t="shared" si="30"/>
        <v xml:space="preserve"> </v>
      </c>
      <c r="BZ63" s="2" t="str">
        <f t="shared" si="30"/>
        <v xml:space="preserve"> </v>
      </c>
      <c r="CA63" s="2" t="str">
        <f t="shared" si="30"/>
        <v xml:space="preserve"> </v>
      </c>
      <c r="CB63" s="2" t="str">
        <f t="shared" si="30"/>
        <v xml:space="preserve"> </v>
      </c>
      <c r="CC63" s="2" t="str">
        <f t="shared" si="30"/>
        <v xml:space="preserve"> </v>
      </c>
      <c r="CD63" s="2" t="str">
        <f t="shared" si="29"/>
        <v xml:space="preserve"> </v>
      </c>
      <c r="CE63" s="2" t="str">
        <f t="shared" si="29"/>
        <v xml:space="preserve"> </v>
      </c>
      <c r="CF63" s="2" t="str">
        <f t="shared" si="29"/>
        <v xml:space="preserve"> </v>
      </c>
      <c r="CG63" s="2" t="str">
        <f t="shared" si="29"/>
        <v xml:space="preserve"> </v>
      </c>
      <c r="CH63" s="2" t="str">
        <f t="shared" si="29"/>
        <v xml:space="preserve"> </v>
      </c>
      <c r="CI63" s="2" t="str">
        <f t="shared" si="29"/>
        <v xml:space="preserve"> </v>
      </c>
      <c r="CJ63" s="2" t="str">
        <f t="shared" si="32"/>
        <v xml:space="preserve"> </v>
      </c>
      <c r="CK63" s="2" t="str">
        <f t="shared" si="32"/>
        <v xml:space="preserve"> </v>
      </c>
      <c r="CL63" s="2" t="str">
        <f t="shared" si="32"/>
        <v xml:space="preserve"> </v>
      </c>
      <c r="CM63" s="2" t="str">
        <f t="shared" si="32"/>
        <v>.</v>
      </c>
      <c r="CN63" s="2" t="str">
        <f t="shared" si="32"/>
        <v xml:space="preserve"> </v>
      </c>
      <c r="CO63" s="2" t="str">
        <f t="shared" si="32"/>
        <v xml:space="preserve"> </v>
      </c>
      <c r="CP63" s="2" t="str">
        <f t="shared" si="32"/>
        <v xml:space="preserve"> </v>
      </c>
      <c r="CQ63" s="2" t="str">
        <f t="shared" si="32"/>
        <v xml:space="preserve"> </v>
      </c>
      <c r="CR63" s="2" t="str">
        <f t="shared" si="32"/>
        <v xml:space="preserve"> </v>
      </c>
    </row>
    <row r="64" spans="1:96">
      <c r="A64" s="21" t="str">
        <f>VLOOKUP(L64,Ubicacion!A:K,2,FALSE)</f>
        <v>LI3BR</v>
      </c>
      <c r="B64" s="21" t="str">
        <f>VLOOKUP(L64,Ubicacion!A:K,3,FALSE)</f>
        <v>LI3BC03</v>
      </c>
      <c r="C64" s="21" t="str">
        <f>VLOOKUP(L64,Ubicacion!A:K,4,FALSE)</f>
        <v>LIMA</v>
      </c>
      <c r="D64" s="21" t="str">
        <f>VLOOKUP(L64,Ubicacion!A:K,5,FALSE)</f>
        <v>CHORRILLOS</v>
      </c>
      <c r="E64" s="21" t="str">
        <f>VLOOKUP(L64,Ubicacion!A:K,6,FALSE)</f>
        <v xml:space="preserve">Plaza </v>
      </c>
      <c r="F64" s="21" t="str">
        <f>VLOOKUP(L64,Ubicacion!A:K,7,FALSE)</f>
        <v>09:00 - 17:00</v>
      </c>
      <c r="G64" s="21" t="str">
        <f>VLOOKUP(L64,Ubicacion!A:K,8,FALSE)</f>
        <v>THURSDAY</v>
      </c>
      <c r="H64" s="21">
        <f>VLOOKUP(L64,Ubicacion!A:K,9,FALSE)</f>
        <v>2</v>
      </c>
      <c r="I64" s="21">
        <f>VLOOKUP(L64,Ubicacion!A:K,10,FALSE)</f>
        <v>-12.1792615022124</v>
      </c>
      <c r="J64" s="21">
        <f>VLOOKUP(L64,Ubicacion!A:K,11,FALSE)</f>
        <v>-77.010037973659806</v>
      </c>
      <c r="K64" s="21" t="str">
        <f t="shared" si="3"/>
        <v>46169Grupo 4</v>
      </c>
      <c r="L64" s="21" t="s">
        <v>116</v>
      </c>
      <c r="M64" s="21">
        <v>1</v>
      </c>
      <c r="N64" s="24" t="s">
        <v>186</v>
      </c>
      <c r="O64" s="24" t="s">
        <v>193</v>
      </c>
      <c r="P64" s="23">
        <v>46169</v>
      </c>
      <c r="Q64" s="23">
        <f t="shared" si="14"/>
        <v>46169</v>
      </c>
      <c r="R64" s="24" t="str">
        <f ca="1">IF($A$1&lt;Q64,"On-time",IF(AND(Q64&lt;=$A$1,BJ64="OK"),"OK","NO OK"))</f>
        <v>On-time</v>
      </c>
      <c r="S64" s="24" t="str">
        <f t="shared" si="4"/>
        <v>WEDNESDAY</v>
      </c>
      <c r="T64" s="24">
        <f>VLOOKUP(L64,Ubicacion!A:AE,13,FALSE)</f>
        <v>15</v>
      </c>
      <c r="U64" s="24">
        <f>VLOOKUP(L64,Ubicacion!A:AE,14,FALSE)</f>
        <v>18</v>
      </c>
      <c r="V64" s="24">
        <f>VLOOKUP(L64,Ubicacion!A:AE,15,FALSE)</f>
        <v>2</v>
      </c>
      <c r="W64" s="24">
        <f>VLOOKUP(L64,Ubicacion!A:AE,16,FALSE)</f>
        <v>4</v>
      </c>
      <c r="X64" s="24">
        <f>VLOOKUP(L64,Ubicacion!A:AE,17,FALSE)</f>
        <v>4</v>
      </c>
      <c r="Y64" s="24">
        <f>VLOOKUP(L64,Ubicacion!A:AE,18,FALSE)</f>
        <v>0</v>
      </c>
      <c r="Z64" s="24">
        <f>VLOOKUP(L64,Ubicacion!A:AE,19,FALSE)</f>
        <v>0</v>
      </c>
      <c r="AA64" s="24">
        <f>VLOOKUP(L64,Ubicacion!A:AE,20,FALSE)</f>
        <v>0</v>
      </c>
      <c r="AB64" s="24">
        <f>VLOOKUP(L64,Ubicacion!A:AE,21,FALSE)</f>
        <v>0</v>
      </c>
      <c r="AC64" s="24">
        <f>VLOOKUP(L64,Ubicacion!A:AE,22,FALSE)</f>
        <v>4</v>
      </c>
      <c r="AD64" s="24">
        <f>VLOOKUP(L64,Ubicacion!A:AE,23,FALSE)</f>
        <v>30</v>
      </c>
      <c r="AE64" s="24">
        <f>VLOOKUP(L64,Ubicacion!A:AE,24,FALSE)</f>
        <v>0</v>
      </c>
      <c r="AF64" s="24">
        <f>VLOOKUP(L64,Ubicacion!A:AE,25,FALSE)</f>
        <v>0</v>
      </c>
      <c r="AG64" s="24">
        <f>VLOOKUP(L64,Ubicacion!A:AE,26,FALSE)</f>
        <v>34</v>
      </c>
      <c r="AH64" s="24">
        <f>VLOOKUP(L64,Ubicacion!A:AE,27,FALSE)</f>
        <v>2</v>
      </c>
      <c r="AI64" s="24">
        <f>VLOOKUP(L64,Ubicacion!A:AE,28,FALSE)</f>
        <v>5</v>
      </c>
      <c r="AJ64" s="24">
        <f>VLOOKUP(L64,Ubicacion!A:AE,29,FALSE)</f>
        <v>3</v>
      </c>
      <c r="AK64" s="24">
        <f>VLOOKUP(L64,Ubicacion!A:AE,30,FALSE)</f>
        <v>1</v>
      </c>
      <c r="AL64" s="24">
        <f>VLOOKUP(L64,Ubicacion!A:AE,31,FALSE)</f>
        <v>1</v>
      </c>
      <c r="AM64" s="25">
        <f t="shared" si="15"/>
        <v>0.66666666666666663</v>
      </c>
      <c r="AN64" s="25">
        <f t="shared" si="16"/>
        <v>5.5555555555555552E-2</v>
      </c>
      <c r="AO64" s="25">
        <f t="shared" si="17"/>
        <v>1</v>
      </c>
      <c r="AP64" s="25">
        <f t="shared" si="18"/>
        <v>0.5</v>
      </c>
      <c r="AQ64" s="25">
        <f t="shared" si="19"/>
        <v>0.5</v>
      </c>
      <c r="AR64" s="25" t="str">
        <f t="shared" si="20"/>
        <v>100%</v>
      </c>
      <c r="AS64" s="25" t="str">
        <f t="shared" si="21"/>
        <v>100%</v>
      </c>
      <c r="AT64" s="25" t="str">
        <f t="shared" si="22"/>
        <v>100%</v>
      </c>
      <c r="AU64" s="25" t="str">
        <f t="shared" si="23"/>
        <v>100%</v>
      </c>
      <c r="AV64" s="24">
        <v>10</v>
      </c>
      <c r="AW64" s="24">
        <v>1</v>
      </c>
      <c r="AX64" s="24">
        <v>2</v>
      </c>
      <c r="AY64" s="24">
        <v>2</v>
      </c>
      <c r="AZ64" s="24">
        <v>2</v>
      </c>
      <c r="BA64" s="24">
        <v>1</v>
      </c>
      <c r="BB64" s="24">
        <v>2</v>
      </c>
      <c r="BC64" s="24">
        <v>1</v>
      </c>
      <c r="BD64" s="24">
        <v>1</v>
      </c>
      <c r="BE64" s="24" t="s">
        <v>184</v>
      </c>
      <c r="BF64" s="24" t="s">
        <v>184</v>
      </c>
      <c r="BG64" s="24" t="s">
        <v>183</v>
      </c>
      <c r="BH64" s="24" t="s">
        <v>183</v>
      </c>
      <c r="BI64" s="24" t="s">
        <v>183</v>
      </c>
      <c r="BJ64" s="24" t="s">
        <v>183</v>
      </c>
      <c r="BK64" s="24"/>
      <c r="BL64" s="24"/>
      <c r="BM64" s="57"/>
      <c r="BN64" s="2" t="str">
        <f t="shared" si="30"/>
        <v xml:space="preserve"> </v>
      </c>
      <c r="BO64" s="2" t="str">
        <f t="shared" si="30"/>
        <v xml:space="preserve"> </v>
      </c>
      <c r="BP64" s="2" t="str">
        <f t="shared" si="30"/>
        <v xml:space="preserve"> </v>
      </c>
      <c r="BQ64" s="2" t="str">
        <f t="shared" si="30"/>
        <v xml:space="preserve"> </v>
      </c>
      <c r="BR64" s="2" t="str">
        <f t="shared" si="30"/>
        <v xml:space="preserve"> </v>
      </c>
      <c r="BS64" s="2" t="str">
        <f t="shared" si="30"/>
        <v xml:space="preserve"> </v>
      </c>
      <c r="BT64" s="2" t="str">
        <f t="shared" si="30"/>
        <v xml:space="preserve"> </v>
      </c>
      <c r="BU64" s="2" t="str">
        <f t="shared" si="30"/>
        <v xml:space="preserve"> </v>
      </c>
      <c r="BV64" s="2" t="str">
        <f t="shared" si="30"/>
        <v xml:space="preserve"> </v>
      </c>
      <c r="BW64" s="2" t="str">
        <f t="shared" si="30"/>
        <v xml:space="preserve"> </v>
      </c>
      <c r="BX64" s="2" t="str">
        <f t="shared" si="30"/>
        <v xml:space="preserve"> </v>
      </c>
      <c r="BY64" s="2" t="str">
        <f t="shared" si="30"/>
        <v xml:space="preserve"> </v>
      </c>
      <c r="BZ64" s="2" t="str">
        <f t="shared" si="30"/>
        <v xml:space="preserve"> </v>
      </c>
      <c r="CA64" s="2" t="str">
        <f t="shared" si="30"/>
        <v xml:space="preserve"> </v>
      </c>
      <c r="CB64" s="2" t="str">
        <f t="shared" si="30"/>
        <v xml:space="preserve"> </v>
      </c>
      <c r="CC64" s="2" t="str">
        <f t="shared" si="30"/>
        <v xml:space="preserve"> </v>
      </c>
      <c r="CD64" s="2" t="str">
        <f t="shared" si="29"/>
        <v xml:space="preserve"> </v>
      </c>
      <c r="CE64" s="2" t="str">
        <f t="shared" si="29"/>
        <v xml:space="preserve"> </v>
      </c>
      <c r="CF64" s="2" t="str">
        <f t="shared" si="29"/>
        <v xml:space="preserve"> </v>
      </c>
      <c r="CG64" s="2" t="str">
        <f t="shared" si="29"/>
        <v xml:space="preserve"> </v>
      </c>
      <c r="CH64" s="2" t="str">
        <f t="shared" si="29"/>
        <v xml:space="preserve"> </v>
      </c>
      <c r="CI64" s="2" t="str">
        <f t="shared" si="29"/>
        <v xml:space="preserve"> </v>
      </c>
      <c r="CJ64" s="2" t="str">
        <f t="shared" si="32"/>
        <v xml:space="preserve"> </v>
      </c>
      <c r="CK64" s="2" t="str">
        <f t="shared" si="32"/>
        <v xml:space="preserve"> </v>
      </c>
      <c r="CL64" s="2" t="str">
        <f t="shared" si="32"/>
        <v xml:space="preserve"> </v>
      </c>
      <c r="CM64" s="2" t="str">
        <f t="shared" si="32"/>
        <v xml:space="preserve"> </v>
      </c>
      <c r="CN64" s="2" t="str">
        <f t="shared" si="32"/>
        <v>.</v>
      </c>
      <c r="CO64" s="2" t="str">
        <f t="shared" si="32"/>
        <v xml:space="preserve"> </v>
      </c>
      <c r="CP64" s="2" t="str">
        <f t="shared" si="32"/>
        <v xml:space="preserve"> </v>
      </c>
      <c r="CQ64" s="2" t="str">
        <f t="shared" si="32"/>
        <v xml:space="preserve"> </v>
      </c>
      <c r="CR64" s="2" t="str">
        <f t="shared" si="32"/>
        <v xml:space="preserve"> </v>
      </c>
    </row>
    <row r="65" spans="1:96">
      <c r="A65" s="21" t="str">
        <f>VLOOKUP(L65,Ubicacion!A:K,2,FALSE)</f>
        <v>LI3BR</v>
      </c>
      <c r="B65" s="21" t="str">
        <f>VLOOKUP(L65,Ubicacion!A:K,3,FALSE)</f>
        <v>LI3BC07</v>
      </c>
      <c r="C65" s="21" t="str">
        <f>VLOOKUP(L65,Ubicacion!A:K,4,FALSE)</f>
        <v>LIMA</v>
      </c>
      <c r="D65" s="21" t="str">
        <f>VLOOKUP(L65,Ubicacion!A:K,5,FALSE)</f>
        <v>SAN JUAN DE MIRAFLORES 1</v>
      </c>
      <c r="E65" s="21" t="str">
        <f>VLOOKUP(L65,Ubicacion!A:K,6,FALSE)</f>
        <v xml:space="preserve">Plaza </v>
      </c>
      <c r="F65" s="21" t="str">
        <f>VLOOKUP(L65,Ubicacion!A:K,7,FALSE)</f>
        <v>09:00 - 17:00</v>
      </c>
      <c r="G65" s="21" t="str">
        <f>VLOOKUP(L65,Ubicacion!A:K,8,FALSE)</f>
        <v>FRIDAY</v>
      </c>
      <c r="H65" s="21">
        <f>VLOOKUP(L65,Ubicacion!A:K,9,FALSE)</f>
        <v>2</v>
      </c>
      <c r="I65" s="21">
        <f>VLOOKUP(L65,Ubicacion!A:K,10,FALSE)</f>
        <v>-12.1793215096762</v>
      </c>
      <c r="J65" s="21">
        <f>VLOOKUP(L65,Ubicacion!A:K,11,FALSE)</f>
        <v>-76.962469774205005</v>
      </c>
      <c r="K65" s="21" t="str">
        <f t="shared" si="3"/>
        <v>46170Grupo 4</v>
      </c>
      <c r="L65" s="21" t="s">
        <v>117</v>
      </c>
      <c r="M65" s="21">
        <v>1</v>
      </c>
      <c r="N65" s="24" t="s">
        <v>186</v>
      </c>
      <c r="O65" s="24" t="s">
        <v>193</v>
      </c>
      <c r="P65" s="23">
        <v>46170</v>
      </c>
      <c r="Q65" s="23">
        <f t="shared" si="14"/>
        <v>46170</v>
      </c>
      <c r="R65" s="24" t="str">
        <f ca="1">IF($A$1&lt;Q65,"On-time",IF(AND(Q65&lt;=$A$1,BJ65="OK"),"OK","NO OK"))</f>
        <v>On-time</v>
      </c>
      <c r="S65" s="24" t="str">
        <f t="shared" si="4"/>
        <v>THURSDAY</v>
      </c>
      <c r="T65" s="24">
        <f>VLOOKUP(L65,Ubicacion!A:AE,13,FALSE)</f>
        <v>15</v>
      </c>
      <c r="U65" s="24">
        <f>VLOOKUP(L65,Ubicacion!A:AE,14,FALSE)</f>
        <v>18</v>
      </c>
      <c r="V65" s="24">
        <f>VLOOKUP(L65,Ubicacion!A:AE,15,FALSE)</f>
        <v>2</v>
      </c>
      <c r="W65" s="24">
        <f>VLOOKUP(L65,Ubicacion!A:AE,16,FALSE)</f>
        <v>4</v>
      </c>
      <c r="X65" s="24">
        <f>VLOOKUP(L65,Ubicacion!A:AE,17,FALSE)</f>
        <v>4</v>
      </c>
      <c r="Y65" s="24">
        <f>VLOOKUP(L65,Ubicacion!A:AE,18,FALSE)</f>
        <v>0</v>
      </c>
      <c r="Z65" s="24">
        <f>VLOOKUP(L65,Ubicacion!A:AE,19,FALSE)</f>
        <v>0</v>
      </c>
      <c r="AA65" s="24">
        <f>VLOOKUP(L65,Ubicacion!A:AE,20,FALSE)</f>
        <v>0</v>
      </c>
      <c r="AB65" s="24">
        <f>VLOOKUP(L65,Ubicacion!A:AE,21,FALSE)</f>
        <v>0</v>
      </c>
      <c r="AC65" s="24">
        <f>VLOOKUP(L65,Ubicacion!A:AE,22,FALSE)</f>
        <v>4</v>
      </c>
      <c r="AD65" s="24">
        <f>VLOOKUP(L65,Ubicacion!A:AE,23,FALSE)</f>
        <v>30</v>
      </c>
      <c r="AE65" s="24">
        <f>VLOOKUP(L65,Ubicacion!A:AE,24,FALSE)</f>
        <v>0</v>
      </c>
      <c r="AF65" s="24">
        <f>VLOOKUP(L65,Ubicacion!A:AE,25,FALSE)</f>
        <v>0</v>
      </c>
      <c r="AG65" s="24">
        <f>VLOOKUP(L65,Ubicacion!A:AE,26,FALSE)</f>
        <v>34</v>
      </c>
      <c r="AH65" s="24">
        <f>VLOOKUP(L65,Ubicacion!A:AE,27,FALSE)</f>
        <v>2</v>
      </c>
      <c r="AI65" s="24">
        <f>VLOOKUP(L65,Ubicacion!A:AE,28,FALSE)</f>
        <v>5</v>
      </c>
      <c r="AJ65" s="24">
        <f>VLOOKUP(L65,Ubicacion!A:AE,29,FALSE)</f>
        <v>3</v>
      </c>
      <c r="AK65" s="24">
        <f>VLOOKUP(L65,Ubicacion!A:AE,30,FALSE)</f>
        <v>1</v>
      </c>
      <c r="AL65" s="24">
        <f>VLOOKUP(L65,Ubicacion!A:AE,31,FALSE)</f>
        <v>1</v>
      </c>
      <c r="AM65" s="25">
        <f t="shared" si="15"/>
        <v>0.66666666666666663</v>
      </c>
      <c r="AN65" s="25">
        <f t="shared" si="16"/>
        <v>5.5555555555555552E-2</v>
      </c>
      <c r="AO65" s="25">
        <f t="shared" si="17"/>
        <v>1</v>
      </c>
      <c r="AP65" s="25">
        <f t="shared" si="18"/>
        <v>0.5</v>
      </c>
      <c r="AQ65" s="25">
        <f t="shared" si="19"/>
        <v>0.5</v>
      </c>
      <c r="AR65" s="25" t="str">
        <f t="shared" si="20"/>
        <v>100%</v>
      </c>
      <c r="AS65" s="25" t="str">
        <f t="shared" si="21"/>
        <v>100%</v>
      </c>
      <c r="AT65" s="25" t="str">
        <f t="shared" si="22"/>
        <v>100%</v>
      </c>
      <c r="AU65" s="25" t="str">
        <f t="shared" si="23"/>
        <v>100%</v>
      </c>
      <c r="AV65" s="24">
        <v>10</v>
      </c>
      <c r="AW65" s="24">
        <v>1</v>
      </c>
      <c r="AX65" s="24">
        <v>2</v>
      </c>
      <c r="AY65" s="24">
        <v>2</v>
      </c>
      <c r="AZ65" s="24">
        <v>2</v>
      </c>
      <c r="BA65" s="24">
        <v>1</v>
      </c>
      <c r="BB65" s="24">
        <v>2</v>
      </c>
      <c r="BC65" s="24">
        <v>1</v>
      </c>
      <c r="BD65" s="24">
        <v>1</v>
      </c>
      <c r="BE65" s="24" t="s">
        <v>184</v>
      </c>
      <c r="BF65" s="24" t="s">
        <v>184</v>
      </c>
      <c r="BG65" s="24" t="s">
        <v>183</v>
      </c>
      <c r="BH65" s="24" t="s">
        <v>183</v>
      </c>
      <c r="BI65" s="24" t="s">
        <v>183</v>
      </c>
      <c r="BJ65" s="24" t="s">
        <v>183</v>
      </c>
      <c r="BK65" s="24"/>
      <c r="BL65" s="24"/>
      <c r="BM65" s="57"/>
      <c r="BN65" s="2" t="str">
        <f t="shared" si="30"/>
        <v xml:space="preserve"> </v>
      </c>
      <c r="BO65" s="2" t="str">
        <f t="shared" si="30"/>
        <v xml:space="preserve"> </v>
      </c>
      <c r="BP65" s="2" t="str">
        <f t="shared" si="30"/>
        <v xml:space="preserve"> </v>
      </c>
      <c r="BQ65" s="2" t="str">
        <f t="shared" si="30"/>
        <v xml:space="preserve"> </v>
      </c>
      <c r="BR65" s="2" t="str">
        <f t="shared" si="30"/>
        <v xml:space="preserve"> </v>
      </c>
      <c r="BS65" s="2" t="str">
        <f t="shared" si="30"/>
        <v xml:space="preserve"> </v>
      </c>
      <c r="BT65" s="2" t="str">
        <f t="shared" si="30"/>
        <v xml:space="preserve"> </v>
      </c>
      <c r="BU65" s="2" t="str">
        <f t="shared" si="30"/>
        <v xml:space="preserve"> </v>
      </c>
      <c r="BV65" s="2" t="str">
        <f t="shared" si="30"/>
        <v xml:space="preserve"> </v>
      </c>
      <c r="BW65" s="2" t="str">
        <f t="shared" si="30"/>
        <v xml:space="preserve"> </v>
      </c>
      <c r="BX65" s="2" t="str">
        <f t="shared" si="30"/>
        <v xml:space="preserve"> </v>
      </c>
      <c r="BY65" s="2" t="str">
        <f t="shared" si="30"/>
        <v xml:space="preserve"> </v>
      </c>
      <c r="BZ65" s="2" t="str">
        <f t="shared" si="30"/>
        <v xml:space="preserve"> </v>
      </c>
      <c r="CA65" s="2" t="str">
        <f t="shared" si="30"/>
        <v xml:space="preserve"> </v>
      </c>
      <c r="CB65" s="2" t="str">
        <f t="shared" si="30"/>
        <v xml:space="preserve"> </v>
      </c>
      <c r="CC65" s="2" t="str">
        <f t="shared" si="30"/>
        <v xml:space="preserve"> </v>
      </c>
      <c r="CD65" s="2" t="str">
        <f t="shared" si="29"/>
        <v xml:space="preserve"> </v>
      </c>
      <c r="CE65" s="2" t="str">
        <f t="shared" si="29"/>
        <v xml:space="preserve"> </v>
      </c>
      <c r="CF65" s="2" t="str">
        <f t="shared" si="29"/>
        <v xml:space="preserve"> </v>
      </c>
      <c r="CG65" s="2" t="str">
        <f t="shared" si="29"/>
        <v xml:space="preserve"> </v>
      </c>
      <c r="CH65" s="2" t="str">
        <f t="shared" si="29"/>
        <v xml:space="preserve"> </v>
      </c>
      <c r="CI65" s="2" t="str">
        <f t="shared" si="29"/>
        <v xml:space="preserve"> </v>
      </c>
      <c r="CJ65" s="2" t="str">
        <f t="shared" si="32"/>
        <v xml:space="preserve"> </v>
      </c>
      <c r="CK65" s="2" t="str">
        <f t="shared" si="32"/>
        <v xml:space="preserve"> </v>
      </c>
      <c r="CL65" s="2" t="str">
        <f t="shared" si="32"/>
        <v xml:space="preserve"> </v>
      </c>
      <c r="CM65" s="2" t="str">
        <f t="shared" si="32"/>
        <v xml:space="preserve"> </v>
      </c>
      <c r="CN65" s="2" t="str">
        <f t="shared" si="32"/>
        <v xml:space="preserve"> </v>
      </c>
      <c r="CO65" s="2" t="str">
        <f t="shared" si="32"/>
        <v>.</v>
      </c>
      <c r="CP65" s="2" t="str">
        <f t="shared" si="32"/>
        <v xml:space="preserve"> </v>
      </c>
      <c r="CQ65" s="2" t="str">
        <f t="shared" si="32"/>
        <v xml:space="preserve"> </v>
      </c>
      <c r="CR65" s="2" t="str">
        <f t="shared" si="32"/>
        <v xml:space="preserve"> </v>
      </c>
    </row>
    <row r="66" spans="1:96">
      <c r="A66" s="21" t="str">
        <f>VLOOKUP(L66,Ubicacion!A:K,2,FALSE)</f>
        <v>LI3BR</v>
      </c>
      <c r="B66" s="21" t="str">
        <f>VLOOKUP(L66,Ubicacion!A:K,3,FALSE)</f>
        <v>LI3BC10</v>
      </c>
      <c r="C66" s="21" t="str">
        <f>VLOOKUP(L66,Ubicacion!A:K,4,FALSE)</f>
        <v>LIMA</v>
      </c>
      <c r="D66" s="21" t="str">
        <f>VLOOKUP(L66,Ubicacion!A:K,5,FALSE)</f>
        <v>PACHACAMAC</v>
      </c>
      <c r="E66" s="21" t="str">
        <f>VLOOKUP(L66,Ubicacion!A:K,6,FALSE)</f>
        <v xml:space="preserve">Plaza </v>
      </c>
      <c r="F66" s="21" t="str">
        <f>VLOOKUP(L66,Ubicacion!A:K,7,FALSE)</f>
        <v>09:00 - 17:00</v>
      </c>
      <c r="G66" s="21" t="str">
        <f>VLOOKUP(L66,Ubicacion!A:K,8,FALSE)</f>
        <v>SATURDAY</v>
      </c>
      <c r="H66" s="21">
        <f>VLOOKUP(L66,Ubicacion!A:K,9,FALSE)</f>
        <v>2</v>
      </c>
      <c r="I66" s="21">
        <f>VLOOKUP(L66,Ubicacion!A:K,10,FALSE)</f>
        <v>-12.230252960613401</v>
      </c>
      <c r="J66" s="21">
        <f>VLOOKUP(L66,Ubicacion!A:K,11,FALSE)</f>
        <v>-76.863641369979106</v>
      </c>
      <c r="K66" s="21" t="str">
        <f t="shared" si="3"/>
        <v>46171Grupo 4</v>
      </c>
      <c r="L66" s="21" t="s">
        <v>118</v>
      </c>
      <c r="M66" s="21">
        <v>1</v>
      </c>
      <c r="N66" s="24" t="s">
        <v>186</v>
      </c>
      <c r="O66" s="24" t="s">
        <v>193</v>
      </c>
      <c r="P66" s="23">
        <v>46171</v>
      </c>
      <c r="Q66" s="23">
        <f t="shared" si="14"/>
        <v>46171</v>
      </c>
      <c r="R66" s="24" t="str">
        <f ca="1">IF($A$1&lt;Q66,"On-time",IF(AND(Q66&lt;=$A$1,BJ66="OK"),"OK","NO OK"))</f>
        <v>On-time</v>
      </c>
      <c r="S66" s="24" t="str">
        <f t="shared" si="4"/>
        <v>FRIDAY</v>
      </c>
      <c r="T66" s="24">
        <f>VLOOKUP(L66,Ubicacion!A:AE,13,FALSE)</f>
        <v>15</v>
      </c>
      <c r="U66" s="24">
        <f>VLOOKUP(L66,Ubicacion!A:AE,14,FALSE)</f>
        <v>18</v>
      </c>
      <c r="V66" s="24">
        <f>VLOOKUP(L66,Ubicacion!A:AE,15,FALSE)</f>
        <v>2</v>
      </c>
      <c r="W66" s="24">
        <f>VLOOKUP(L66,Ubicacion!A:AE,16,FALSE)</f>
        <v>4</v>
      </c>
      <c r="X66" s="24">
        <f>VLOOKUP(L66,Ubicacion!A:AE,17,FALSE)</f>
        <v>4</v>
      </c>
      <c r="Y66" s="24">
        <f>VLOOKUP(L66,Ubicacion!A:AE,18,FALSE)</f>
        <v>0</v>
      </c>
      <c r="Z66" s="24">
        <f>VLOOKUP(L66,Ubicacion!A:AE,19,FALSE)</f>
        <v>0</v>
      </c>
      <c r="AA66" s="24">
        <f>VLOOKUP(L66,Ubicacion!A:AE,20,FALSE)</f>
        <v>0</v>
      </c>
      <c r="AB66" s="24">
        <f>VLOOKUP(L66,Ubicacion!A:AE,21,FALSE)</f>
        <v>0</v>
      </c>
      <c r="AC66" s="24">
        <f>VLOOKUP(L66,Ubicacion!A:AE,22,FALSE)</f>
        <v>4</v>
      </c>
      <c r="AD66" s="24">
        <f>VLOOKUP(L66,Ubicacion!A:AE,23,FALSE)</f>
        <v>30</v>
      </c>
      <c r="AE66" s="24">
        <f>VLOOKUP(L66,Ubicacion!A:AE,24,FALSE)</f>
        <v>0</v>
      </c>
      <c r="AF66" s="24">
        <f>VLOOKUP(L66,Ubicacion!A:AE,25,FALSE)</f>
        <v>0</v>
      </c>
      <c r="AG66" s="24">
        <f>VLOOKUP(L66,Ubicacion!A:AE,26,FALSE)</f>
        <v>34</v>
      </c>
      <c r="AH66" s="24">
        <f>VLOOKUP(L66,Ubicacion!A:AE,27,FALSE)</f>
        <v>2</v>
      </c>
      <c r="AI66" s="24">
        <f>VLOOKUP(L66,Ubicacion!A:AE,28,FALSE)</f>
        <v>5</v>
      </c>
      <c r="AJ66" s="24">
        <f>VLOOKUP(L66,Ubicacion!A:AE,29,FALSE)</f>
        <v>3</v>
      </c>
      <c r="AK66" s="24">
        <f>VLOOKUP(L66,Ubicacion!A:AE,30,FALSE)</f>
        <v>1</v>
      </c>
      <c r="AL66" s="24">
        <f>VLOOKUP(L66,Ubicacion!A:AE,31,FALSE)</f>
        <v>1</v>
      </c>
      <c r="AM66" s="25">
        <f t="shared" si="15"/>
        <v>0.66666666666666663</v>
      </c>
      <c r="AN66" s="25">
        <f t="shared" si="16"/>
        <v>5.5555555555555552E-2</v>
      </c>
      <c r="AO66" s="25">
        <f t="shared" si="17"/>
        <v>1</v>
      </c>
      <c r="AP66" s="25">
        <f t="shared" si="18"/>
        <v>0.5</v>
      </c>
      <c r="AQ66" s="25">
        <f t="shared" si="19"/>
        <v>0.5</v>
      </c>
      <c r="AR66" s="25" t="str">
        <f t="shared" si="20"/>
        <v>100%</v>
      </c>
      <c r="AS66" s="25" t="str">
        <f t="shared" si="21"/>
        <v>100%</v>
      </c>
      <c r="AT66" s="25" t="str">
        <f t="shared" si="22"/>
        <v>100%</v>
      </c>
      <c r="AU66" s="25" t="str">
        <f t="shared" si="23"/>
        <v>100%</v>
      </c>
      <c r="AV66" s="24">
        <v>10</v>
      </c>
      <c r="AW66" s="24">
        <v>1</v>
      </c>
      <c r="AX66" s="24">
        <v>2</v>
      </c>
      <c r="AY66" s="24">
        <v>2</v>
      </c>
      <c r="AZ66" s="24">
        <v>2</v>
      </c>
      <c r="BA66" s="24">
        <v>1</v>
      </c>
      <c r="BB66" s="24">
        <v>2</v>
      </c>
      <c r="BC66" s="24">
        <v>1</v>
      </c>
      <c r="BD66" s="24">
        <v>1</v>
      </c>
      <c r="BE66" s="24" t="s">
        <v>184</v>
      </c>
      <c r="BF66" s="24" t="s">
        <v>184</v>
      </c>
      <c r="BG66" s="24" t="s">
        <v>183</v>
      </c>
      <c r="BH66" s="24" t="s">
        <v>183</v>
      </c>
      <c r="BI66" s="24" t="s">
        <v>183</v>
      </c>
      <c r="BJ66" s="24" t="s">
        <v>183</v>
      </c>
      <c r="BK66" s="24"/>
      <c r="BL66" s="24"/>
      <c r="BM66" s="57"/>
      <c r="BN66" s="2" t="str">
        <f t="shared" si="30"/>
        <v xml:space="preserve"> </v>
      </c>
      <c r="BO66" s="2" t="str">
        <f t="shared" si="30"/>
        <v xml:space="preserve"> </v>
      </c>
      <c r="BP66" s="2" t="str">
        <f t="shared" si="30"/>
        <v xml:space="preserve"> </v>
      </c>
      <c r="BQ66" s="2" t="str">
        <f t="shared" si="30"/>
        <v xml:space="preserve"> </v>
      </c>
      <c r="BR66" s="2" t="str">
        <f t="shared" si="30"/>
        <v xml:space="preserve"> </v>
      </c>
      <c r="BS66" s="2" t="str">
        <f t="shared" si="30"/>
        <v xml:space="preserve"> </v>
      </c>
      <c r="BT66" s="2" t="str">
        <f t="shared" si="30"/>
        <v xml:space="preserve"> </v>
      </c>
      <c r="BU66" s="2" t="str">
        <f t="shared" si="30"/>
        <v xml:space="preserve"> </v>
      </c>
      <c r="BV66" s="2" t="str">
        <f t="shared" si="30"/>
        <v xml:space="preserve"> </v>
      </c>
      <c r="BW66" s="2" t="str">
        <f t="shared" si="30"/>
        <v xml:space="preserve"> </v>
      </c>
      <c r="BX66" s="2" t="str">
        <f t="shared" si="30"/>
        <v xml:space="preserve"> </v>
      </c>
      <c r="BY66" s="2" t="str">
        <f t="shared" si="30"/>
        <v xml:space="preserve"> </v>
      </c>
      <c r="BZ66" s="2" t="str">
        <f t="shared" si="30"/>
        <v xml:space="preserve"> </v>
      </c>
      <c r="CA66" s="2" t="str">
        <f t="shared" si="30"/>
        <v xml:space="preserve"> </v>
      </c>
      <c r="CB66" s="2" t="str">
        <f t="shared" si="30"/>
        <v xml:space="preserve"> </v>
      </c>
      <c r="CC66" s="2" t="str">
        <f t="shared" si="30"/>
        <v xml:space="preserve"> </v>
      </c>
      <c r="CD66" s="2" t="str">
        <f t="shared" si="29"/>
        <v xml:space="preserve"> </v>
      </c>
      <c r="CE66" s="2" t="str">
        <f t="shared" si="29"/>
        <v xml:space="preserve"> </v>
      </c>
      <c r="CF66" s="2" t="str">
        <f t="shared" si="29"/>
        <v xml:space="preserve"> </v>
      </c>
      <c r="CG66" s="2" t="str">
        <f t="shared" si="29"/>
        <v xml:space="preserve"> </v>
      </c>
      <c r="CH66" s="2" t="str">
        <f t="shared" si="29"/>
        <v xml:space="preserve"> </v>
      </c>
      <c r="CI66" s="2" t="str">
        <f t="shared" si="29"/>
        <v xml:space="preserve"> </v>
      </c>
      <c r="CJ66" s="2" t="str">
        <f t="shared" si="32"/>
        <v xml:space="preserve"> </v>
      </c>
      <c r="CK66" s="2" t="str">
        <f t="shared" si="32"/>
        <v xml:space="preserve"> </v>
      </c>
      <c r="CL66" s="2" t="str">
        <f t="shared" si="32"/>
        <v xml:space="preserve"> </v>
      </c>
      <c r="CM66" s="2" t="str">
        <f t="shared" si="32"/>
        <v xml:space="preserve"> </v>
      </c>
      <c r="CN66" s="2" t="str">
        <f t="shared" si="32"/>
        <v xml:space="preserve"> </v>
      </c>
      <c r="CO66" s="2" t="str">
        <f t="shared" si="32"/>
        <v xml:space="preserve"> </v>
      </c>
      <c r="CP66" s="2" t="str">
        <f t="shared" si="32"/>
        <v>.</v>
      </c>
      <c r="CQ66" s="2" t="str">
        <f t="shared" si="32"/>
        <v xml:space="preserve"> </v>
      </c>
      <c r="CR66" s="2" t="str">
        <f t="shared" si="32"/>
        <v xml:space="preserve"> </v>
      </c>
    </row>
    <row r="67" spans="1:96">
      <c r="A67" s="21" t="str">
        <f>VLOOKUP(L67,Ubicacion!A:K,2,FALSE)</f>
        <v>LI3BR</v>
      </c>
      <c r="B67" s="21" t="str">
        <f>VLOOKUP(L67,Ubicacion!A:K,3,FALSE)</f>
        <v>LI3BC10</v>
      </c>
      <c r="C67" s="21" t="str">
        <f>VLOOKUP(L67,Ubicacion!A:K,4,FALSE)</f>
        <v>LIMA</v>
      </c>
      <c r="D67" s="21" t="str">
        <f>VLOOKUP(L67,Ubicacion!A:K,5,FALSE)</f>
        <v>PACHACAMAC</v>
      </c>
      <c r="E67" s="21" t="str">
        <f>VLOOKUP(L67,Ubicacion!A:K,6,FALSE)</f>
        <v>Grifo</v>
      </c>
      <c r="F67" s="21" t="str">
        <f>VLOOKUP(L67,Ubicacion!A:K,7,FALSE)</f>
        <v>09:00 - 17:00</v>
      </c>
      <c r="G67" s="21" t="str">
        <f>VLOOKUP(L67,Ubicacion!A:K,8,FALSE)</f>
        <v>SUNDAY</v>
      </c>
      <c r="H67" s="21">
        <f>VLOOKUP(L67,Ubicacion!A:K,9,FALSE)</f>
        <v>2</v>
      </c>
      <c r="I67" s="21">
        <f>VLOOKUP(L67,Ubicacion!A:K,10,FALSE)</f>
        <v>-12.2273670605452</v>
      </c>
      <c r="J67" s="21">
        <f>VLOOKUP(L67,Ubicacion!A:K,11,FALSE)</f>
        <v>-76.859013381069801</v>
      </c>
      <c r="K67" s="21" t="str">
        <f t="shared" si="3"/>
        <v>46172Grupo 4</v>
      </c>
      <c r="L67" s="21" t="s">
        <v>119</v>
      </c>
      <c r="M67" s="21">
        <v>1</v>
      </c>
      <c r="N67" s="24" t="s">
        <v>186</v>
      </c>
      <c r="O67" s="24" t="s">
        <v>193</v>
      </c>
      <c r="P67" s="23">
        <v>46172</v>
      </c>
      <c r="Q67" s="23">
        <f t="shared" si="14"/>
        <v>46172</v>
      </c>
      <c r="R67" s="24" t="str">
        <f ca="1">IF($A$1&lt;Q67,"On-time",IF(AND(Q67&lt;=$A$1,BJ67="OK"),"OK","NO OK"))</f>
        <v>On-time</v>
      </c>
      <c r="S67" s="24" t="str">
        <f t="shared" si="4"/>
        <v>SATURDAY</v>
      </c>
      <c r="T67" s="24">
        <f>VLOOKUP(L67,Ubicacion!A:AE,13,FALSE)</f>
        <v>15</v>
      </c>
      <c r="U67" s="24">
        <f>VLOOKUP(L67,Ubicacion!A:AE,14,FALSE)</f>
        <v>18</v>
      </c>
      <c r="V67" s="24">
        <f>VLOOKUP(L67,Ubicacion!A:AE,15,FALSE)</f>
        <v>2</v>
      </c>
      <c r="W67" s="24">
        <f>VLOOKUP(L67,Ubicacion!A:AE,16,FALSE)</f>
        <v>4</v>
      </c>
      <c r="X67" s="24">
        <f>VLOOKUP(L67,Ubicacion!A:AE,17,FALSE)</f>
        <v>4</v>
      </c>
      <c r="Y67" s="24">
        <f>VLOOKUP(L67,Ubicacion!A:AE,18,FALSE)</f>
        <v>0</v>
      </c>
      <c r="Z67" s="24">
        <f>VLOOKUP(L67,Ubicacion!A:AE,19,FALSE)</f>
        <v>0</v>
      </c>
      <c r="AA67" s="24">
        <f>VLOOKUP(L67,Ubicacion!A:AE,20,FALSE)</f>
        <v>0</v>
      </c>
      <c r="AB67" s="24">
        <f>VLOOKUP(L67,Ubicacion!A:AE,21,FALSE)</f>
        <v>0</v>
      </c>
      <c r="AC67" s="24">
        <f>VLOOKUP(L67,Ubicacion!A:AE,22,FALSE)</f>
        <v>4</v>
      </c>
      <c r="AD67" s="24">
        <f>VLOOKUP(L67,Ubicacion!A:AE,23,FALSE)</f>
        <v>30</v>
      </c>
      <c r="AE67" s="24">
        <f>VLOOKUP(L67,Ubicacion!A:AE,24,FALSE)</f>
        <v>0</v>
      </c>
      <c r="AF67" s="24">
        <f>VLOOKUP(L67,Ubicacion!A:AE,25,FALSE)</f>
        <v>0</v>
      </c>
      <c r="AG67" s="24">
        <f>VLOOKUP(L67,Ubicacion!A:AE,26,FALSE)</f>
        <v>34</v>
      </c>
      <c r="AH67" s="24">
        <f>VLOOKUP(L67,Ubicacion!A:AE,27,FALSE)</f>
        <v>2</v>
      </c>
      <c r="AI67" s="24">
        <f>VLOOKUP(L67,Ubicacion!A:AE,28,FALSE)</f>
        <v>5</v>
      </c>
      <c r="AJ67" s="24">
        <f>VLOOKUP(L67,Ubicacion!A:AE,29,FALSE)</f>
        <v>3</v>
      </c>
      <c r="AK67" s="24">
        <f>VLOOKUP(L67,Ubicacion!A:AE,30,FALSE)</f>
        <v>1</v>
      </c>
      <c r="AL67" s="24">
        <f>VLOOKUP(L67,Ubicacion!A:AE,31,FALSE)</f>
        <v>1</v>
      </c>
      <c r="AM67" s="25">
        <f t="shared" si="15"/>
        <v>0.66666666666666663</v>
      </c>
      <c r="AN67" s="25">
        <f t="shared" si="16"/>
        <v>5.5555555555555552E-2</v>
      </c>
      <c r="AO67" s="25">
        <f t="shared" si="17"/>
        <v>1</v>
      </c>
      <c r="AP67" s="25">
        <f t="shared" si="18"/>
        <v>0.5</v>
      </c>
      <c r="AQ67" s="25">
        <f t="shared" si="19"/>
        <v>0.5</v>
      </c>
      <c r="AR67" s="25" t="str">
        <f t="shared" si="20"/>
        <v>100%</v>
      </c>
      <c r="AS67" s="25" t="str">
        <f t="shared" si="21"/>
        <v>100%</v>
      </c>
      <c r="AT67" s="25" t="str">
        <f t="shared" si="22"/>
        <v>100%</v>
      </c>
      <c r="AU67" s="25" t="str">
        <f t="shared" si="23"/>
        <v>100%</v>
      </c>
      <c r="AV67" s="24">
        <v>10</v>
      </c>
      <c r="AW67" s="24">
        <v>1</v>
      </c>
      <c r="AX67" s="24">
        <v>2</v>
      </c>
      <c r="AY67" s="24">
        <v>2</v>
      </c>
      <c r="AZ67" s="24">
        <v>2</v>
      </c>
      <c r="BA67" s="24">
        <v>1</v>
      </c>
      <c r="BB67" s="24">
        <v>2</v>
      </c>
      <c r="BC67" s="24">
        <v>1</v>
      </c>
      <c r="BD67" s="24">
        <v>1</v>
      </c>
      <c r="BE67" s="24" t="s">
        <v>184</v>
      </c>
      <c r="BF67" s="24" t="s">
        <v>184</v>
      </c>
      <c r="BG67" s="24" t="s">
        <v>183</v>
      </c>
      <c r="BH67" s="24" t="s">
        <v>183</v>
      </c>
      <c r="BI67" s="24" t="s">
        <v>183</v>
      </c>
      <c r="BJ67" s="24" t="s">
        <v>183</v>
      </c>
      <c r="BK67" s="24"/>
      <c r="BL67" s="24"/>
      <c r="BM67" s="57"/>
      <c r="BN67" s="2" t="str">
        <f t="shared" si="30"/>
        <v xml:space="preserve"> </v>
      </c>
      <c r="BO67" s="2" t="str">
        <f t="shared" si="30"/>
        <v xml:space="preserve"> </v>
      </c>
      <c r="BP67" s="2" t="str">
        <f t="shared" si="30"/>
        <v xml:space="preserve"> </v>
      </c>
      <c r="BQ67" s="2" t="str">
        <f t="shared" si="30"/>
        <v xml:space="preserve"> </v>
      </c>
      <c r="BR67" s="2" t="str">
        <f t="shared" si="30"/>
        <v xml:space="preserve"> </v>
      </c>
      <c r="BS67" s="2" t="str">
        <f t="shared" si="30"/>
        <v xml:space="preserve"> </v>
      </c>
      <c r="BT67" s="2" t="str">
        <f t="shared" si="30"/>
        <v xml:space="preserve"> </v>
      </c>
      <c r="BU67" s="2" t="str">
        <f t="shared" si="30"/>
        <v xml:space="preserve"> </v>
      </c>
      <c r="BV67" s="2" t="str">
        <f t="shared" si="30"/>
        <v xml:space="preserve"> </v>
      </c>
      <c r="BW67" s="2" t="str">
        <f t="shared" si="30"/>
        <v xml:space="preserve"> </v>
      </c>
      <c r="BX67" s="2" t="str">
        <f t="shared" si="30"/>
        <v xml:space="preserve"> </v>
      </c>
      <c r="BY67" s="2" t="str">
        <f t="shared" si="30"/>
        <v xml:space="preserve"> </v>
      </c>
      <c r="BZ67" s="2" t="str">
        <f t="shared" si="30"/>
        <v xml:space="preserve"> </v>
      </c>
      <c r="CA67" s="2" t="str">
        <f t="shared" si="30"/>
        <v xml:space="preserve"> </v>
      </c>
      <c r="CB67" s="2" t="str">
        <f t="shared" si="30"/>
        <v xml:space="preserve"> </v>
      </c>
      <c r="CC67" s="2" t="str">
        <f t="shared" si="30"/>
        <v xml:space="preserve"> </v>
      </c>
      <c r="CD67" s="2" t="str">
        <f t="shared" si="29"/>
        <v xml:space="preserve"> </v>
      </c>
      <c r="CE67" s="2" t="str">
        <f t="shared" si="29"/>
        <v xml:space="preserve"> </v>
      </c>
      <c r="CF67" s="2" t="str">
        <f t="shared" si="29"/>
        <v xml:space="preserve"> </v>
      </c>
      <c r="CG67" s="2" t="str">
        <f t="shared" si="29"/>
        <v xml:space="preserve"> </v>
      </c>
      <c r="CH67" s="2" t="str">
        <f t="shared" si="29"/>
        <v xml:space="preserve"> </v>
      </c>
      <c r="CI67" s="2" t="str">
        <f t="shared" si="29"/>
        <v xml:space="preserve"> </v>
      </c>
      <c r="CJ67" s="2" t="str">
        <f t="shared" si="32"/>
        <v xml:space="preserve"> </v>
      </c>
      <c r="CK67" s="2" t="str">
        <f t="shared" si="32"/>
        <v xml:space="preserve"> </v>
      </c>
      <c r="CL67" s="2" t="str">
        <f t="shared" si="32"/>
        <v xml:space="preserve"> </v>
      </c>
      <c r="CM67" s="2" t="str">
        <f t="shared" si="32"/>
        <v xml:space="preserve"> </v>
      </c>
      <c r="CN67" s="2" t="str">
        <f t="shared" si="32"/>
        <v xml:space="preserve"> </v>
      </c>
      <c r="CO67" s="2" t="str">
        <f t="shared" si="32"/>
        <v xml:space="preserve"> </v>
      </c>
      <c r="CP67" s="2" t="str">
        <f t="shared" si="32"/>
        <v xml:space="preserve"> </v>
      </c>
      <c r="CQ67" s="2" t="str">
        <f t="shared" si="32"/>
        <v>.</v>
      </c>
      <c r="CR67" s="2" t="str">
        <f t="shared" si="32"/>
        <v xml:space="preserve"> </v>
      </c>
    </row>
    <row r="68" spans="1:96">
      <c r="A68" s="21" t="str">
        <f>VLOOKUP(L68,Ubicacion!A:K,2,FALSE)</f>
        <v>LI3BR</v>
      </c>
      <c r="B68" s="21" t="str">
        <f>VLOOKUP(L68,Ubicacion!A:K,3,FALSE)</f>
        <v>LI2BC13</v>
      </c>
      <c r="C68" s="21" t="str">
        <f>VLOOKUP(L68,Ubicacion!A:K,4,FALSE)</f>
        <v>LIMA</v>
      </c>
      <c r="D68" s="21" t="str">
        <f>VLOOKUP(L68,Ubicacion!A:K,5,FALSE)</f>
        <v>SAN BORJA</v>
      </c>
      <c r="E68" s="21" t="str">
        <f>VLOOKUP(L68,Ubicacion!A:K,6,FALSE)</f>
        <v>Grifo</v>
      </c>
      <c r="F68" s="21" t="str">
        <f>VLOOKUP(L68,Ubicacion!A:K,7,FALSE)</f>
        <v>09:00 - 17:00</v>
      </c>
      <c r="G68" s="21" t="str">
        <f>VLOOKUP(L68,Ubicacion!A:K,8,FALSE)</f>
        <v>MONDAY</v>
      </c>
      <c r="H68" s="21">
        <f>VLOOKUP(L68,Ubicacion!A:K,9,FALSE)</f>
        <v>2</v>
      </c>
      <c r="I68" s="21">
        <f>VLOOKUP(L68,Ubicacion!A:K,10,FALSE)</f>
        <v>-12.0997697041376</v>
      </c>
      <c r="J68" s="21">
        <f>VLOOKUP(L68,Ubicacion!A:K,11,FALSE)</f>
        <v>-77.001743566445597</v>
      </c>
      <c r="K68" s="21" t="str">
        <f t="shared" si="3"/>
        <v>46173Grupo 4</v>
      </c>
      <c r="L68" s="21" t="s">
        <v>120</v>
      </c>
      <c r="M68" s="21">
        <v>1</v>
      </c>
      <c r="N68" s="24" t="s">
        <v>186</v>
      </c>
      <c r="O68" s="24" t="s">
        <v>193</v>
      </c>
      <c r="P68" s="23">
        <v>46173</v>
      </c>
      <c r="Q68" s="23">
        <f t="shared" si="14"/>
        <v>46173</v>
      </c>
      <c r="R68" s="24" t="str">
        <f ca="1">IF($A$1&lt;Q68,"On-time",IF(AND(Q68&lt;=$A$1,BJ68="OK"),"OK","NO OK"))</f>
        <v>On-time</v>
      </c>
      <c r="S68" s="24" t="str">
        <f t="shared" si="4"/>
        <v>SUNDAY</v>
      </c>
      <c r="T68" s="24">
        <f>VLOOKUP(L68,Ubicacion!A:AE,13,FALSE)</f>
        <v>15</v>
      </c>
      <c r="U68" s="24">
        <f>VLOOKUP(L68,Ubicacion!A:AE,14,FALSE)</f>
        <v>18</v>
      </c>
      <c r="V68" s="24">
        <f>VLOOKUP(L68,Ubicacion!A:AE,15,FALSE)</f>
        <v>2</v>
      </c>
      <c r="W68" s="24">
        <f>VLOOKUP(L68,Ubicacion!A:AE,16,FALSE)</f>
        <v>4</v>
      </c>
      <c r="X68" s="24">
        <f>VLOOKUP(L68,Ubicacion!A:AE,17,FALSE)</f>
        <v>4</v>
      </c>
      <c r="Y68" s="24">
        <f>VLOOKUP(L68,Ubicacion!A:AE,18,FALSE)</f>
        <v>0</v>
      </c>
      <c r="Z68" s="24">
        <f>VLOOKUP(L68,Ubicacion!A:AE,19,FALSE)</f>
        <v>0</v>
      </c>
      <c r="AA68" s="24">
        <f>VLOOKUP(L68,Ubicacion!A:AE,20,FALSE)</f>
        <v>0</v>
      </c>
      <c r="AB68" s="24">
        <f>VLOOKUP(L68,Ubicacion!A:AE,21,FALSE)</f>
        <v>0</v>
      </c>
      <c r="AC68" s="24">
        <f>VLOOKUP(L68,Ubicacion!A:AE,22,FALSE)</f>
        <v>4</v>
      </c>
      <c r="AD68" s="24">
        <f>VLOOKUP(L68,Ubicacion!A:AE,23,FALSE)</f>
        <v>30</v>
      </c>
      <c r="AE68" s="24">
        <f>VLOOKUP(L68,Ubicacion!A:AE,24,FALSE)</f>
        <v>0</v>
      </c>
      <c r="AF68" s="24">
        <f>VLOOKUP(L68,Ubicacion!A:AE,25,FALSE)</f>
        <v>0</v>
      </c>
      <c r="AG68" s="24">
        <f>VLOOKUP(L68,Ubicacion!A:AE,26,FALSE)</f>
        <v>34</v>
      </c>
      <c r="AH68" s="24">
        <f>VLOOKUP(L68,Ubicacion!A:AE,27,FALSE)</f>
        <v>2</v>
      </c>
      <c r="AI68" s="24">
        <f>VLOOKUP(L68,Ubicacion!A:AE,28,FALSE)</f>
        <v>5</v>
      </c>
      <c r="AJ68" s="24">
        <f>VLOOKUP(L68,Ubicacion!A:AE,29,FALSE)</f>
        <v>3</v>
      </c>
      <c r="AK68" s="24">
        <f>VLOOKUP(L68,Ubicacion!A:AE,30,FALSE)</f>
        <v>1</v>
      </c>
      <c r="AL68" s="24">
        <f>VLOOKUP(L68,Ubicacion!A:AE,31,FALSE)</f>
        <v>1</v>
      </c>
      <c r="AM68" s="25">
        <f t="shared" si="15"/>
        <v>0.66666666666666663</v>
      </c>
      <c r="AN68" s="25">
        <f t="shared" si="16"/>
        <v>5.5555555555555552E-2</v>
      </c>
      <c r="AO68" s="25">
        <f t="shared" si="17"/>
        <v>1</v>
      </c>
      <c r="AP68" s="25">
        <f t="shared" si="18"/>
        <v>0.5</v>
      </c>
      <c r="AQ68" s="25">
        <f t="shared" si="19"/>
        <v>0.5</v>
      </c>
      <c r="AR68" s="25" t="str">
        <f t="shared" si="20"/>
        <v>100%</v>
      </c>
      <c r="AS68" s="25" t="str">
        <f t="shared" si="21"/>
        <v>100%</v>
      </c>
      <c r="AT68" s="25" t="str">
        <f t="shared" si="22"/>
        <v>100%</v>
      </c>
      <c r="AU68" s="25" t="str">
        <f t="shared" si="23"/>
        <v>100%</v>
      </c>
      <c r="AV68" s="24">
        <v>10</v>
      </c>
      <c r="AW68" s="24">
        <v>1</v>
      </c>
      <c r="AX68" s="24">
        <v>2</v>
      </c>
      <c r="AY68" s="24">
        <v>2</v>
      </c>
      <c r="AZ68" s="24">
        <v>2</v>
      </c>
      <c r="BA68" s="24">
        <v>1</v>
      </c>
      <c r="BB68" s="24">
        <v>2</v>
      </c>
      <c r="BC68" s="24">
        <v>1</v>
      </c>
      <c r="BD68" s="24">
        <v>1</v>
      </c>
      <c r="BE68" s="24" t="s">
        <v>184</v>
      </c>
      <c r="BF68" s="24" t="s">
        <v>184</v>
      </c>
      <c r="BG68" s="24" t="s">
        <v>183</v>
      </c>
      <c r="BH68" s="24" t="s">
        <v>183</v>
      </c>
      <c r="BI68" s="24" t="s">
        <v>183</v>
      </c>
      <c r="BJ68" s="24" t="s">
        <v>183</v>
      </c>
      <c r="BK68" s="24"/>
      <c r="BL68" s="24"/>
      <c r="BM68" s="57"/>
      <c r="BN68" s="2" t="str">
        <f t="shared" si="30"/>
        <v xml:space="preserve"> </v>
      </c>
      <c r="BO68" s="2" t="str">
        <f t="shared" si="30"/>
        <v xml:space="preserve"> </v>
      </c>
      <c r="BP68" s="2" t="str">
        <f t="shared" si="30"/>
        <v xml:space="preserve"> </v>
      </c>
      <c r="BQ68" s="2" t="str">
        <f t="shared" si="30"/>
        <v xml:space="preserve"> </v>
      </c>
      <c r="BR68" s="2" t="str">
        <f t="shared" si="30"/>
        <v xml:space="preserve"> </v>
      </c>
      <c r="BS68" s="2" t="str">
        <f t="shared" si="30"/>
        <v xml:space="preserve"> </v>
      </c>
      <c r="BT68" s="2" t="str">
        <f t="shared" si="30"/>
        <v xml:space="preserve"> </v>
      </c>
      <c r="BU68" s="2" t="str">
        <f t="shared" si="30"/>
        <v xml:space="preserve"> </v>
      </c>
      <c r="BV68" s="2" t="str">
        <f t="shared" si="30"/>
        <v xml:space="preserve"> </v>
      </c>
      <c r="BW68" s="2" t="str">
        <f t="shared" si="30"/>
        <v xml:space="preserve"> </v>
      </c>
      <c r="BX68" s="2" t="str">
        <f t="shared" si="30"/>
        <v xml:space="preserve"> </v>
      </c>
      <c r="BY68" s="2" t="str">
        <f t="shared" si="30"/>
        <v xml:space="preserve"> </v>
      </c>
      <c r="BZ68" s="2" t="str">
        <f t="shared" si="30"/>
        <v xml:space="preserve"> </v>
      </c>
      <c r="CA68" s="2" t="str">
        <f t="shared" si="30"/>
        <v xml:space="preserve"> </v>
      </c>
      <c r="CB68" s="2" t="str">
        <f t="shared" si="30"/>
        <v xml:space="preserve"> </v>
      </c>
      <c r="CC68" s="2" t="str">
        <f t="shared" si="30"/>
        <v xml:space="preserve"> </v>
      </c>
      <c r="CD68" s="2" t="str">
        <f t="shared" si="29"/>
        <v xml:space="preserve"> </v>
      </c>
      <c r="CE68" s="2" t="str">
        <f t="shared" si="29"/>
        <v xml:space="preserve"> </v>
      </c>
      <c r="CF68" s="2" t="str">
        <f t="shared" si="29"/>
        <v xml:space="preserve"> </v>
      </c>
      <c r="CG68" s="2" t="str">
        <f t="shared" si="29"/>
        <v xml:space="preserve"> </v>
      </c>
      <c r="CH68" s="2" t="str">
        <f t="shared" si="29"/>
        <v xml:space="preserve"> </v>
      </c>
      <c r="CI68" s="2" t="str">
        <f t="shared" si="29"/>
        <v xml:space="preserve"> </v>
      </c>
      <c r="CJ68" s="2" t="str">
        <f t="shared" si="32"/>
        <v xml:space="preserve"> </v>
      </c>
      <c r="CK68" s="2" t="str">
        <f t="shared" si="32"/>
        <v xml:space="preserve"> </v>
      </c>
      <c r="CL68" s="2" t="str">
        <f t="shared" si="32"/>
        <v xml:space="preserve"> </v>
      </c>
      <c r="CM68" s="2" t="str">
        <f t="shared" si="32"/>
        <v xml:space="preserve"> </v>
      </c>
      <c r="CN68" s="2" t="str">
        <f t="shared" si="32"/>
        <v xml:space="preserve"> </v>
      </c>
      <c r="CO68" s="2" t="str">
        <f t="shared" si="32"/>
        <v xml:space="preserve"> </v>
      </c>
      <c r="CP68" s="2" t="str">
        <f t="shared" si="32"/>
        <v xml:space="preserve"> </v>
      </c>
      <c r="CQ68" s="2" t="str">
        <f t="shared" si="32"/>
        <v xml:space="preserve"> </v>
      </c>
      <c r="CR68" s="2" t="str">
        <f t="shared" si="32"/>
        <v>.</v>
      </c>
    </row>
    <row r="69" spans="1:96">
      <c r="A69" s="21" t="str">
        <f>VLOOKUP(L69,Ubicacion!A:K,2,FALSE)</f>
        <v>LI3BR</v>
      </c>
      <c r="B69" s="21" t="str">
        <f>VLOOKUP(L69,Ubicacion!A:K,3,FALSE)</f>
        <v>LI2BC13</v>
      </c>
      <c r="C69" s="21" t="str">
        <f>VLOOKUP(L69,Ubicacion!A:K,4,FALSE)</f>
        <v>LIMA</v>
      </c>
      <c r="D69" s="21" t="str">
        <f>VLOOKUP(L69,Ubicacion!A:K,5,FALSE)</f>
        <v>SAN BORJA</v>
      </c>
      <c r="E69" s="21" t="str">
        <f>VLOOKUP(L69,Ubicacion!A:K,6,FALSE)</f>
        <v>Grifo</v>
      </c>
      <c r="F69" s="21" t="str">
        <f>VLOOKUP(L69,Ubicacion!A:K,7,FALSE)</f>
        <v>09:00 - 17:00</v>
      </c>
      <c r="G69" s="21" t="str">
        <f>VLOOKUP(L69,Ubicacion!A:K,8,FALSE)</f>
        <v>TUESDAY</v>
      </c>
      <c r="H69" s="21">
        <f>VLOOKUP(L69,Ubicacion!A:K,9,FALSE)</f>
        <v>2</v>
      </c>
      <c r="I69" s="21">
        <f>VLOOKUP(L69,Ubicacion!A:K,10,FALSE)</f>
        <v>-12.100696190402401</v>
      </c>
      <c r="J69" s="21">
        <f>VLOOKUP(L69,Ubicacion!A:K,11,FALSE)</f>
        <v>-76.994530278312894</v>
      </c>
      <c r="K69" s="21" t="str">
        <f t="shared" si="3"/>
        <v>46143Grupo 4</v>
      </c>
      <c r="L69" s="21" t="s">
        <v>121</v>
      </c>
      <c r="M69" s="21">
        <v>1</v>
      </c>
      <c r="N69" s="24" t="s">
        <v>186</v>
      </c>
      <c r="O69" s="24" t="s">
        <v>193</v>
      </c>
      <c r="P69" s="23">
        <v>46143</v>
      </c>
      <c r="Q69" s="23">
        <f t="shared" si="14"/>
        <v>46143</v>
      </c>
      <c r="R69" s="24" t="str">
        <f ca="1">IF($A$1&lt;Q69,"On-time",IF(AND(Q69&lt;=$A$1,BJ69="OK"),"OK","NO OK"))</f>
        <v>OK</v>
      </c>
      <c r="S69" s="24" t="str">
        <f t="shared" si="4"/>
        <v>FRIDAY</v>
      </c>
      <c r="T69" s="24">
        <f>VLOOKUP(L69,Ubicacion!A:AE,13,FALSE)</f>
        <v>15</v>
      </c>
      <c r="U69" s="24">
        <f>VLOOKUP(L69,Ubicacion!A:AE,14,FALSE)</f>
        <v>18</v>
      </c>
      <c r="V69" s="24">
        <f>VLOOKUP(L69,Ubicacion!A:AE,15,FALSE)</f>
        <v>2</v>
      </c>
      <c r="W69" s="24">
        <f>VLOOKUP(L69,Ubicacion!A:AE,16,FALSE)</f>
        <v>4</v>
      </c>
      <c r="X69" s="24">
        <f>VLOOKUP(L69,Ubicacion!A:AE,17,FALSE)</f>
        <v>4</v>
      </c>
      <c r="Y69" s="24">
        <f>VLOOKUP(L69,Ubicacion!A:AE,18,FALSE)</f>
        <v>0</v>
      </c>
      <c r="Z69" s="24">
        <f>VLOOKUP(L69,Ubicacion!A:AE,19,FALSE)</f>
        <v>0</v>
      </c>
      <c r="AA69" s="24">
        <f>VLOOKUP(L69,Ubicacion!A:AE,20,FALSE)</f>
        <v>0</v>
      </c>
      <c r="AB69" s="24">
        <f>VLOOKUP(L69,Ubicacion!A:AE,21,FALSE)</f>
        <v>0</v>
      </c>
      <c r="AC69" s="24">
        <f>VLOOKUP(L69,Ubicacion!A:AE,22,FALSE)</f>
        <v>4</v>
      </c>
      <c r="AD69" s="24">
        <f>VLOOKUP(L69,Ubicacion!A:AE,23,FALSE)</f>
        <v>30</v>
      </c>
      <c r="AE69" s="24">
        <f>VLOOKUP(L69,Ubicacion!A:AE,24,FALSE)</f>
        <v>0</v>
      </c>
      <c r="AF69" s="24">
        <f>VLOOKUP(L69,Ubicacion!A:AE,25,FALSE)</f>
        <v>0</v>
      </c>
      <c r="AG69" s="24">
        <f>VLOOKUP(L69,Ubicacion!A:AE,26,FALSE)</f>
        <v>34</v>
      </c>
      <c r="AH69" s="24">
        <f>VLOOKUP(L69,Ubicacion!A:AE,27,FALSE)</f>
        <v>2</v>
      </c>
      <c r="AI69" s="24">
        <f>VLOOKUP(L69,Ubicacion!A:AE,28,FALSE)</f>
        <v>5</v>
      </c>
      <c r="AJ69" s="24">
        <f>VLOOKUP(L69,Ubicacion!A:AE,29,FALSE)</f>
        <v>3</v>
      </c>
      <c r="AK69" s="24">
        <f>VLOOKUP(L69,Ubicacion!A:AE,30,FALSE)</f>
        <v>1</v>
      </c>
      <c r="AL69" s="24">
        <f>VLOOKUP(L69,Ubicacion!A:AE,31,FALSE)</f>
        <v>1</v>
      </c>
      <c r="AM69" s="25">
        <f t="shared" si="15"/>
        <v>0.66666666666666663</v>
      </c>
      <c r="AN69" s="25">
        <f t="shared" si="16"/>
        <v>5.5555555555555552E-2</v>
      </c>
      <c r="AO69" s="25">
        <f t="shared" si="17"/>
        <v>1</v>
      </c>
      <c r="AP69" s="25">
        <f t="shared" si="18"/>
        <v>0.5</v>
      </c>
      <c r="AQ69" s="25">
        <f t="shared" si="19"/>
        <v>0.5</v>
      </c>
      <c r="AR69" s="25" t="str">
        <f t="shared" si="20"/>
        <v>100%</v>
      </c>
      <c r="AS69" s="25" t="str">
        <f t="shared" si="21"/>
        <v>100%</v>
      </c>
      <c r="AT69" s="25" t="str">
        <f t="shared" si="22"/>
        <v>100%</v>
      </c>
      <c r="AU69" s="25" t="str">
        <f t="shared" si="23"/>
        <v>100%</v>
      </c>
      <c r="AV69" s="24">
        <v>10</v>
      </c>
      <c r="AW69" s="24">
        <v>1</v>
      </c>
      <c r="AX69" s="24">
        <v>2</v>
      </c>
      <c r="AY69" s="24">
        <v>2</v>
      </c>
      <c r="AZ69" s="24">
        <v>2</v>
      </c>
      <c r="BA69" s="24">
        <v>1</v>
      </c>
      <c r="BB69" s="24">
        <v>2</v>
      </c>
      <c r="BC69" s="24">
        <v>1</v>
      </c>
      <c r="BD69" s="24">
        <v>1</v>
      </c>
      <c r="BE69" s="24" t="s">
        <v>184</v>
      </c>
      <c r="BF69" s="24" t="s">
        <v>184</v>
      </c>
      <c r="BG69" s="24" t="s">
        <v>183</v>
      </c>
      <c r="BH69" s="24" t="s">
        <v>183</v>
      </c>
      <c r="BI69" s="24" t="s">
        <v>183</v>
      </c>
      <c r="BJ69" s="24" t="s">
        <v>183</v>
      </c>
      <c r="BK69" s="24"/>
      <c r="BL69" s="24"/>
      <c r="BM69" s="57"/>
      <c r="BN69" s="2" t="str">
        <f t="shared" si="30"/>
        <v>.</v>
      </c>
      <c r="BO69" s="2" t="str">
        <f t="shared" si="30"/>
        <v xml:space="preserve"> </v>
      </c>
      <c r="BP69" s="2" t="str">
        <f t="shared" si="30"/>
        <v xml:space="preserve"> </v>
      </c>
      <c r="BQ69" s="2" t="str">
        <f t="shared" si="30"/>
        <v xml:space="preserve"> </v>
      </c>
      <c r="BR69" s="2" t="str">
        <f t="shared" si="30"/>
        <v xml:space="preserve"> </v>
      </c>
      <c r="BS69" s="2" t="str">
        <f t="shared" si="30"/>
        <v xml:space="preserve"> </v>
      </c>
      <c r="BT69" s="2" t="str">
        <f t="shared" si="30"/>
        <v xml:space="preserve"> </v>
      </c>
      <c r="BU69" s="2" t="str">
        <f t="shared" si="30"/>
        <v xml:space="preserve"> </v>
      </c>
      <c r="BV69" s="2" t="str">
        <f t="shared" si="30"/>
        <v xml:space="preserve"> </v>
      </c>
      <c r="BW69" s="2" t="str">
        <f t="shared" si="30"/>
        <v xml:space="preserve"> </v>
      </c>
      <c r="BX69" s="2" t="str">
        <f t="shared" si="30"/>
        <v xml:space="preserve"> </v>
      </c>
      <c r="BY69" s="2" t="str">
        <f t="shared" si="30"/>
        <v xml:space="preserve"> </v>
      </c>
      <c r="BZ69" s="2" t="str">
        <f t="shared" si="30"/>
        <v xml:space="preserve"> </v>
      </c>
      <c r="CA69" s="2" t="str">
        <f t="shared" si="30"/>
        <v xml:space="preserve"> </v>
      </c>
      <c r="CB69" s="2" t="str">
        <f t="shared" si="30"/>
        <v xml:space="preserve"> </v>
      </c>
      <c r="CC69" s="2" t="str">
        <f t="shared" si="30"/>
        <v xml:space="preserve"> </v>
      </c>
      <c r="CD69" s="2" t="str">
        <f t="shared" si="29"/>
        <v xml:space="preserve"> </v>
      </c>
      <c r="CE69" s="2" t="str">
        <f t="shared" si="29"/>
        <v xml:space="preserve"> </v>
      </c>
      <c r="CF69" s="2" t="str">
        <f t="shared" si="29"/>
        <v xml:space="preserve"> </v>
      </c>
      <c r="CG69" s="2" t="str">
        <f t="shared" si="29"/>
        <v xml:space="preserve"> </v>
      </c>
      <c r="CH69" s="2" t="str">
        <f t="shared" si="29"/>
        <v xml:space="preserve"> </v>
      </c>
      <c r="CI69" s="2" t="str">
        <f t="shared" si="29"/>
        <v xml:space="preserve"> </v>
      </c>
      <c r="CJ69" s="2" t="str">
        <f t="shared" si="32"/>
        <v xml:space="preserve"> </v>
      </c>
      <c r="CK69" s="2" t="str">
        <f t="shared" si="32"/>
        <v xml:space="preserve"> </v>
      </c>
      <c r="CL69" s="2" t="str">
        <f t="shared" si="32"/>
        <v xml:space="preserve"> </v>
      </c>
      <c r="CM69" s="2" t="str">
        <f t="shared" si="32"/>
        <v xml:space="preserve"> </v>
      </c>
      <c r="CN69" s="2" t="str">
        <f t="shared" si="32"/>
        <v xml:space="preserve"> </v>
      </c>
      <c r="CO69" s="2" t="str">
        <f t="shared" si="32"/>
        <v xml:space="preserve"> </v>
      </c>
      <c r="CP69" s="2" t="str">
        <f t="shared" si="32"/>
        <v xml:space="preserve"> </v>
      </c>
      <c r="CQ69" s="2" t="str">
        <f t="shared" si="32"/>
        <v xml:space="preserve"> </v>
      </c>
      <c r="CR69" s="2" t="str">
        <f t="shared" si="32"/>
        <v xml:space="preserve"> </v>
      </c>
    </row>
    <row r="70" spans="1:96">
      <c r="A70" s="21" t="str">
        <f>VLOOKUP(L70,Ubicacion!A:K,2,FALSE)</f>
        <v>LI3BR</v>
      </c>
      <c r="B70" s="21" t="str">
        <f>VLOOKUP(L70,Ubicacion!A:K,3,FALSE)</f>
        <v>LI2BC11</v>
      </c>
      <c r="C70" s="21" t="str">
        <f>VLOOKUP(L70,Ubicacion!A:K,4,FALSE)</f>
        <v>LIMA</v>
      </c>
      <c r="D70" s="21" t="str">
        <f>VLOOKUP(L70,Ubicacion!A:K,5,FALSE)</f>
        <v>LA MOLINA</v>
      </c>
      <c r="E70" s="21" t="str">
        <f>VLOOKUP(L70,Ubicacion!A:K,6,FALSE)</f>
        <v>Grifo</v>
      </c>
      <c r="F70" s="21" t="str">
        <f>VLOOKUP(L70,Ubicacion!A:K,7,FALSE)</f>
        <v>09:00 - 17:00</v>
      </c>
      <c r="G70" s="21" t="str">
        <f>VLOOKUP(L70,Ubicacion!A:K,8,FALSE)</f>
        <v>WEDNESDAY</v>
      </c>
      <c r="H70" s="21">
        <f>VLOOKUP(L70,Ubicacion!A:K,9,FALSE)</f>
        <v>3</v>
      </c>
      <c r="I70" s="21">
        <f>VLOOKUP(L70,Ubicacion!A:K,10,FALSE)</f>
        <v>-12.091566576891401</v>
      </c>
      <c r="J70" s="21">
        <f>VLOOKUP(L70,Ubicacion!A:K,11,FALSE)</f>
        <v>-76.950924906185406</v>
      </c>
      <c r="K70" s="21" t="str">
        <f t="shared" si="3"/>
        <v>46144Grupo 4</v>
      </c>
      <c r="L70" s="21" t="s">
        <v>122</v>
      </c>
      <c r="M70" s="21">
        <v>1</v>
      </c>
      <c r="N70" s="24" t="s">
        <v>186</v>
      </c>
      <c r="O70" s="24" t="s">
        <v>193</v>
      </c>
      <c r="P70" s="23">
        <v>46144</v>
      </c>
      <c r="Q70" s="23">
        <f t="shared" si="14"/>
        <v>46144</v>
      </c>
      <c r="R70" s="24" t="str">
        <f ca="1">IF($A$1&lt;Q70,"On-time",IF(AND(Q70&lt;=$A$1,BJ70="OK"),"OK","NO OK"))</f>
        <v>OK</v>
      </c>
      <c r="S70" s="24" t="str">
        <f t="shared" si="4"/>
        <v>SATURDAY</v>
      </c>
      <c r="T70" s="24">
        <f>VLOOKUP(L70,Ubicacion!A:AE,13,FALSE)</f>
        <v>15</v>
      </c>
      <c r="U70" s="24">
        <f>VLOOKUP(L70,Ubicacion!A:AE,14,FALSE)</f>
        <v>0</v>
      </c>
      <c r="V70" s="24">
        <f>VLOOKUP(L70,Ubicacion!A:AE,15,FALSE)</f>
        <v>10</v>
      </c>
      <c r="W70" s="24">
        <f>VLOOKUP(L70,Ubicacion!A:AE,16,FALSE)</f>
        <v>2</v>
      </c>
      <c r="X70" s="24">
        <f>VLOOKUP(L70,Ubicacion!A:AE,17,FALSE)</f>
        <v>2</v>
      </c>
      <c r="Y70" s="24">
        <f>VLOOKUP(L70,Ubicacion!A:AE,18,FALSE)</f>
        <v>0</v>
      </c>
      <c r="Z70" s="24">
        <f>VLOOKUP(L70,Ubicacion!A:AE,19,FALSE)</f>
        <v>0</v>
      </c>
      <c r="AA70" s="24">
        <f>VLOOKUP(L70,Ubicacion!A:AE,20,FALSE)</f>
        <v>0</v>
      </c>
      <c r="AB70" s="24">
        <f>VLOOKUP(L70,Ubicacion!A:AE,21,FALSE)</f>
        <v>0</v>
      </c>
      <c r="AC70" s="24">
        <f>VLOOKUP(L70,Ubicacion!A:AE,22,FALSE)</f>
        <v>4</v>
      </c>
      <c r="AD70" s="24">
        <f>VLOOKUP(L70,Ubicacion!A:AE,23,FALSE)</f>
        <v>80</v>
      </c>
      <c r="AE70" s="24">
        <f>VLOOKUP(L70,Ubicacion!A:AE,24,FALSE)</f>
        <v>0</v>
      </c>
      <c r="AF70" s="24">
        <f>VLOOKUP(L70,Ubicacion!A:AE,25,FALSE)</f>
        <v>0</v>
      </c>
      <c r="AG70" s="24">
        <f>VLOOKUP(L70,Ubicacion!A:AE,26,FALSE)</f>
        <v>84</v>
      </c>
      <c r="AH70" s="24">
        <f>VLOOKUP(L70,Ubicacion!A:AE,27,FALSE)</f>
        <v>2</v>
      </c>
      <c r="AI70" s="24">
        <f>VLOOKUP(L70,Ubicacion!A:AE,28,FALSE)</f>
        <v>5</v>
      </c>
      <c r="AJ70" s="24">
        <f>VLOOKUP(L70,Ubicacion!A:AE,29,FALSE)</f>
        <v>3</v>
      </c>
      <c r="AK70" s="24">
        <f>VLOOKUP(L70,Ubicacion!A:AE,30,FALSE)</f>
        <v>1</v>
      </c>
      <c r="AL70" s="24">
        <f>VLOOKUP(L70,Ubicacion!A:AE,31,FALSE)</f>
        <v>1</v>
      </c>
      <c r="AM70" s="25">
        <f t="shared" si="15"/>
        <v>0.66666666666666663</v>
      </c>
      <c r="AN70" s="25" t="str">
        <f t="shared" si="16"/>
        <v>100%</v>
      </c>
      <c r="AO70" s="25">
        <f t="shared" si="17"/>
        <v>0.2</v>
      </c>
      <c r="AP70" s="25">
        <f t="shared" si="18"/>
        <v>1</v>
      </c>
      <c r="AQ70" s="25">
        <f t="shared" si="19"/>
        <v>1</v>
      </c>
      <c r="AR70" s="25" t="str">
        <f t="shared" si="20"/>
        <v>100%</v>
      </c>
      <c r="AS70" s="25" t="str">
        <f t="shared" si="21"/>
        <v>100%</v>
      </c>
      <c r="AT70" s="25" t="str">
        <f t="shared" si="22"/>
        <v>100%</v>
      </c>
      <c r="AU70" s="25" t="str">
        <f t="shared" si="23"/>
        <v>100%</v>
      </c>
      <c r="AV70" s="24">
        <v>10</v>
      </c>
      <c r="AW70" s="24">
        <v>1</v>
      </c>
      <c r="AX70" s="24">
        <v>2</v>
      </c>
      <c r="AY70" s="24">
        <v>2</v>
      </c>
      <c r="AZ70" s="24">
        <v>2</v>
      </c>
      <c r="BA70" s="24">
        <v>1</v>
      </c>
      <c r="BB70" s="24">
        <v>2</v>
      </c>
      <c r="BC70" s="24">
        <v>1</v>
      </c>
      <c r="BD70" s="24">
        <v>1</v>
      </c>
      <c r="BE70" s="24" t="s">
        <v>184</v>
      </c>
      <c r="BF70" s="24" t="s">
        <v>184</v>
      </c>
      <c r="BG70" s="24" t="s">
        <v>183</v>
      </c>
      <c r="BH70" s="24" t="s">
        <v>183</v>
      </c>
      <c r="BI70" s="24" t="s">
        <v>183</v>
      </c>
      <c r="BJ70" s="24" t="s">
        <v>183</v>
      </c>
      <c r="BK70" s="24"/>
      <c r="BL70" s="24"/>
      <c r="BM70" s="57"/>
      <c r="BN70" s="2" t="str">
        <f t="shared" si="30"/>
        <v xml:space="preserve"> </v>
      </c>
      <c r="BO70" s="2" t="str">
        <f t="shared" si="30"/>
        <v>.</v>
      </c>
      <c r="BP70" s="2" t="str">
        <f t="shared" si="30"/>
        <v xml:space="preserve"> </v>
      </c>
      <c r="BQ70" s="2" t="str">
        <f t="shared" si="30"/>
        <v xml:space="preserve"> </v>
      </c>
      <c r="BR70" s="2" t="str">
        <f t="shared" si="30"/>
        <v xml:space="preserve"> </v>
      </c>
      <c r="BS70" s="2" t="str">
        <f t="shared" si="30"/>
        <v xml:space="preserve"> </v>
      </c>
      <c r="BT70" s="2" t="str">
        <f t="shared" si="30"/>
        <v xml:space="preserve"> </v>
      </c>
      <c r="BU70" s="2" t="str">
        <f t="shared" si="30"/>
        <v xml:space="preserve"> </v>
      </c>
      <c r="BV70" s="2" t="str">
        <f t="shared" si="30"/>
        <v xml:space="preserve"> </v>
      </c>
      <c r="BW70" s="2" t="str">
        <f t="shared" si="30"/>
        <v xml:space="preserve"> </v>
      </c>
      <c r="BX70" s="2" t="str">
        <f t="shared" si="30"/>
        <v xml:space="preserve"> </v>
      </c>
      <c r="BY70" s="2" t="str">
        <f t="shared" si="30"/>
        <v xml:space="preserve"> </v>
      </c>
      <c r="BZ70" s="2" t="str">
        <f t="shared" si="30"/>
        <v xml:space="preserve"> </v>
      </c>
      <c r="CA70" s="2" t="str">
        <f t="shared" si="30"/>
        <v xml:space="preserve"> </v>
      </c>
      <c r="CB70" s="2" t="str">
        <f t="shared" si="30"/>
        <v xml:space="preserve"> </v>
      </c>
      <c r="CC70" s="2" t="str">
        <f t="shared" si="30"/>
        <v xml:space="preserve"> </v>
      </c>
      <c r="CD70" s="2" t="str">
        <f t="shared" si="29"/>
        <v xml:space="preserve"> </v>
      </c>
      <c r="CE70" s="2" t="str">
        <f t="shared" si="29"/>
        <v xml:space="preserve"> </v>
      </c>
      <c r="CF70" s="2" t="str">
        <f t="shared" si="29"/>
        <v xml:space="preserve"> </v>
      </c>
      <c r="CG70" s="2" t="str">
        <f t="shared" si="29"/>
        <v xml:space="preserve"> </v>
      </c>
      <c r="CH70" s="2" t="str">
        <f t="shared" si="29"/>
        <v xml:space="preserve"> </v>
      </c>
      <c r="CI70" s="2" t="str">
        <f t="shared" si="29"/>
        <v xml:space="preserve"> </v>
      </c>
      <c r="CJ70" s="2" t="str">
        <f t="shared" si="32"/>
        <v xml:space="preserve"> </v>
      </c>
      <c r="CK70" s="2" t="str">
        <f t="shared" si="32"/>
        <v xml:space="preserve"> </v>
      </c>
      <c r="CL70" s="2" t="str">
        <f t="shared" si="32"/>
        <v xml:space="preserve"> </v>
      </c>
      <c r="CM70" s="2" t="str">
        <f t="shared" si="32"/>
        <v xml:space="preserve"> </v>
      </c>
      <c r="CN70" s="2" t="str">
        <f t="shared" si="32"/>
        <v xml:space="preserve"> </v>
      </c>
      <c r="CO70" s="2" t="str">
        <f t="shared" si="32"/>
        <v xml:space="preserve"> </v>
      </c>
      <c r="CP70" s="2" t="str">
        <f t="shared" si="32"/>
        <v xml:space="preserve"> </v>
      </c>
      <c r="CQ70" s="2" t="str">
        <f t="shared" si="32"/>
        <v xml:space="preserve"> </v>
      </c>
      <c r="CR70" s="2" t="str">
        <f t="shared" si="32"/>
        <v xml:space="preserve"> </v>
      </c>
    </row>
    <row r="71" spans="1:96">
      <c r="A71" s="21" t="str">
        <f>VLOOKUP(L71,Ubicacion!A:K,2,FALSE)</f>
        <v>LI3BR</v>
      </c>
      <c r="B71" s="21" t="str">
        <f>VLOOKUP(L71,Ubicacion!A:K,3,FALSE)</f>
        <v>LI2BC11</v>
      </c>
      <c r="C71" s="21" t="str">
        <f>VLOOKUP(L71,Ubicacion!A:K,4,FALSE)</f>
        <v>LIMA</v>
      </c>
      <c r="D71" s="21" t="str">
        <f>VLOOKUP(L71,Ubicacion!A:K,5,FALSE)</f>
        <v>LA MOLINA</v>
      </c>
      <c r="E71" s="21" t="str">
        <f>VLOOKUP(L71,Ubicacion!A:K,6,FALSE)</f>
        <v>Grifo</v>
      </c>
      <c r="F71" s="21" t="str">
        <f>VLOOKUP(L71,Ubicacion!A:K,7,FALSE)</f>
        <v>09:00 - 17:00</v>
      </c>
      <c r="G71" s="21" t="str">
        <f>VLOOKUP(L71,Ubicacion!A:K,8,FALSE)</f>
        <v>THURSDAY</v>
      </c>
      <c r="H71" s="21">
        <f>VLOOKUP(L71,Ubicacion!A:K,9,FALSE)</f>
        <v>3</v>
      </c>
      <c r="I71" s="21">
        <f>VLOOKUP(L71,Ubicacion!A:K,10,FALSE)</f>
        <v>-12.085993891545399</v>
      </c>
      <c r="J71" s="21">
        <f>VLOOKUP(L71,Ubicacion!A:K,11,FALSE)</f>
        <v>-76.889357714050703</v>
      </c>
      <c r="K71" s="21" t="str">
        <f t="shared" si="3"/>
        <v>46145Grupo 4</v>
      </c>
      <c r="L71" s="21" t="s">
        <v>123</v>
      </c>
      <c r="M71" s="21">
        <v>1</v>
      </c>
      <c r="N71" s="24" t="s">
        <v>186</v>
      </c>
      <c r="O71" s="24" t="s">
        <v>193</v>
      </c>
      <c r="P71" s="23">
        <v>46145</v>
      </c>
      <c r="Q71" s="23">
        <f t="shared" si="14"/>
        <v>46145</v>
      </c>
      <c r="R71" s="24" t="str">
        <f ca="1">IF($A$1&lt;Q71,"On-time",IF(AND(Q71&lt;=$A$1,BJ71="OK"),"OK","NO OK"))</f>
        <v>OK</v>
      </c>
      <c r="S71" s="24" t="str">
        <f t="shared" si="4"/>
        <v>SUNDAY</v>
      </c>
      <c r="T71" s="24">
        <f>VLOOKUP(L71,Ubicacion!A:AE,13,FALSE)</f>
        <v>15</v>
      </c>
      <c r="U71" s="24">
        <f>VLOOKUP(L71,Ubicacion!A:AE,14,FALSE)</f>
        <v>0</v>
      </c>
      <c r="V71" s="24">
        <f>VLOOKUP(L71,Ubicacion!A:AE,15,FALSE)</f>
        <v>0</v>
      </c>
      <c r="W71" s="24">
        <f>VLOOKUP(L71,Ubicacion!A:AE,16,FALSE)</f>
        <v>0</v>
      </c>
      <c r="X71" s="24">
        <f>VLOOKUP(L71,Ubicacion!A:AE,17,FALSE)</f>
        <v>0</v>
      </c>
      <c r="Y71" s="24">
        <f>VLOOKUP(L71,Ubicacion!A:AE,18,FALSE)</f>
        <v>0</v>
      </c>
      <c r="Z71" s="24">
        <f>VLOOKUP(L71,Ubicacion!A:AE,19,FALSE)</f>
        <v>0</v>
      </c>
      <c r="AA71" s="24">
        <f>VLOOKUP(L71,Ubicacion!A:AE,20,FALSE)</f>
        <v>5</v>
      </c>
      <c r="AB71" s="24">
        <f>VLOOKUP(L71,Ubicacion!A:AE,21,FALSE)</f>
        <v>20</v>
      </c>
      <c r="AC71" s="24">
        <f>VLOOKUP(L71,Ubicacion!A:AE,22,FALSE)</f>
        <v>3</v>
      </c>
      <c r="AD71" s="24">
        <f>VLOOKUP(L71,Ubicacion!A:AE,23,FALSE)</f>
        <v>0</v>
      </c>
      <c r="AE71" s="24">
        <f>VLOOKUP(L71,Ubicacion!A:AE,24,FALSE)</f>
        <v>0</v>
      </c>
      <c r="AF71" s="24">
        <f>VLOOKUP(L71,Ubicacion!A:AE,25,FALSE)</f>
        <v>0</v>
      </c>
      <c r="AG71" s="24">
        <f>VLOOKUP(L71,Ubicacion!A:AE,26,FALSE)</f>
        <v>3</v>
      </c>
      <c r="AH71" s="24">
        <f>VLOOKUP(L71,Ubicacion!A:AE,27,FALSE)</f>
        <v>2</v>
      </c>
      <c r="AI71" s="24">
        <f>VLOOKUP(L71,Ubicacion!A:AE,28,FALSE)</f>
        <v>5</v>
      </c>
      <c r="AJ71" s="24">
        <f>VLOOKUP(L71,Ubicacion!A:AE,29,FALSE)</f>
        <v>3</v>
      </c>
      <c r="AK71" s="24">
        <f>VLOOKUP(L71,Ubicacion!A:AE,30,FALSE)</f>
        <v>1</v>
      </c>
      <c r="AL71" s="24">
        <f>VLOOKUP(L71,Ubicacion!A:AE,31,FALSE)</f>
        <v>1</v>
      </c>
      <c r="AM71" s="25">
        <f t="shared" si="15"/>
        <v>0.66666666666666663</v>
      </c>
      <c r="AN71" s="25" t="str">
        <f t="shared" si="16"/>
        <v>100%</v>
      </c>
      <c r="AO71" s="25" t="str">
        <f t="shared" si="17"/>
        <v>100%</v>
      </c>
      <c r="AP71" s="25" t="str">
        <f t="shared" si="18"/>
        <v>100%</v>
      </c>
      <c r="AQ71" s="25" t="str">
        <f t="shared" si="19"/>
        <v>100%</v>
      </c>
      <c r="AR71" s="25" t="str">
        <f t="shared" si="20"/>
        <v>100%</v>
      </c>
      <c r="AS71" s="25" t="str">
        <f t="shared" si="21"/>
        <v>100%</v>
      </c>
      <c r="AT71" s="25">
        <f t="shared" si="22"/>
        <v>0.2</v>
      </c>
      <c r="AU71" s="25">
        <f t="shared" si="23"/>
        <v>0.05</v>
      </c>
      <c r="AV71" s="24">
        <v>10</v>
      </c>
      <c r="AW71" s="24">
        <v>1</v>
      </c>
      <c r="AX71" s="24">
        <v>2</v>
      </c>
      <c r="AY71" s="24">
        <v>2</v>
      </c>
      <c r="AZ71" s="24">
        <v>2</v>
      </c>
      <c r="BA71" s="24">
        <v>1</v>
      </c>
      <c r="BB71" s="24">
        <v>2</v>
      </c>
      <c r="BC71" s="24">
        <v>1</v>
      </c>
      <c r="BD71" s="24">
        <v>1</v>
      </c>
      <c r="BE71" s="24" t="s">
        <v>184</v>
      </c>
      <c r="BF71" s="24" t="s">
        <v>184</v>
      </c>
      <c r="BG71" s="24" t="s">
        <v>183</v>
      </c>
      <c r="BH71" s="24" t="s">
        <v>183</v>
      </c>
      <c r="BI71" s="24" t="s">
        <v>183</v>
      </c>
      <c r="BJ71" s="24" t="s">
        <v>183</v>
      </c>
      <c r="BK71" s="24"/>
      <c r="BL71" s="24"/>
      <c r="BM71" s="57"/>
      <c r="BN71" s="2" t="str">
        <f t="shared" si="30"/>
        <v xml:space="preserve"> </v>
      </c>
      <c r="BO71" s="2" t="str">
        <f t="shared" si="30"/>
        <v xml:space="preserve"> </v>
      </c>
      <c r="BP71" s="2" t="str">
        <f t="shared" si="30"/>
        <v>.</v>
      </c>
      <c r="BQ71" s="2" t="str">
        <f t="shared" si="30"/>
        <v xml:space="preserve"> </v>
      </c>
      <c r="BR71" s="2" t="str">
        <f t="shared" si="30"/>
        <v xml:space="preserve"> </v>
      </c>
      <c r="BS71" s="2" t="str">
        <f t="shared" si="30"/>
        <v xml:space="preserve"> </v>
      </c>
      <c r="BT71" s="2" t="str">
        <f t="shared" si="30"/>
        <v xml:space="preserve"> </v>
      </c>
      <c r="BU71" s="2" t="str">
        <f t="shared" si="30"/>
        <v xml:space="preserve"> </v>
      </c>
      <c r="BV71" s="2" t="str">
        <f t="shared" si="30"/>
        <v xml:space="preserve"> </v>
      </c>
      <c r="BW71" s="2" t="str">
        <f t="shared" si="30"/>
        <v xml:space="preserve"> </v>
      </c>
      <c r="BX71" s="2" t="str">
        <f t="shared" si="30"/>
        <v xml:space="preserve"> </v>
      </c>
      <c r="BY71" s="2" t="str">
        <f t="shared" si="30"/>
        <v xml:space="preserve"> </v>
      </c>
      <c r="BZ71" s="2" t="str">
        <f t="shared" si="30"/>
        <v xml:space="preserve"> </v>
      </c>
      <c r="CA71" s="2" t="str">
        <f t="shared" si="30"/>
        <v xml:space="preserve"> </v>
      </c>
      <c r="CB71" s="2" t="str">
        <f t="shared" si="30"/>
        <v xml:space="preserve"> </v>
      </c>
      <c r="CC71" s="2" t="str">
        <f t="shared" si="30"/>
        <v xml:space="preserve"> </v>
      </c>
      <c r="CD71" s="2" t="str">
        <f t="shared" si="29"/>
        <v xml:space="preserve"> </v>
      </c>
      <c r="CE71" s="2" t="str">
        <f t="shared" si="29"/>
        <v xml:space="preserve"> </v>
      </c>
      <c r="CF71" s="2" t="str">
        <f t="shared" si="29"/>
        <v xml:space="preserve"> </v>
      </c>
      <c r="CG71" s="2" t="str">
        <f t="shared" si="29"/>
        <v xml:space="preserve"> </v>
      </c>
      <c r="CH71" s="2" t="str">
        <f t="shared" si="29"/>
        <v xml:space="preserve"> </v>
      </c>
      <c r="CI71" s="2" t="str">
        <f t="shared" si="29"/>
        <v xml:space="preserve"> </v>
      </c>
      <c r="CJ71" s="2" t="str">
        <f t="shared" si="32"/>
        <v xml:space="preserve"> </v>
      </c>
      <c r="CK71" s="2" t="str">
        <f t="shared" si="32"/>
        <v xml:space="preserve"> </v>
      </c>
      <c r="CL71" s="2" t="str">
        <f t="shared" si="32"/>
        <v xml:space="preserve"> </v>
      </c>
      <c r="CM71" s="2" t="str">
        <f t="shared" si="32"/>
        <v xml:space="preserve"> </v>
      </c>
      <c r="CN71" s="2" t="str">
        <f t="shared" si="32"/>
        <v xml:space="preserve"> </v>
      </c>
      <c r="CO71" s="2" t="str">
        <f t="shared" si="32"/>
        <v xml:space="preserve"> </v>
      </c>
      <c r="CP71" s="2" t="str">
        <f t="shared" si="32"/>
        <v xml:space="preserve"> </v>
      </c>
      <c r="CQ71" s="2" t="str">
        <f t="shared" si="32"/>
        <v xml:space="preserve"> </v>
      </c>
      <c r="CR71" s="2" t="str">
        <f t="shared" si="32"/>
        <v xml:space="preserve"> </v>
      </c>
    </row>
    <row r="72" spans="1:96">
      <c r="A72" s="21" t="str">
        <f>VLOOKUP(L72,Ubicacion!A:K,2,FALSE)</f>
        <v>LI3BR</v>
      </c>
      <c r="B72" s="21" t="str">
        <f>VLOOKUP(L72,Ubicacion!A:K,3,FALSE)</f>
        <v>LI2BC11</v>
      </c>
      <c r="C72" s="21" t="str">
        <f>VLOOKUP(L72,Ubicacion!A:K,4,FALSE)</f>
        <v>LIMA</v>
      </c>
      <c r="D72" s="21" t="str">
        <f>VLOOKUP(L72,Ubicacion!A:K,5,FALSE)</f>
        <v>LA MOLINA</v>
      </c>
      <c r="E72" s="21" t="str">
        <f>VLOOKUP(L72,Ubicacion!A:K,6,FALSE)</f>
        <v>Grifo</v>
      </c>
      <c r="F72" s="21" t="str">
        <f>VLOOKUP(L72,Ubicacion!A:K,7,FALSE)</f>
        <v>09:00 - 17:00</v>
      </c>
      <c r="G72" s="21" t="str">
        <f>VLOOKUP(L72,Ubicacion!A:K,8,FALSE)</f>
        <v>FRIDAY</v>
      </c>
      <c r="H72" s="21">
        <f>VLOOKUP(L72,Ubicacion!A:K,9,FALSE)</f>
        <v>3</v>
      </c>
      <c r="I72" s="21">
        <f>VLOOKUP(L72,Ubicacion!A:K,10,FALSE)</f>
        <v>-12.0695301230969</v>
      </c>
      <c r="J72" s="21">
        <f>VLOOKUP(L72,Ubicacion!A:K,11,FALSE)</f>
        <v>-76.9578334148012</v>
      </c>
      <c r="K72" s="21" t="str">
        <f t="shared" ref="K72:K89" si="33">P72&amp;O72</f>
        <v>46146Grupo 4</v>
      </c>
      <c r="L72" s="21" t="s">
        <v>124</v>
      </c>
      <c r="M72" s="21">
        <v>1</v>
      </c>
      <c r="N72" s="24" t="s">
        <v>186</v>
      </c>
      <c r="O72" s="24" t="s">
        <v>193</v>
      </c>
      <c r="P72" s="23">
        <v>46146</v>
      </c>
      <c r="Q72" s="23">
        <f t="shared" ref="Q72:Q87" si="34">P72+M72-1</f>
        <v>46146</v>
      </c>
      <c r="R72" s="24" t="str">
        <f ca="1">IF($A$1&lt;Q72,"On-time",IF(AND(Q72&lt;=$A$1,BJ72="OK"),"OK","NO OK"))</f>
        <v>OK</v>
      </c>
      <c r="S72" s="24" t="str">
        <f t="shared" ref="S72:S87" si="35">(UPPER(TEXT(P72,"dddd")))</f>
        <v>MONDAY</v>
      </c>
      <c r="T72" s="24">
        <f>VLOOKUP(L72,Ubicacion!A:AE,13,FALSE)</f>
        <v>15</v>
      </c>
      <c r="U72" s="24">
        <f>VLOOKUP(L72,Ubicacion!A:AE,14,FALSE)</f>
        <v>18</v>
      </c>
      <c r="V72" s="24">
        <f>VLOOKUP(L72,Ubicacion!A:AE,15,FALSE)</f>
        <v>2</v>
      </c>
      <c r="W72" s="24">
        <f>VLOOKUP(L72,Ubicacion!A:AE,16,FALSE)</f>
        <v>4</v>
      </c>
      <c r="X72" s="24">
        <f>VLOOKUP(L72,Ubicacion!A:AE,17,FALSE)</f>
        <v>4</v>
      </c>
      <c r="Y72" s="24">
        <f>VLOOKUP(L72,Ubicacion!A:AE,18,FALSE)</f>
        <v>0</v>
      </c>
      <c r="Z72" s="24">
        <f>VLOOKUP(L72,Ubicacion!A:AE,19,FALSE)</f>
        <v>0</v>
      </c>
      <c r="AA72" s="24">
        <f>VLOOKUP(L72,Ubicacion!A:AE,20,FALSE)</f>
        <v>0</v>
      </c>
      <c r="AB72" s="24">
        <f>VLOOKUP(L72,Ubicacion!A:AE,21,FALSE)</f>
        <v>0</v>
      </c>
      <c r="AC72" s="24">
        <f>VLOOKUP(L72,Ubicacion!A:AE,22,FALSE)</f>
        <v>4</v>
      </c>
      <c r="AD72" s="24">
        <f>VLOOKUP(L72,Ubicacion!A:AE,23,FALSE)</f>
        <v>30</v>
      </c>
      <c r="AE72" s="24">
        <f>VLOOKUP(L72,Ubicacion!A:AE,24,FALSE)</f>
        <v>0</v>
      </c>
      <c r="AF72" s="24">
        <f>VLOOKUP(L72,Ubicacion!A:AE,25,FALSE)</f>
        <v>0</v>
      </c>
      <c r="AG72" s="24">
        <f>VLOOKUP(L72,Ubicacion!A:AE,26,FALSE)</f>
        <v>34</v>
      </c>
      <c r="AH72" s="24">
        <f>VLOOKUP(L72,Ubicacion!A:AE,27,FALSE)</f>
        <v>2</v>
      </c>
      <c r="AI72" s="24">
        <f>VLOOKUP(L72,Ubicacion!A:AE,28,FALSE)</f>
        <v>5</v>
      </c>
      <c r="AJ72" s="24">
        <f>VLOOKUP(L72,Ubicacion!A:AE,29,FALSE)</f>
        <v>3</v>
      </c>
      <c r="AK72" s="24">
        <f>VLOOKUP(L72,Ubicacion!A:AE,30,FALSE)</f>
        <v>1</v>
      </c>
      <c r="AL72" s="24">
        <f>VLOOKUP(L72,Ubicacion!A:AE,31,FALSE)</f>
        <v>1</v>
      </c>
      <c r="AM72" s="25">
        <f t="shared" si="15"/>
        <v>0.66666666666666663</v>
      </c>
      <c r="AN72" s="25">
        <f t="shared" si="16"/>
        <v>5.5555555555555552E-2</v>
      </c>
      <c r="AO72" s="25">
        <f t="shared" si="17"/>
        <v>1</v>
      </c>
      <c r="AP72" s="25">
        <f t="shared" si="18"/>
        <v>0.5</v>
      </c>
      <c r="AQ72" s="25">
        <f t="shared" si="19"/>
        <v>0.5</v>
      </c>
      <c r="AR72" s="25" t="str">
        <f t="shared" si="20"/>
        <v>100%</v>
      </c>
      <c r="AS72" s="25" t="str">
        <f t="shared" si="21"/>
        <v>100%</v>
      </c>
      <c r="AT72" s="25" t="str">
        <f t="shared" si="22"/>
        <v>100%</v>
      </c>
      <c r="AU72" s="25" t="str">
        <f t="shared" si="23"/>
        <v>100%</v>
      </c>
      <c r="AV72" s="24">
        <v>10</v>
      </c>
      <c r="AW72" s="24">
        <v>1</v>
      </c>
      <c r="AX72" s="24">
        <v>2</v>
      </c>
      <c r="AY72" s="24">
        <v>2</v>
      </c>
      <c r="AZ72" s="24">
        <v>2</v>
      </c>
      <c r="BA72" s="24">
        <v>1</v>
      </c>
      <c r="BB72" s="24">
        <v>2</v>
      </c>
      <c r="BC72" s="24">
        <v>1</v>
      </c>
      <c r="BD72" s="24">
        <v>1</v>
      </c>
      <c r="BE72" s="24" t="s">
        <v>184</v>
      </c>
      <c r="BF72" s="24" t="s">
        <v>184</v>
      </c>
      <c r="BG72" s="24" t="s">
        <v>183</v>
      </c>
      <c r="BH72" s="24" t="s">
        <v>183</v>
      </c>
      <c r="BI72" s="24" t="s">
        <v>183</v>
      </c>
      <c r="BJ72" s="24" t="s">
        <v>183</v>
      </c>
      <c r="BK72" s="24"/>
      <c r="BL72" s="24"/>
      <c r="BM72" s="57"/>
      <c r="BN72" s="2" t="str">
        <f t="shared" si="30"/>
        <v xml:space="preserve"> </v>
      </c>
      <c r="BO72" s="2" t="str">
        <f t="shared" si="30"/>
        <v xml:space="preserve"> </v>
      </c>
      <c r="BP72" s="2" t="str">
        <f t="shared" si="30"/>
        <v xml:space="preserve"> </v>
      </c>
      <c r="BQ72" s="2" t="str">
        <f t="shared" si="30"/>
        <v>.</v>
      </c>
      <c r="BR72" s="2" t="str">
        <f t="shared" si="30"/>
        <v xml:space="preserve"> </v>
      </c>
      <c r="BS72" s="2" t="str">
        <f t="shared" si="30"/>
        <v xml:space="preserve"> </v>
      </c>
      <c r="BT72" s="2" t="str">
        <f t="shared" si="30"/>
        <v xml:space="preserve"> </v>
      </c>
      <c r="BU72" s="2" t="str">
        <f t="shared" si="30"/>
        <v xml:space="preserve"> </v>
      </c>
      <c r="BV72" s="2" t="str">
        <f t="shared" si="30"/>
        <v xml:space="preserve"> </v>
      </c>
      <c r="BW72" s="2" t="str">
        <f t="shared" si="30"/>
        <v xml:space="preserve"> </v>
      </c>
      <c r="BX72" s="2" t="str">
        <f t="shared" si="30"/>
        <v xml:space="preserve"> </v>
      </c>
      <c r="BY72" s="2" t="str">
        <f t="shared" si="30"/>
        <v xml:space="preserve"> </v>
      </c>
      <c r="BZ72" s="2" t="str">
        <f t="shared" si="30"/>
        <v xml:space="preserve"> </v>
      </c>
      <c r="CA72" s="2" t="str">
        <f t="shared" si="30"/>
        <v xml:space="preserve"> </v>
      </c>
      <c r="CB72" s="2" t="str">
        <f t="shared" si="30"/>
        <v xml:space="preserve"> </v>
      </c>
      <c r="CC72" s="2" t="str">
        <f t="shared" ref="CC72:CR87" si="36">IF(AND((CC$6-$P72)&gt;=0,(CC$6-$P72)&lt;=($Q72-$P72)),"."," ")</f>
        <v xml:space="preserve"> </v>
      </c>
      <c r="CD72" s="2" t="str">
        <f t="shared" si="36"/>
        <v xml:space="preserve"> </v>
      </c>
      <c r="CE72" s="2" t="str">
        <f t="shared" si="36"/>
        <v xml:space="preserve"> </v>
      </c>
      <c r="CF72" s="2" t="str">
        <f t="shared" si="36"/>
        <v xml:space="preserve"> </v>
      </c>
      <c r="CG72" s="2" t="str">
        <f t="shared" si="36"/>
        <v xml:space="preserve"> </v>
      </c>
      <c r="CH72" s="2" t="str">
        <f t="shared" si="36"/>
        <v xml:space="preserve"> </v>
      </c>
      <c r="CI72" s="2" t="str">
        <f t="shared" si="36"/>
        <v xml:space="preserve"> </v>
      </c>
      <c r="CJ72" s="2" t="str">
        <f t="shared" si="36"/>
        <v xml:space="preserve"> </v>
      </c>
      <c r="CK72" s="2" t="str">
        <f t="shared" si="36"/>
        <v xml:space="preserve"> </v>
      </c>
      <c r="CL72" s="2" t="str">
        <f t="shared" si="36"/>
        <v xml:space="preserve"> </v>
      </c>
      <c r="CM72" s="2" t="str">
        <f t="shared" si="36"/>
        <v xml:space="preserve"> </v>
      </c>
      <c r="CN72" s="2" t="str">
        <f t="shared" si="36"/>
        <v xml:space="preserve"> </v>
      </c>
      <c r="CO72" s="2" t="str">
        <f t="shared" si="36"/>
        <v xml:space="preserve"> </v>
      </c>
      <c r="CP72" s="2" t="str">
        <f t="shared" si="36"/>
        <v xml:space="preserve"> </v>
      </c>
      <c r="CQ72" s="2" t="str">
        <f t="shared" si="36"/>
        <v xml:space="preserve"> </v>
      </c>
      <c r="CR72" s="2" t="str">
        <f t="shared" si="36"/>
        <v xml:space="preserve"> </v>
      </c>
    </row>
    <row r="73" spans="1:96">
      <c r="A73" s="21" t="str">
        <f>VLOOKUP(L73,Ubicacion!A:K,2,FALSE)</f>
        <v>LI3BR</v>
      </c>
      <c r="B73" s="21" t="str">
        <f>VLOOKUP(L73,Ubicacion!A:K,3,FALSE)</f>
        <v>LI3BC08</v>
      </c>
      <c r="C73" s="21" t="str">
        <f>VLOOKUP(L73,Ubicacion!A:K,4,FALSE)</f>
        <v>LIMA</v>
      </c>
      <c r="D73" s="21" t="str">
        <f>VLOOKUP(L73,Ubicacion!A:K,5,FALSE)</f>
        <v>MIRAFLORES</v>
      </c>
      <c r="E73" s="21" t="str">
        <f>VLOOKUP(L73,Ubicacion!A:K,6,FALSE)</f>
        <v>Grifo</v>
      </c>
      <c r="F73" s="21" t="str">
        <f>VLOOKUP(L73,Ubicacion!A:K,7,FALSE)</f>
        <v>09:00 - 17:00</v>
      </c>
      <c r="G73" s="21" t="str">
        <f>VLOOKUP(L73,Ubicacion!A:K,8,FALSE)</f>
        <v>SATURDAY</v>
      </c>
      <c r="H73" s="21">
        <f>VLOOKUP(L73,Ubicacion!A:K,9,FALSE)</f>
        <v>3</v>
      </c>
      <c r="I73" s="21">
        <f>VLOOKUP(L73,Ubicacion!A:K,10,FALSE)</f>
        <v>-12.1318149979884</v>
      </c>
      <c r="J73" s="21">
        <f>VLOOKUP(L73,Ubicacion!A:K,11,FALSE)</f>
        <v>-77.030600927809203</v>
      </c>
      <c r="K73" s="21" t="str">
        <f t="shared" si="33"/>
        <v>46147Grupo 4</v>
      </c>
      <c r="L73" s="21" t="s">
        <v>125</v>
      </c>
      <c r="M73" s="21">
        <v>1</v>
      </c>
      <c r="N73" s="24" t="s">
        <v>186</v>
      </c>
      <c r="O73" s="24" t="s">
        <v>193</v>
      </c>
      <c r="P73" s="23">
        <v>46147</v>
      </c>
      <c r="Q73" s="23">
        <f t="shared" si="34"/>
        <v>46147</v>
      </c>
      <c r="R73" s="24" t="str">
        <f ca="1">IF($A$1&lt;Q73,"On-time",IF(AND(Q73&lt;=$A$1,BJ73="OK"),"OK","NO OK"))</f>
        <v>OK</v>
      </c>
      <c r="S73" s="24" t="str">
        <f t="shared" si="35"/>
        <v>TUESDAY</v>
      </c>
      <c r="T73" s="24">
        <f>VLOOKUP(L73,Ubicacion!A:AE,13,FALSE)</f>
        <v>15</v>
      </c>
      <c r="U73" s="24">
        <f>VLOOKUP(L73,Ubicacion!A:AE,14,FALSE)</f>
        <v>18</v>
      </c>
      <c r="V73" s="24">
        <f>VLOOKUP(L73,Ubicacion!A:AE,15,FALSE)</f>
        <v>2</v>
      </c>
      <c r="W73" s="24">
        <f>VLOOKUP(L73,Ubicacion!A:AE,16,FALSE)</f>
        <v>4</v>
      </c>
      <c r="X73" s="24">
        <f>VLOOKUP(L73,Ubicacion!A:AE,17,FALSE)</f>
        <v>4</v>
      </c>
      <c r="Y73" s="24">
        <f>VLOOKUP(L73,Ubicacion!A:AE,18,FALSE)</f>
        <v>0</v>
      </c>
      <c r="Z73" s="24">
        <f>VLOOKUP(L73,Ubicacion!A:AE,19,FALSE)</f>
        <v>0</v>
      </c>
      <c r="AA73" s="24">
        <f>VLOOKUP(L73,Ubicacion!A:AE,20,FALSE)</f>
        <v>0</v>
      </c>
      <c r="AB73" s="24">
        <f>VLOOKUP(L73,Ubicacion!A:AE,21,FALSE)</f>
        <v>0</v>
      </c>
      <c r="AC73" s="24">
        <f>VLOOKUP(L73,Ubicacion!A:AE,22,FALSE)</f>
        <v>4</v>
      </c>
      <c r="AD73" s="24">
        <f>VLOOKUP(L73,Ubicacion!A:AE,23,FALSE)</f>
        <v>30</v>
      </c>
      <c r="AE73" s="24">
        <f>VLOOKUP(L73,Ubicacion!A:AE,24,FALSE)</f>
        <v>0</v>
      </c>
      <c r="AF73" s="24">
        <f>VLOOKUP(L73,Ubicacion!A:AE,25,FALSE)</f>
        <v>0</v>
      </c>
      <c r="AG73" s="24">
        <f>VLOOKUP(L73,Ubicacion!A:AE,26,FALSE)</f>
        <v>34</v>
      </c>
      <c r="AH73" s="24">
        <f>VLOOKUP(L73,Ubicacion!A:AE,27,FALSE)</f>
        <v>2</v>
      </c>
      <c r="AI73" s="24">
        <f>VLOOKUP(L73,Ubicacion!A:AE,28,FALSE)</f>
        <v>5</v>
      </c>
      <c r="AJ73" s="24">
        <f>VLOOKUP(L73,Ubicacion!A:AE,29,FALSE)</f>
        <v>3</v>
      </c>
      <c r="AK73" s="24">
        <f>VLOOKUP(L73,Ubicacion!A:AE,30,FALSE)</f>
        <v>1</v>
      </c>
      <c r="AL73" s="24">
        <f>VLOOKUP(L73,Ubicacion!A:AE,31,FALSE)</f>
        <v>1</v>
      </c>
      <c r="AM73" s="25">
        <f t="shared" si="15"/>
        <v>0.66666666666666663</v>
      </c>
      <c r="AN73" s="25">
        <f t="shared" si="16"/>
        <v>5.5555555555555552E-2</v>
      </c>
      <c r="AO73" s="25">
        <f t="shared" si="17"/>
        <v>1</v>
      </c>
      <c r="AP73" s="25">
        <f t="shared" si="18"/>
        <v>0.5</v>
      </c>
      <c r="AQ73" s="25">
        <f t="shared" si="19"/>
        <v>0.5</v>
      </c>
      <c r="AR73" s="25" t="str">
        <f t="shared" si="20"/>
        <v>100%</v>
      </c>
      <c r="AS73" s="25" t="str">
        <f t="shared" si="21"/>
        <v>100%</v>
      </c>
      <c r="AT73" s="25" t="str">
        <f t="shared" si="22"/>
        <v>100%</v>
      </c>
      <c r="AU73" s="25" t="str">
        <f t="shared" si="23"/>
        <v>100%</v>
      </c>
      <c r="AV73" s="24">
        <v>10</v>
      </c>
      <c r="AW73" s="24">
        <v>1</v>
      </c>
      <c r="AX73" s="24">
        <v>2</v>
      </c>
      <c r="AY73" s="24">
        <v>2</v>
      </c>
      <c r="AZ73" s="24">
        <v>2</v>
      </c>
      <c r="BA73" s="24">
        <v>1</v>
      </c>
      <c r="BB73" s="24">
        <v>2</v>
      </c>
      <c r="BC73" s="24">
        <v>1</v>
      </c>
      <c r="BD73" s="24">
        <v>1</v>
      </c>
      <c r="BE73" s="24" t="s">
        <v>184</v>
      </c>
      <c r="BF73" s="24" t="s">
        <v>184</v>
      </c>
      <c r="BG73" s="24" t="s">
        <v>183</v>
      </c>
      <c r="BH73" s="24" t="s">
        <v>183</v>
      </c>
      <c r="BI73" s="24" t="s">
        <v>183</v>
      </c>
      <c r="BJ73" s="24" t="s">
        <v>183</v>
      </c>
      <c r="BK73" s="24"/>
      <c r="BL73" s="24"/>
      <c r="BM73" s="57"/>
      <c r="BN73" s="2" t="str">
        <f t="shared" ref="BN73:CC88" si="37">IF(AND((BN$6-$P73)&gt;=0,(BN$6-$P73)&lt;=($Q73-$P73)),"."," ")</f>
        <v xml:space="preserve"> </v>
      </c>
      <c r="BO73" s="2" t="str">
        <f t="shared" si="37"/>
        <v xml:space="preserve"> </v>
      </c>
      <c r="BP73" s="2" t="str">
        <f t="shared" si="37"/>
        <v xml:space="preserve"> </v>
      </c>
      <c r="BQ73" s="2" t="str">
        <f t="shared" si="37"/>
        <v xml:space="preserve"> </v>
      </c>
      <c r="BR73" s="2" t="str">
        <f t="shared" si="37"/>
        <v>.</v>
      </c>
      <c r="BS73" s="2" t="str">
        <f t="shared" si="37"/>
        <v xml:space="preserve"> </v>
      </c>
      <c r="BT73" s="2" t="str">
        <f t="shared" si="37"/>
        <v xml:space="preserve"> </v>
      </c>
      <c r="BU73" s="2" t="str">
        <f t="shared" si="37"/>
        <v xml:space="preserve"> </v>
      </c>
      <c r="BV73" s="2" t="str">
        <f t="shared" si="37"/>
        <v xml:space="preserve"> </v>
      </c>
      <c r="BW73" s="2" t="str">
        <f t="shared" si="37"/>
        <v xml:space="preserve"> </v>
      </c>
      <c r="BX73" s="2" t="str">
        <f t="shared" si="37"/>
        <v xml:space="preserve"> </v>
      </c>
      <c r="BY73" s="2" t="str">
        <f t="shared" si="37"/>
        <v xml:space="preserve"> </v>
      </c>
      <c r="BZ73" s="2" t="str">
        <f t="shared" si="37"/>
        <v xml:space="preserve"> </v>
      </c>
      <c r="CA73" s="2" t="str">
        <f t="shared" si="37"/>
        <v xml:space="preserve"> </v>
      </c>
      <c r="CB73" s="2" t="str">
        <f t="shared" si="37"/>
        <v xml:space="preserve"> </v>
      </c>
      <c r="CC73" s="2" t="str">
        <f t="shared" si="37"/>
        <v xml:space="preserve"> </v>
      </c>
      <c r="CD73" s="2" t="str">
        <f t="shared" si="36"/>
        <v xml:space="preserve"> </v>
      </c>
      <c r="CE73" s="2" t="str">
        <f t="shared" si="36"/>
        <v xml:space="preserve"> </v>
      </c>
      <c r="CF73" s="2" t="str">
        <f t="shared" si="36"/>
        <v xml:space="preserve"> </v>
      </c>
      <c r="CG73" s="2" t="str">
        <f t="shared" si="36"/>
        <v xml:space="preserve"> </v>
      </c>
      <c r="CH73" s="2" t="str">
        <f t="shared" si="36"/>
        <v xml:space="preserve"> </v>
      </c>
      <c r="CI73" s="2" t="str">
        <f t="shared" si="36"/>
        <v xml:space="preserve"> </v>
      </c>
      <c r="CJ73" s="2" t="str">
        <f t="shared" si="36"/>
        <v xml:space="preserve"> </v>
      </c>
      <c r="CK73" s="2" t="str">
        <f t="shared" si="36"/>
        <v xml:space="preserve"> </v>
      </c>
      <c r="CL73" s="2" t="str">
        <f t="shared" si="36"/>
        <v xml:space="preserve"> </v>
      </c>
      <c r="CM73" s="2" t="str">
        <f t="shared" si="36"/>
        <v xml:space="preserve"> </v>
      </c>
      <c r="CN73" s="2" t="str">
        <f t="shared" si="36"/>
        <v xml:space="preserve"> </v>
      </c>
      <c r="CO73" s="2" t="str">
        <f t="shared" si="36"/>
        <v xml:space="preserve"> </v>
      </c>
      <c r="CP73" s="2" t="str">
        <f t="shared" si="36"/>
        <v xml:space="preserve"> </v>
      </c>
      <c r="CQ73" s="2" t="str">
        <f t="shared" si="36"/>
        <v xml:space="preserve"> </v>
      </c>
      <c r="CR73" s="2" t="str">
        <f t="shared" si="36"/>
        <v xml:space="preserve"> </v>
      </c>
    </row>
    <row r="74" spans="1:96">
      <c r="A74" s="21" t="str">
        <f>VLOOKUP(L74,Ubicacion!A:K,2,FALSE)</f>
        <v>LI3BR</v>
      </c>
      <c r="B74" s="21" t="str">
        <f>VLOOKUP(L74,Ubicacion!A:K,3,FALSE)</f>
        <v>LI3BC11</v>
      </c>
      <c r="C74" s="21" t="str">
        <f>VLOOKUP(L74,Ubicacion!A:K,4,FALSE)</f>
        <v>LIMA</v>
      </c>
      <c r="D74" s="21" t="str">
        <f>VLOOKUP(L74,Ubicacion!A:K,5,FALSE)</f>
        <v>SANJUAN MIRAFLORES</v>
      </c>
      <c r="E74" s="21" t="str">
        <f>VLOOKUP(L74,Ubicacion!A:K,6,FALSE)</f>
        <v>Mercado</v>
      </c>
      <c r="F74" s="21" t="str">
        <f>VLOOKUP(L74,Ubicacion!A:K,7,FALSE)</f>
        <v>09:00 - 17:00</v>
      </c>
      <c r="G74" s="21" t="str">
        <f>VLOOKUP(L74,Ubicacion!A:K,8,FALSE)</f>
        <v>SUNDAY</v>
      </c>
      <c r="H74" s="21">
        <f>VLOOKUP(L74,Ubicacion!A:K,9,FALSE)</f>
        <v>2</v>
      </c>
      <c r="I74" s="21">
        <f>VLOOKUP(L74,Ubicacion!A:K,10,FALSE)</f>
        <v>-12.131008333300001</v>
      </c>
      <c r="J74" s="21">
        <f>VLOOKUP(L74,Ubicacion!A:K,11,FALSE)</f>
        <v>-76.960224999999994</v>
      </c>
      <c r="K74" s="21" t="str">
        <f t="shared" si="33"/>
        <v>46148Grupo 4</v>
      </c>
      <c r="L74" s="21" t="s">
        <v>126</v>
      </c>
      <c r="M74" s="21">
        <v>1</v>
      </c>
      <c r="N74" s="24" t="s">
        <v>186</v>
      </c>
      <c r="O74" s="24" t="s">
        <v>193</v>
      </c>
      <c r="P74" s="23">
        <v>46148</v>
      </c>
      <c r="Q74" s="23">
        <f t="shared" si="34"/>
        <v>46148</v>
      </c>
      <c r="R74" s="24" t="str">
        <f ca="1">IF($A$1&lt;Q74,"On-time",IF(AND(Q74&lt;=$A$1,BJ74="OK"),"OK","NO OK"))</f>
        <v>OK</v>
      </c>
      <c r="S74" s="24" t="str">
        <f t="shared" si="35"/>
        <v>WEDNESDAY</v>
      </c>
      <c r="T74" s="24">
        <f>VLOOKUP(L74,Ubicacion!A:AE,13,FALSE)</f>
        <v>15</v>
      </c>
      <c r="U74" s="24">
        <f>VLOOKUP(L74,Ubicacion!A:AE,14,FALSE)</f>
        <v>18</v>
      </c>
      <c r="V74" s="24">
        <f>VLOOKUP(L74,Ubicacion!A:AE,15,FALSE)</f>
        <v>2</v>
      </c>
      <c r="W74" s="24">
        <f>VLOOKUP(L74,Ubicacion!A:AE,16,FALSE)</f>
        <v>4</v>
      </c>
      <c r="X74" s="24">
        <f>VLOOKUP(L74,Ubicacion!A:AE,17,FALSE)</f>
        <v>4</v>
      </c>
      <c r="Y74" s="24">
        <f>VLOOKUP(L74,Ubicacion!A:AE,18,FALSE)</f>
        <v>0</v>
      </c>
      <c r="Z74" s="24">
        <f>VLOOKUP(L74,Ubicacion!A:AE,19,FALSE)</f>
        <v>0</v>
      </c>
      <c r="AA74" s="24">
        <f>VLOOKUP(L74,Ubicacion!A:AE,20,FALSE)</f>
        <v>0</v>
      </c>
      <c r="AB74" s="24">
        <f>VLOOKUP(L74,Ubicacion!A:AE,21,FALSE)</f>
        <v>0</v>
      </c>
      <c r="AC74" s="24">
        <f>VLOOKUP(L74,Ubicacion!A:AE,22,FALSE)</f>
        <v>4</v>
      </c>
      <c r="AD74" s="24">
        <f>VLOOKUP(L74,Ubicacion!A:AE,23,FALSE)</f>
        <v>30</v>
      </c>
      <c r="AE74" s="24">
        <f>VLOOKUP(L74,Ubicacion!A:AE,24,FALSE)</f>
        <v>0</v>
      </c>
      <c r="AF74" s="24">
        <f>VLOOKUP(L74,Ubicacion!A:AE,25,FALSE)</f>
        <v>0</v>
      </c>
      <c r="AG74" s="24">
        <f>VLOOKUP(L74,Ubicacion!A:AE,26,FALSE)</f>
        <v>34</v>
      </c>
      <c r="AH74" s="24">
        <f>VLOOKUP(L74,Ubicacion!A:AE,27,FALSE)</f>
        <v>2</v>
      </c>
      <c r="AI74" s="24">
        <f>VLOOKUP(L74,Ubicacion!A:AE,28,FALSE)</f>
        <v>5</v>
      </c>
      <c r="AJ74" s="24">
        <f>VLOOKUP(L74,Ubicacion!A:AE,29,FALSE)</f>
        <v>3</v>
      </c>
      <c r="AK74" s="24">
        <f>VLOOKUP(L74,Ubicacion!A:AE,30,FALSE)</f>
        <v>1</v>
      </c>
      <c r="AL74" s="24">
        <f>VLOOKUP(L74,Ubicacion!A:AE,31,FALSE)</f>
        <v>1</v>
      </c>
      <c r="AM74" s="25">
        <f t="shared" si="15"/>
        <v>0.66666666666666663</v>
      </c>
      <c r="AN74" s="25">
        <f t="shared" si="16"/>
        <v>5.5555555555555552E-2</v>
      </c>
      <c r="AO74" s="25">
        <f t="shared" si="17"/>
        <v>1</v>
      </c>
      <c r="AP74" s="25">
        <f t="shared" si="18"/>
        <v>0.5</v>
      </c>
      <c r="AQ74" s="25">
        <f t="shared" si="19"/>
        <v>0.5</v>
      </c>
      <c r="AR74" s="25" t="str">
        <f t="shared" si="20"/>
        <v>100%</v>
      </c>
      <c r="AS74" s="25" t="str">
        <f t="shared" si="21"/>
        <v>100%</v>
      </c>
      <c r="AT74" s="25" t="str">
        <f t="shared" si="22"/>
        <v>100%</v>
      </c>
      <c r="AU74" s="25" t="str">
        <f t="shared" si="23"/>
        <v>100%</v>
      </c>
      <c r="AV74" s="24">
        <v>10</v>
      </c>
      <c r="AW74" s="24">
        <v>1</v>
      </c>
      <c r="AX74" s="24">
        <v>2</v>
      </c>
      <c r="AY74" s="24">
        <v>2</v>
      </c>
      <c r="AZ74" s="24">
        <v>2</v>
      </c>
      <c r="BA74" s="24">
        <v>1</v>
      </c>
      <c r="BB74" s="24">
        <v>2</v>
      </c>
      <c r="BC74" s="24">
        <v>1</v>
      </c>
      <c r="BD74" s="24">
        <v>1</v>
      </c>
      <c r="BE74" s="24" t="s">
        <v>184</v>
      </c>
      <c r="BF74" s="24" t="s">
        <v>184</v>
      </c>
      <c r="BG74" s="24" t="s">
        <v>183</v>
      </c>
      <c r="BH74" s="24" t="s">
        <v>183</v>
      </c>
      <c r="BI74" s="24" t="s">
        <v>183</v>
      </c>
      <c r="BJ74" s="24" t="s">
        <v>183</v>
      </c>
      <c r="BK74" s="24"/>
      <c r="BL74" s="24"/>
      <c r="BM74" s="57"/>
      <c r="BN74" s="2" t="str">
        <f t="shared" si="37"/>
        <v xml:space="preserve"> </v>
      </c>
      <c r="BO74" s="2" t="str">
        <f t="shared" si="37"/>
        <v xml:space="preserve"> </v>
      </c>
      <c r="BP74" s="2" t="str">
        <f t="shared" si="37"/>
        <v xml:space="preserve"> </v>
      </c>
      <c r="BQ74" s="2" t="str">
        <f t="shared" si="37"/>
        <v xml:space="preserve"> </v>
      </c>
      <c r="BR74" s="2" t="str">
        <f t="shared" si="37"/>
        <v xml:space="preserve"> </v>
      </c>
      <c r="BS74" s="2" t="str">
        <f t="shared" si="37"/>
        <v>.</v>
      </c>
      <c r="BT74" s="2" t="str">
        <f t="shared" si="37"/>
        <v xml:space="preserve"> </v>
      </c>
      <c r="BU74" s="2" t="str">
        <f t="shared" si="37"/>
        <v xml:space="preserve"> </v>
      </c>
      <c r="BV74" s="2" t="str">
        <f t="shared" si="37"/>
        <v xml:space="preserve"> </v>
      </c>
      <c r="BW74" s="2" t="str">
        <f t="shared" si="37"/>
        <v xml:space="preserve"> </v>
      </c>
      <c r="BX74" s="2" t="str">
        <f t="shared" si="37"/>
        <v xml:space="preserve"> </v>
      </c>
      <c r="BY74" s="2" t="str">
        <f t="shared" si="37"/>
        <v xml:space="preserve"> </v>
      </c>
      <c r="BZ74" s="2" t="str">
        <f t="shared" si="37"/>
        <v xml:space="preserve"> </v>
      </c>
      <c r="CA74" s="2" t="str">
        <f t="shared" si="37"/>
        <v xml:space="preserve"> </v>
      </c>
      <c r="CB74" s="2" t="str">
        <f t="shared" si="37"/>
        <v xml:space="preserve"> </v>
      </c>
      <c r="CC74" s="2" t="str">
        <f t="shared" si="37"/>
        <v xml:space="preserve"> </v>
      </c>
      <c r="CD74" s="2" t="str">
        <f t="shared" si="36"/>
        <v xml:space="preserve"> </v>
      </c>
      <c r="CE74" s="2" t="str">
        <f t="shared" si="36"/>
        <v xml:space="preserve"> </v>
      </c>
      <c r="CF74" s="2" t="str">
        <f t="shared" si="36"/>
        <v xml:space="preserve"> </v>
      </c>
      <c r="CG74" s="2" t="str">
        <f t="shared" si="36"/>
        <v xml:space="preserve"> </v>
      </c>
      <c r="CH74" s="2" t="str">
        <f t="shared" si="36"/>
        <v xml:space="preserve"> </v>
      </c>
      <c r="CI74" s="2" t="str">
        <f t="shared" si="36"/>
        <v xml:space="preserve"> </v>
      </c>
      <c r="CJ74" s="2" t="str">
        <f t="shared" si="36"/>
        <v xml:space="preserve"> </v>
      </c>
      <c r="CK74" s="2" t="str">
        <f t="shared" si="36"/>
        <v xml:space="preserve"> </v>
      </c>
      <c r="CL74" s="2" t="str">
        <f t="shared" si="36"/>
        <v xml:space="preserve"> </v>
      </c>
      <c r="CM74" s="2" t="str">
        <f t="shared" si="36"/>
        <v xml:space="preserve"> </v>
      </c>
      <c r="CN74" s="2" t="str">
        <f t="shared" si="36"/>
        <v xml:space="preserve"> </v>
      </c>
      <c r="CO74" s="2" t="str">
        <f t="shared" si="36"/>
        <v xml:space="preserve"> </v>
      </c>
      <c r="CP74" s="2" t="str">
        <f t="shared" si="36"/>
        <v xml:space="preserve"> </v>
      </c>
      <c r="CQ74" s="2" t="str">
        <f t="shared" si="36"/>
        <v xml:space="preserve"> </v>
      </c>
      <c r="CR74" s="2" t="str">
        <f t="shared" si="36"/>
        <v xml:space="preserve"> </v>
      </c>
    </row>
    <row r="75" spans="1:96">
      <c r="A75" s="21" t="str">
        <f>VLOOKUP(L75,Ubicacion!A:K,2,FALSE)</f>
        <v>LI3BR</v>
      </c>
      <c r="B75" s="21" t="str">
        <f>VLOOKUP(L75,Ubicacion!A:K,3,FALSE)</f>
        <v>LI3BC08</v>
      </c>
      <c r="C75" s="21" t="str">
        <f>VLOOKUP(L75,Ubicacion!A:K,4,FALSE)</f>
        <v>LIMA</v>
      </c>
      <c r="D75" s="21" t="str">
        <f>VLOOKUP(L75,Ubicacion!A:K,5,FALSE)</f>
        <v>SURQUILLO</v>
      </c>
      <c r="E75" s="21" t="str">
        <f>VLOOKUP(L75,Ubicacion!A:K,6,FALSE)</f>
        <v>Mercado</v>
      </c>
      <c r="F75" s="21" t="str">
        <f>VLOOKUP(L75,Ubicacion!A:K,7,FALSE)</f>
        <v>09:00 - 17:00</v>
      </c>
      <c r="G75" s="21" t="str">
        <f>VLOOKUP(L75,Ubicacion!A:K,8,FALSE)</f>
        <v>WEEKDAY</v>
      </c>
      <c r="H75" s="21">
        <f>VLOOKUP(L75,Ubicacion!A:K,9,FALSE)</f>
        <v>3</v>
      </c>
      <c r="I75" s="21">
        <f>VLOOKUP(L75,Ubicacion!A:K,10,FALSE)</f>
        <v>-12.103719937569499</v>
      </c>
      <c r="J75" s="21">
        <f>VLOOKUP(L75,Ubicacion!A:K,11,FALSE)</f>
        <v>-77.021081648134796</v>
      </c>
      <c r="K75" s="21" t="str">
        <f t="shared" si="33"/>
        <v>46149Grupo 4</v>
      </c>
      <c r="L75" s="21" t="s">
        <v>127</v>
      </c>
      <c r="M75" s="21">
        <v>1</v>
      </c>
      <c r="N75" s="24" t="s">
        <v>186</v>
      </c>
      <c r="O75" s="24" t="s">
        <v>193</v>
      </c>
      <c r="P75" s="23">
        <v>46149</v>
      </c>
      <c r="Q75" s="23">
        <f t="shared" si="34"/>
        <v>46149</v>
      </c>
      <c r="R75" s="24" t="str">
        <f ca="1">IF($A$1&lt;Q75,"On-time",IF(AND(Q75&lt;=$A$1,BJ75="OK"),"OK","NO OK"))</f>
        <v>OK</v>
      </c>
      <c r="S75" s="24" t="str">
        <f t="shared" si="35"/>
        <v>THURSDAY</v>
      </c>
      <c r="T75" s="24">
        <f>VLOOKUP(L75,Ubicacion!A:AE,13,FALSE)</f>
        <v>15</v>
      </c>
      <c r="U75" s="24">
        <f>VLOOKUP(L75,Ubicacion!A:AE,14,FALSE)</f>
        <v>18</v>
      </c>
      <c r="V75" s="24">
        <f>VLOOKUP(L75,Ubicacion!A:AE,15,FALSE)</f>
        <v>2</v>
      </c>
      <c r="W75" s="24">
        <f>VLOOKUP(L75,Ubicacion!A:AE,16,FALSE)</f>
        <v>4</v>
      </c>
      <c r="X75" s="24">
        <f>VLOOKUP(L75,Ubicacion!A:AE,17,FALSE)</f>
        <v>4</v>
      </c>
      <c r="Y75" s="24">
        <f>VLOOKUP(L75,Ubicacion!A:AE,18,FALSE)</f>
        <v>0</v>
      </c>
      <c r="Z75" s="24">
        <f>VLOOKUP(L75,Ubicacion!A:AE,19,FALSE)</f>
        <v>0</v>
      </c>
      <c r="AA75" s="24">
        <f>VLOOKUP(L75,Ubicacion!A:AE,20,FALSE)</f>
        <v>0</v>
      </c>
      <c r="AB75" s="24">
        <f>VLOOKUP(L75,Ubicacion!A:AE,21,FALSE)</f>
        <v>0</v>
      </c>
      <c r="AC75" s="24">
        <f>VLOOKUP(L75,Ubicacion!A:AE,22,FALSE)</f>
        <v>4</v>
      </c>
      <c r="AD75" s="24">
        <f>VLOOKUP(L75,Ubicacion!A:AE,23,FALSE)</f>
        <v>30</v>
      </c>
      <c r="AE75" s="24">
        <f>VLOOKUP(L75,Ubicacion!A:AE,24,FALSE)</f>
        <v>0</v>
      </c>
      <c r="AF75" s="24">
        <f>VLOOKUP(L75,Ubicacion!A:AE,25,FALSE)</f>
        <v>0</v>
      </c>
      <c r="AG75" s="24">
        <f>VLOOKUP(L75,Ubicacion!A:AE,26,FALSE)</f>
        <v>34</v>
      </c>
      <c r="AH75" s="24">
        <f>VLOOKUP(L75,Ubicacion!A:AE,27,FALSE)</f>
        <v>2</v>
      </c>
      <c r="AI75" s="24">
        <f>VLOOKUP(L75,Ubicacion!A:AE,28,FALSE)</f>
        <v>5</v>
      </c>
      <c r="AJ75" s="24">
        <f>VLOOKUP(L75,Ubicacion!A:AE,29,FALSE)</f>
        <v>3</v>
      </c>
      <c r="AK75" s="24">
        <f>VLOOKUP(L75,Ubicacion!A:AE,30,FALSE)</f>
        <v>1</v>
      </c>
      <c r="AL75" s="24">
        <f>VLOOKUP(L75,Ubicacion!A:AE,31,FALSE)</f>
        <v>1</v>
      </c>
      <c r="AM75" s="25">
        <f t="shared" si="15"/>
        <v>0.66666666666666663</v>
      </c>
      <c r="AN75" s="25">
        <f t="shared" si="16"/>
        <v>5.5555555555555552E-2</v>
      </c>
      <c r="AO75" s="25">
        <f t="shared" si="17"/>
        <v>1</v>
      </c>
      <c r="AP75" s="25">
        <f t="shared" si="18"/>
        <v>0.5</v>
      </c>
      <c r="AQ75" s="25">
        <f t="shared" si="19"/>
        <v>0.5</v>
      </c>
      <c r="AR75" s="25" t="str">
        <f t="shared" si="20"/>
        <v>100%</v>
      </c>
      <c r="AS75" s="25" t="str">
        <f t="shared" si="21"/>
        <v>100%</v>
      </c>
      <c r="AT75" s="25" t="str">
        <f t="shared" si="22"/>
        <v>100%</v>
      </c>
      <c r="AU75" s="25" t="str">
        <f t="shared" si="23"/>
        <v>100%</v>
      </c>
      <c r="AV75" s="24">
        <v>10</v>
      </c>
      <c r="AW75" s="24">
        <v>1</v>
      </c>
      <c r="AX75" s="24">
        <v>2</v>
      </c>
      <c r="AY75" s="24">
        <v>2</v>
      </c>
      <c r="AZ75" s="24">
        <v>2</v>
      </c>
      <c r="BA75" s="24">
        <v>1</v>
      </c>
      <c r="BB75" s="24">
        <v>2</v>
      </c>
      <c r="BC75" s="24">
        <v>1</v>
      </c>
      <c r="BD75" s="24">
        <v>1</v>
      </c>
      <c r="BE75" s="24" t="s">
        <v>184</v>
      </c>
      <c r="BF75" s="24" t="s">
        <v>184</v>
      </c>
      <c r="BG75" s="24" t="s">
        <v>183</v>
      </c>
      <c r="BH75" s="24" t="s">
        <v>183</v>
      </c>
      <c r="BI75" s="24" t="s">
        <v>183</v>
      </c>
      <c r="BJ75" s="24" t="s">
        <v>183</v>
      </c>
      <c r="BK75" s="24"/>
      <c r="BL75" s="24"/>
      <c r="BM75" s="57"/>
      <c r="BN75" s="2" t="str">
        <f t="shared" si="37"/>
        <v xml:space="preserve"> </v>
      </c>
      <c r="BO75" s="2" t="str">
        <f t="shared" si="37"/>
        <v xml:space="preserve"> </v>
      </c>
      <c r="BP75" s="2" t="str">
        <f t="shared" si="37"/>
        <v xml:space="preserve"> </v>
      </c>
      <c r="BQ75" s="2" t="str">
        <f t="shared" si="37"/>
        <v xml:space="preserve"> </v>
      </c>
      <c r="BR75" s="2" t="str">
        <f t="shared" si="37"/>
        <v xml:space="preserve"> </v>
      </c>
      <c r="BS75" s="2" t="str">
        <f t="shared" si="37"/>
        <v xml:space="preserve"> </v>
      </c>
      <c r="BT75" s="2" t="str">
        <f t="shared" si="37"/>
        <v>.</v>
      </c>
      <c r="BU75" s="2" t="str">
        <f t="shared" si="37"/>
        <v xml:space="preserve"> </v>
      </c>
      <c r="BV75" s="2" t="str">
        <f t="shared" si="37"/>
        <v xml:space="preserve"> </v>
      </c>
      <c r="BW75" s="2" t="str">
        <f t="shared" si="37"/>
        <v xml:space="preserve"> </v>
      </c>
      <c r="BX75" s="2" t="str">
        <f t="shared" si="37"/>
        <v xml:space="preserve"> </v>
      </c>
      <c r="BY75" s="2" t="str">
        <f t="shared" si="37"/>
        <v xml:space="preserve"> </v>
      </c>
      <c r="BZ75" s="2" t="str">
        <f t="shared" si="37"/>
        <v xml:space="preserve"> </v>
      </c>
      <c r="CA75" s="2" t="str">
        <f t="shared" si="37"/>
        <v xml:space="preserve"> </v>
      </c>
      <c r="CB75" s="2" t="str">
        <f t="shared" si="37"/>
        <v xml:space="preserve"> </v>
      </c>
      <c r="CC75" s="2" t="str">
        <f t="shared" si="37"/>
        <v xml:space="preserve"> </v>
      </c>
      <c r="CD75" s="2" t="str">
        <f t="shared" si="36"/>
        <v xml:space="preserve"> </v>
      </c>
      <c r="CE75" s="2" t="str">
        <f t="shared" si="36"/>
        <v xml:space="preserve"> </v>
      </c>
      <c r="CF75" s="2" t="str">
        <f t="shared" si="36"/>
        <v xml:space="preserve"> </v>
      </c>
      <c r="CG75" s="2" t="str">
        <f t="shared" si="36"/>
        <v xml:space="preserve"> </v>
      </c>
      <c r="CH75" s="2" t="str">
        <f t="shared" si="36"/>
        <v xml:space="preserve"> </v>
      </c>
      <c r="CI75" s="2" t="str">
        <f t="shared" si="36"/>
        <v xml:space="preserve"> </v>
      </c>
      <c r="CJ75" s="2" t="str">
        <f t="shared" si="36"/>
        <v xml:space="preserve"> </v>
      </c>
      <c r="CK75" s="2" t="str">
        <f t="shared" si="36"/>
        <v xml:space="preserve"> </v>
      </c>
      <c r="CL75" s="2" t="str">
        <f t="shared" si="36"/>
        <v xml:space="preserve"> </v>
      </c>
      <c r="CM75" s="2" t="str">
        <f t="shared" si="36"/>
        <v xml:space="preserve"> </v>
      </c>
      <c r="CN75" s="2" t="str">
        <f t="shared" si="36"/>
        <v xml:space="preserve"> </v>
      </c>
      <c r="CO75" s="2" t="str">
        <f t="shared" si="36"/>
        <v xml:space="preserve"> </v>
      </c>
      <c r="CP75" s="2" t="str">
        <f t="shared" si="36"/>
        <v xml:space="preserve"> </v>
      </c>
      <c r="CQ75" s="2" t="str">
        <f t="shared" si="36"/>
        <v xml:space="preserve"> </v>
      </c>
      <c r="CR75" s="2" t="str">
        <f t="shared" si="36"/>
        <v xml:space="preserve"> </v>
      </c>
    </row>
    <row r="76" spans="1:96">
      <c r="A76" s="21" t="str">
        <f>VLOOKUP(L76,Ubicacion!A:K,2,FALSE)</f>
        <v>LI3BR</v>
      </c>
      <c r="B76" s="21" t="str">
        <f>VLOOKUP(L76,Ubicacion!A:K,3,FALSE)</f>
        <v>LI3BC03</v>
      </c>
      <c r="C76" s="21" t="str">
        <f>VLOOKUP(L76,Ubicacion!A:K,4,FALSE)</f>
        <v>LIMA</v>
      </c>
      <c r="D76" s="21" t="str">
        <f>VLOOKUP(L76,Ubicacion!A:K,5,FALSE)</f>
        <v>CHORRILLOS</v>
      </c>
      <c r="E76" s="21" t="str">
        <f>VLOOKUP(L76,Ubicacion!A:K,6,FALSE)</f>
        <v>Mercado</v>
      </c>
      <c r="F76" s="21" t="str">
        <f>VLOOKUP(L76,Ubicacion!A:K,7,FALSE)</f>
        <v>09:00 - 17:00</v>
      </c>
      <c r="G76" s="21" t="str">
        <f>VLOOKUP(L76,Ubicacion!A:K,8,FALSE)</f>
        <v>WEEKEND</v>
      </c>
      <c r="H76" s="21">
        <f>VLOOKUP(L76,Ubicacion!A:K,9,FALSE)</f>
        <v>3</v>
      </c>
      <c r="I76" s="21">
        <f>VLOOKUP(L76,Ubicacion!A:K,10,FALSE)</f>
        <v>-12.1679303333235</v>
      </c>
      <c r="J76" s="21">
        <f>VLOOKUP(L76,Ubicacion!A:K,11,FALSE)</f>
        <v>-77.021712772266795</v>
      </c>
      <c r="K76" s="21" t="str">
        <f t="shared" si="33"/>
        <v>46150Grupo 4</v>
      </c>
      <c r="L76" s="21" t="s">
        <v>128</v>
      </c>
      <c r="M76" s="21">
        <v>1</v>
      </c>
      <c r="N76" s="24" t="s">
        <v>186</v>
      </c>
      <c r="O76" s="24" t="s">
        <v>193</v>
      </c>
      <c r="P76" s="23">
        <v>46150</v>
      </c>
      <c r="Q76" s="23">
        <f t="shared" si="34"/>
        <v>46150</v>
      </c>
      <c r="R76" s="24" t="str">
        <f ca="1">IF($A$1&lt;Q76,"On-time",IF(AND(Q76&lt;=$A$1,BJ76="OK"),"OK","NO OK"))</f>
        <v>OK</v>
      </c>
      <c r="S76" s="24" t="str">
        <f t="shared" si="35"/>
        <v>FRIDAY</v>
      </c>
      <c r="T76" s="24">
        <f>VLOOKUP(L76,Ubicacion!A:AE,13,FALSE)</f>
        <v>15</v>
      </c>
      <c r="U76" s="24">
        <f>VLOOKUP(L76,Ubicacion!A:AE,14,FALSE)</f>
        <v>18</v>
      </c>
      <c r="V76" s="24">
        <f>VLOOKUP(L76,Ubicacion!A:AE,15,FALSE)</f>
        <v>2</v>
      </c>
      <c r="W76" s="24">
        <f>VLOOKUP(L76,Ubicacion!A:AE,16,FALSE)</f>
        <v>4</v>
      </c>
      <c r="X76" s="24">
        <f>VLOOKUP(L76,Ubicacion!A:AE,17,FALSE)</f>
        <v>4</v>
      </c>
      <c r="Y76" s="24">
        <f>VLOOKUP(L76,Ubicacion!A:AE,18,FALSE)</f>
        <v>0</v>
      </c>
      <c r="Z76" s="24">
        <f>VLOOKUP(L76,Ubicacion!A:AE,19,FALSE)</f>
        <v>0</v>
      </c>
      <c r="AA76" s="24">
        <f>VLOOKUP(L76,Ubicacion!A:AE,20,FALSE)</f>
        <v>0</v>
      </c>
      <c r="AB76" s="24">
        <f>VLOOKUP(L76,Ubicacion!A:AE,21,FALSE)</f>
        <v>0</v>
      </c>
      <c r="AC76" s="24">
        <f>VLOOKUP(L76,Ubicacion!A:AE,22,FALSE)</f>
        <v>4</v>
      </c>
      <c r="AD76" s="24">
        <f>VLOOKUP(L76,Ubicacion!A:AE,23,FALSE)</f>
        <v>30</v>
      </c>
      <c r="AE76" s="24">
        <f>VLOOKUP(L76,Ubicacion!A:AE,24,FALSE)</f>
        <v>0</v>
      </c>
      <c r="AF76" s="24">
        <f>VLOOKUP(L76,Ubicacion!A:AE,25,FALSE)</f>
        <v>0</v>
      </c>
      <c r="AG76" s="24">
        <f>VLOOKUP(L76,Ubicacion!A:AE,26,FALSE)</f>
        <v>34</v>
      </c>
      <c r="AH76" s="24">
        <f>VLOOKUP(L76,Ubicacion!A:AE,27,FALSE)</f>
        <v>2</v>
      </c>
      <c r="AI76" s="24">
        <f>VLOOKUP(L76,Ubicacion!A:AE,28,FALSE)</f>
        <v>5</v>
      </c>
      <c r="AJ76" s="24">
        <f>VLOOKUP(L76,Ubicacion!A:AE,29,FALSE)</f>
        <v>3</v>
      </c>
      <c r="AK76" s="24">
        <f>VLOOKUP(L76,Ubicacion!A:AE,30,FALSE)</f>
        <v>1</v>
      </c>
      <c r="AL76" s="24">
        <f>VLOOKUP(L76,Ubicacion!A:AE,31,FALSE)</f>
        <v>1</v>
      </c>
      <c r="AM76" s="25">
        <f t="shared" si="15"/>
        <v>0.66666666666666663</v>
      </c>
      <c r="AN76" s="25">
        <f t="shared" si="16"/>
        <v>5.5555555555555552E-2</v>
      </c>
      <c r="AO76" s="25">
        <f t="shared" si="17"/>
        <v>1</v>
      </c>
      <c r="AP76" s="25">
        <f t="shared" si="18"/>
        <v>0.5</v>
      </c>
      <c r="AQ76" s="25">
        <f t="shared" si="19"/>
        <v>0.5</v>
      </c>
      <c r="AR76" s="25" t="str">
        <f t="shared" si="20"/>
        <v>100%</v>
      </c>
      <c r="AS76" s="25" t="str">
        <f t="shared" si="21"/>
        <v>100%</v>
      </c>
      <c r="AT76" s="25" t="str">
        <f t="shared" si="22"/>
        <v>100%</v>
      </c>
      <c r="AU76" s="25" t="str">
        <f t="shared" si="23"/>
        <v>100%</v>
      </c>
      <c r="AV76" s="24">
        <v>10</v>
      </c>
      <c r="AW76" s="24">
        <v>1</v>
      </c>
      <c r="AX76" s="24">
        <v>2</v>
      </c>
      <c r="AY76" s="24">
        <v>2</v>
      </c>
      <c r="AZ76" s="24">
        <v>2</v>
      </c>
      <c r="BA76" s="24">
        <v>1</v>
      </c>
      <c r="BB76" s="24">
        <v>2</v>
      </c>
      <c r="BC76" s="24">
        <v>1</v>
      </c>
      <c r="BD76" s="24">
        <v>1</v>
      </c>
      <c r="BE76" s="24" t="s">
        <v>184</v>
      </c>
      <c r="BF76" s="24" t="s">
        <v>184</v>
      </c>
      <c r="BG76" s="24" t="s">
        <v>183</v>
      </c>
      <c r="BH76" s="24" t="s">
        <v>183</v>
      </c>
      <c r="BI76" s="24" t="s">
        <v>183</v>
      </c>
      <c r="BJ76" s="24" t="s">
        <v>183</v>
      </c>
      <c r="BK76" s="24"/>
      <c r="BL76" s="24"/>
      <c r="BM76" s="57"/>
      <c r="BN76" s="2" t="str">
        <f t="shared" si="37"/>
        <v xml:space="preserve"> </v>
      </c>
      <c r="BO76" s="2" t="str">
        <f t="shared" si="37"/>
        <v xml:space="preserve"> </v>
      </c>
      <c r="BP76" s="2" t="str">
        <f t="shared" si="37"/>
        <v xml:space="preserve"> </v>
      </c>
      <c r="BQ76" s="2" t="str">
        <f t="shared" si="37"/>
        <v xml:space="preserve"> </v>
      </c>
      <c r="BR76" s="2" t="str">
        <f t="shared" si="37"/>
        <v xml:space="preserve"> </v>
      </c>
      <c r="BS76" s="2" t="str">
        <f t="shared" si="37"/>
        <v xml:space="preserve"> </v>
      </c>
      <c r="BT76" s="2" t="str">
        <f t="shared" si="37"/>
        <v xml:space="preserve"> </v>
      </c>
      <c r="BU76" s="2" t="str">
        <f t="shared" si="37"/>
        <v>.</v>
      </c>
      <c r="BV76" s="2" t="str">
        <f t="shared" si="37"/>
        <v xml:space="preserve"> </v>
      </c>
      <c r="BW76" s="2" t="str">
        <f t="shared" si="37"/>
        <v xml:space="preserve"> </v>
      </c>
      <c r="BX76" s="2" t="str">
        <f t="shared" si="37"/>
        <v xml:space="preserve"> </v>
      </c>
      <c r="BY76" s="2" t="str">
        <f t="shared" si="37"/>
        <v xml:space="preserve"> </v>
      </c>
      <c r="BZ76" s="2" t="str">
        <f t="shared" si="37"/>
        <v xml:space="preserve"> </v>
      </c>
      <c r="CA76" s="2" t="str">
        <f t="shared" si="37"/>
        <v xml:space="preserve"> </v>
      </c>
      <c r="CB76" s="2" t="str">
        <f t="shared" si="37"/>
        <v xml:space="preserve"> </v>
      </c>
      <c r="CC76" s="2" t="str">
        <f t="shared" si="37"/>
        <v xml:space="preserve"> </v>
      </c>
      <c r="CD76" s="2" t="str">
        <f t="shared" si="36"/>
        <v xml:space="preserve"> </v>
      </c>
      <c r="CE76" s="2" t="str">
        <f t="shared" si="36"/>
        <v xml:space="preserve"> </v>
      </c>
      <c r="CF76" s="2" t="str">
        <f t="shared" si="36"/>
        <v xml:space="preserve"> </v>
      </c>
      <c r="CG76" s="2" t="str">
        <f t="shared" si="36"/>
        <v xml:space="preserve"> </v>
      </c>
      <c r="CH76" s="2" t="str">
        <f t="shared" si="36"/>
        <v xml:space="preserve"> </v>
      </c>
      <c r="CI76" s="2" t="str">
        <f t="shared" si="36"/>
        <v xml:space="preserve"> </v>
      </c>
      <c r="CJ76" s="2" t="str">
        <f t="shared" si="36"/>
        <v xml:space="preserve"> </v>
      </c>
      <c r="CK76" s="2" t="str">
        <f t="shared" si="36"/>
        <v xml:space="preserve"> </v>
      </c>
      <c r="CL76" s="2" t="str">
        <f t="shared" si="36"/>
        <v xml:space="preserve"> </v>
      </c>
      <c r="CM76" s="2" t="str">
        <f t="shared" si="36"/>
        <v xml:space="preserve"> </v>
      </c>
      <c r="CN76" s="2" t="str">
        <f t="shared" si="36"/>
        <v xml:space="preserve"> </v>
      </c>
      <c r="CO76" s="2" t="str">
        <f t="shared" si="36"/>
        <v xml:space="preserve"> </v>
      </c>
      <c r="CP76" s="2" t="str">
        <f t="shared" si="36"/>
        <v xml:space="preserve"> </v>
      </c>
      <c r="CQ76" s="2" t="str">
        <f t="shared" si="36"/>
        <v xml:space="preserve"> </v>
      </c>
      <c r="CR76" s="2" t="str">
        <f t="shared" si="36"/>
        <v xml:space="preserve"> </v>
      </c>
    </row>
    <row r="77" spans="1:96">
      <c r="A77" s="21" t="str">
        <f>VLOOKUP(L77,Ubicacion!A:K,2,FALSE)</f>
        <v>LI3BR</v>
      </c>
      <c r="B77" s="21" t="str">
        <f>VLOOKUP(L77,Ubicacion!A:K,3,FALSE)</f>
        <v>LI3BC06</v>
      </c>
      <c r="C77" s="21" t="str">
        <f>VLOOKUP(L77,Ubicacion!A:K,4,FALSE)</f>
        <v>LIMA</v>
      </c>
      <c r="D77" s="21" t="str">
        <f>VLOOKUP(L77,Ubicacion!A:K,5,FALSE)</f>
        <v>SURCO</v>
      </c>
      <c r="E77" s="21" t="str">
        <f>VLOOKUP(L77,Ubicacion!A:K,6,FALSE)</f>
        <v>Mercado</v>
      </c>
      <c r="F77" s="21" t="str">
        <f>VLOOKUP(L77,Ubicacion!A:K,7,FALSE)</f>
        <v>09:00 - 17:00</v>
      </c>
      <c r="G77" s="21" t="str">
        <f>VLOOKUP(L77,Ubicacion!A:K,8,FALSE)</f>
        <v>SUNDAY</v>
      </c>
      <c r="H77" s="21">
        <f>VLOOKUP(L77,Ubicacion!A:K,9,FALSE)</f>
        <v>3</v>
      </c>
      <c r="I77" s="21">
        <f>VLOOKUP(L77,Ubicacion!A:K,10,FALSE)</f>
        <v>-12.1147733953076</v>
      </c>
      <c r="J77" s="21">
        <f>VLOOKUP(L77,Ubicacion!A:K,11,FALSE)</f>
        <v>-76.991496636825005</v>
      </c>
      <c r="K77" s="21" t="str">
        <f t="shared" si="33"/>
        <v>46151Grupo 4</v>
      </c>
      <c r="L77" s="21" t="s">
        <v>129</v>
      </c>
      <c r="M77" s="21">
        <v>1</v>
      </c>
      <c r="N77" s="24" t="s">
        <v>186</v>
      </c>
      <c r="O77" s="24" t="s">
        <v>193</v>
      </c>
      <c r="P77" s="23">
        <v>46151</v>
      </c>
      <c r="Q77" s="23">
        <f t="shared" si="34"/>
        <v>46151</v>
      </c>
      <c r="R77" s="24" t="str">
        <f ca="1">IF($A$1&lt;Q77,"On-time",IF(AND(Q77&lt;=$A$1,BJ77="OK"),"OK","NO OK"))</f>
        <v>OK</v>
      </c>
      <c r="S77" s="24" t="str">
        <f t="shared" si="35"/>
        <v>SATURDAY</v>
      </c>
      <c r="T77" s="24">
        <f>VLOOKUP(L77,Ubicacion!A:AE,13,FALSE)</f>
        <v>15</v>
      </c>
      <c r="U77" s="24">
        <f>VLOOKUP(L77,Ubicacion!A:AE,14,FALSE)</f>
        <v>18</v>
      </c>
      <c r="V77" s="24">
        <f>VLOOKUP(L77,Ubicacion!A:AE,15,FALSE)</f>
        <v>2</v>
      </c>
      <c r="W77" s="24">
        <f>VLOOKUP(L77,Ubicacion!A:AE,16,FALSE)</f>
        <v>4</v>
      </c>
      <c r="X77" s="24">
        <f>VLOOKUP(L77,Ubicacion!A:AE,17,FALSE)</f>
        <v>4</v>
      </c>
      <c r="Y77" s="24">
        <f>VLOOKUP(L77,Ubicacion!A:AE,18,FALSE)</f>
        <v>0</v>
      </c>
      <c r="Z77" s="24">
        <f>VLOOKUP(L77,Ubicacion!A:AE,19,FALSE)</f>
        <v>0</v>
      </c>
      <c r="AA77" s="24">
        <f>VLOOKUP(L77,Ubicacion!A:AE,20,FALSE)</f>
        <v>0</v>
      </c>
      <c r="AB77" s="24">
        <f>VLOOKUP(L77,Ubicacion!A:AE,21,FALSE)</f>
        <v>0</v>
      </c>
      <c r="AC77" s="24">
        <f>VLOOKUP(L77,Ubicacion!A:AE,22,FALSE)</f>
        <v>4</v>
      </c>
      <c r="AD77" s="24">
        <f>VLOOKUP(L77,Ubicacion!A:AE,23,FALSE)</f>
        <v>30</v>
      </c>
      <c r="AE77" s="24">
        <f>VLOOKUP(L77,Ubicacion!A:AE,24,FALSE)</f>
        <v>0</v>
      </c>
      <c r="AF77" s="24">
        <f>VLOOKUP(L77,Ubicacion!A:AE,25,FALSE)</f>
        <v>0</v>
      </c>
      <c r="AG77" s="24">
        <f>VLOOKUP(L77,Ubicacion!A:AE,26,FALSE)</f>
        <v>34</v>
      </c>
      <c r="AH77" s="24">
        <f>VLOOKUP(L77,Ubicacion!A:AE,27,FALSE)</f>
        <v>2</v>
      </c>
      <c r="AI77" s="24">
        <f>VLOOKUP(L77,Ubicacion!A:AE,28,FALSE)</f>
        <v>5</v>
      </c>
      <c r="AJ77" s="24">
        <f>VLOOKUP(L77,Ubicacion!A:AE,29,FALSE)</f>
        <v>3</v>
      </c>
      <c r="AK77" s="24">
        <f>VLOOKUP(L77,Ubicacion!A:AE,30,FALSE)</f>
        <v>1</v>
      </c>
      <c r="AL77" s="24">
        <f>VLOOKUP(L77,Ubicacion!A:AE,31,FALSE)</f>
        <v>1</v>
      </c>
      <c r="AM77" s="25">
        <f t="shared" si="15"/>
        <v>0.66666666666666663</v>
      </c>
      <c r="AN77" s="25">
        <f t="shared" si="16"/>
        <v>5.5555555555555552E-2</v>
      </c>
      <c r="AO77" s="25">
        <f t="shared" si="17"/>
        <v>1</v>
      </c>
      <c r="AP77" s="25">
        <f t="shared" si="18"/>
        <v>0.5</v>
      </c>
      <c r="AQ77" s="25">
        <f t="shared" si="19"/>
        <v>0.5</v>
      </c>
      <c r="AR77" s="25" t="str">
        <f t="shared" si="20"/>
        <v>100%</v>
      </c>
      <c r="AS77" s="25" t="str">
        <f t="shared" si="21"/>
        <v>100%</v>
      </c>
      <c r="AT77" s="25" t="str">
        <f t="shared" si="22"/>
        <v>100%</v>
      </c>
      <c r="AU77" s="25" t="str">
        <f t="shared" si="23"/>
        <v>100%</v>
      </c>
      <c r="AV77" s="24">
        <v>10</v>
      </c>
      <c r="AW77" s="24">
        <v>1</v>
      </c>
      <c r="AX77" s="24">
        <v>2</v>
      </c>
      <c r="AY77" s="24">
        <v>2</v>
      </c>
      <c r="AZ77" s="24">
        <v>2</v>
      </c>
      <c r="BA77" s="24">
        <v>1</v>
      </c>
      <c r="BB77" s="24">
        <v>2</v>
      </c>
      <c r="BC77" s="24">
        <v>1</v>
      </c>
      <c r="BD77" s="24">
        <v>1</v>
      </c>
      <c r="BE77" s="24" t="s">
        <v>184</v>
      </c>
      <c r="BF77" s="24" t="s">
        <v>184</v>
      </c>
      <c r="BG77" s="24" t="s">
        <v>183</v>
      </c>
      <c r="BH77" s="24" t="s">
        <v>183</v>
      </c>
      <c r="BI77" s="24" t="s">
        <v>183</v>
      </c>
      <c r="BJ77" s="24" t="s">
        <v>183</v>
      </c>
      <c r="BK77" s="24"/>
      <c r="BL77" s="24"/>
      <c r="BM77" s="57"/>
      <c r="BN77" s="2" t="str">
        <f t="shared" si="37"/>
        <v xml:space="preserve"> </v>
      </c>
      <c r="BO77" s="2" t="str">
        <f t="shared" si="37"/>
        <v xml:space="preserve"> </v>
      </c>
      <c r="BP77" s="2" t="str">
        <f t="shared" si="37"/>
        <v xml:space="preserve"> </v>
      </c>
      <c r="BQ77" s="2" t="str">
        <f t="shared" si="37"/>
        <v xml:space="preserve"> </v>
      </c>
      <c r="BR77" s="2" t="str">
        <f t="shared" si="37"/>
        <v xml:space="preserve"> </v>
      </c>
      <c r="BS77" s="2" t="str">
        <f t="shared" si="37"/>
        <v xml:space="preserve"> </v>
      </c>
      <c r="BT77" s="2" t="str">
        <f t="shared" si="37"/>
        <v xml:space="preserve"> </v>
      </c>
      <c r="BU77" s="2" t="str">
        <f t="shared" si="37"/>
        <v xml:space="preserve"> </v>
      </c>
      <c r="BV77" s="2" t="str">
        <f t="shared" si="37"/>
        <v>.</v>
      </c>
      <c r="BW77" s="2" t="str">
        <f t="shared" si="37"/>
        <v xml:space="preserve"> </v>
      </c>
      <c r="BX77" s="2" t="str">
        <f t="shared" si="37"/>
        <v xml:space="preserve"> </v>
      </c>
      <c r="BY77" s="2" t="str">
        <f t="shared" si="37"/>
        <v xml:space="preserve"> </v>
      </c>
      <c r="BZ77" s="2" t="str">
        <f t="shared" si="37"/>
        <v xml:space="preserve"> </v>
      </c>
      <c r="CA77" s="2" t="str">
        <f t="shared" si="37"/>
        <v xml:space="preserve"> </v>
      </c>
      <c r="CB77" s="2" t="str">
        <f t="shared" si="37"/>
        <v xml:space="preserve"> </v>
      </c>
      <c r="CC77" s="2" t="str">
        <f t="shared" si="37"/>
        <v xml:space="preserve"> </v>
      </c>
      <c r="CD77" s="2" t="str">
        <f t="shared" si="36"/>
        <v xml:space="preserve"> </v>
      </c>
      <c r="CE77" s="2" t="str">
        <f t="shared" si="36"/>
        <v xml:space="preserve"> </v>
      </c>
      <c r="CF77" s="2" t="str">
        <f t="shared" si="36"/>
        <v xml:space="preserve"> </v>
      </c>
      <c r="CG77" s="2" t="str">
        <f t="shared" si="36"/>
        <v xml:space="preserve"> </v>
      </c>
      <c r="CH77" s="2" t="str">
        <f t="shared" si="36"/>
        <v xml:space="preserve"> </v>
      </c>
      <c r="CI77" s="2" t="str">
        <f t="shared" si="36"/>
        <v xml:space="preserve"> </v>
      </c>
      <c r="CJ77" s="2" t="str">
        <f t="shared" si="36"/>
        <v xml:space="preserve"> </v>
      </c>
      <c r="CK77" s="2" t="str">
        <f t="shared" si="36"/>
        <v xml:space="preserve"> </v>
      </c>
      <c r="CL77" s="2" t="str">
        <f t="shared" si="36"/>
        <v xml:space="preserve"> </v>
      </c>
      <c r="CM77" s="2" t="str">
        <f t="shared" si="36"/>
        <v xml:space="preserve"> </v>
      </c>
      <c r="CN77" s="2" t="str">
        <f t="shared" si="36"/>
        <v xml:space="preserve"> </v>
      </c>
      <c r="CO77" s="2" t="str">
        <f t="shared" si="36"/>
        <v xml:space="preserve"> </v>
      </c>
      <c r="CP77" s="2" t="str">
        <f t="shared" si="36"/>
        <v xml:space="preserve"> </v>
      </c>
      <c r="CQ77" s="2" t="str">
        <f t="shared" si="36"/>
        <v xml:space="preserve"> </v>
      </c>
      <c r="CR77" s="2" t="str">
        <f t="shared" si="36"/>
        <v xml:space="preserve"> </v>
      </c>
    </row>
    <row r="78" spans="1:96">
      <c r="A78" s="21" t="str">
        <f>VLOOKUP(L78,Ubicacion!A:K,2,FALSE)</f>
        <v>LI3BR</v>
      </c>
      <c r="B78" s="21" t="str">
        <f>VLOOKUP(L78,Ubicacion!A:K,3,FALSE)</f>
        <v>LI3BC06</v>
      </c>
      <c r="C78" s="21" t="str">
        <f>VLOOKUP(L78,Ubicacion!A:K,4,FALSE)</f>
        <v>LIMA</v>
      </c>
      <c r="D78" s="21" t="str">
        <f>VLOOKUP(L78,Ubicacion!A:K,5,FALSE)</f>
        <v>SURCO</v>
      </c>
      <c r="E78" s="21" t="str">
        <f>VLOOKUP(L78,Ubicacion!A:K,6,FALSE)</f>
        <v>Mercado</v>
      </c>
      <c r="F78" s="21" t="str">
        <f>VLOOKUP(L78,Ubicacion!A:K,7,FALSE)</f>
        <v>09:00 - 17:00</v>
      </c>
      <c r="G78" s="21" t="str">
        <f>VLOOKUP(L78,Ubicacion!A:K,8,FALSE)</f>
        <v>MONDAY</v>
      </c>
      <c r="H78" s="21">
        <f>VLOOKUP(L78,Ubicacion!A:K,9,FALSE)</f>
        <v>3</v>
      </c>
      <c r="I78" s="21">
        <f>VLOOKUP(L78,Ubicacion!A:K,10,FALSE)</f>
        <v>-12.1475171387772</v>
      </c>
      <c r="J78" s="21">
        <f>VLOOKUP(L78,Ubicacion!A:K,11,FALSE)</f>
        <v>-76.991051716483696</v>
      </c>
      <c r="K78" s="21" t="str">
        <f t="shared" si="33"/>
        <v>46152Grupo 4</v>
      </c>
      <c r="L78" s="21" t="s">
        <v>130</v>
      </c>
      <c r="M78" s="21">
        <v>1</v>
      </c>
      <c r="N78" s="24" t="s">
        <v>186</v>
      </c>
      <c r="O78" s="24" t="s">
        <v>193</v>
      </c>
      <c r="P78" s="23">
        <v>46152</v>
      </c>
      <c r="Q78" s="23">
        <f t="shared" si="34"/>
        <v>46152</v>
      </c>
      <c r="R78" s="24" t="str">
        <f ca="1">IF($A$1&lt;Q78,"On-time",IF(AND(Q78&lt;=$A$1,BJ78="OK"),"OK","NO OK"))</f>
        <v>OK</v>
      </c>
      <c r="S78" s="24" t="str">
        <f t="shared" si="35"/>
        <v>SUNDAY</v>
      </c>
      <c r="T78" s="24">
        <f>VLOOKUP(L78,Ubicacion!A:AE,13,FALSE)</f>
        <v>15</v>
      </c>
      <c r="U78" s="24">
        <f>VLOOKUP(L78,Ubicacion!A:AE,14,FALSE)</f>
        <v>18</v>
      </c>
      <c r="V78" s="24">
        <f>VLOOKUP(L78,Ubicacion!A:AE,15,FALSE)</f>
        <v>2</v>
      </c>
      <c r="W78" s="24">
        <f>VLOOKUP(L78,Ubicacion!A:AE,16,FALSE)</f>
        <v>4</v>
      </c>
      <c r="X78" s="24">
        <f>VLOOKUP(L78,Ubicacion!A:AE,17,FALSE)</f>
        <v>4</v>
      </c>
      <c r="Y78" s="24">
        <f>VLOOKUP(L78,Ubicacion!A:AE,18,FALSE)</f>
        <v>0</v>
      </c>
      <c r="Z78" s="24">
        <f>VLOOKUP(L78,Ubicacion!A:AE,19,FALSE)</f>
        <v>0</v>
      </c>
      <c r="AA78" s="24">
        <f>VLOOKUP(L78,Ubicacion!A:AE,20,FALSE)</f>
        <v>0</v>
      </c>
      <c r="AB78" s="24">
        <f>VLOOKUP(L78,Ubicacion!A:AE,21,FALSE)</f>
        <v>0</v>
      </c>
      <c r="AC78" s="24">
        <f>VLOOKUP(L78,Ubicacion!A:AE,22,FALSE)</f>
        <v>4</v>
      </c>
      <c r="AD78" s="24">
        <f>VLOOKUP(L78,Ubicacion!A:AE,23,FALSE)</f>
        <v>30</v>
      </c>
      <c r="AE78" s="24">
        <f>VLOOKUP(L78,Ubicacion!A:AE,24,FALSE)</f>
        <v>0</v>
      </c>
      <c r="AF78" s="24">
        <f>VLOOKUP(L78,Ubicacion!A:AE,25,FALSE)</f>
        <v>0</v>
      </c>
      <c r="AG78" s="24">
        <f>VLOOKUP(L78,Ubicacion!A:AE,26,FALSE)</f>
        <v>34</v>
      </c>
      <c r="AH78" s="24">
        <f>VLOOKUP(L78,Ubicacion!A:AE,27,FALSE)</f>
        <v>2</v>
      </c>
      <c r="AI78" s="24">
        <f>VLOOKUP(L78,Ubicacion!A:AE,28,FALSE)</f>
        <v>5</v>
      </c>
      <c r="AJ78" s="24">
        <f>VLOOKUP(L78,Ubicacion!A:AE,29,FALSE)</f>
        <v>3</v>
      </c>
      <c r="AK78" s="24">
        <f>VLOOKUP(L78,Ubicacion!A:AE,30,FALSE)</f>
        <v>1</v>
      </c>
      <c r="AL78" s="24">
        <f>VLOOKUP(L78,Ubicacion!A:AE,31,FALSE)</f>
        <v>1</v>
      </c>
      <c r="AM78" s="25">
        <f t="shared" si="15"/>
        <v>0.66666666666666663</v>
      </c>
      <c r="AN78" s="25">
        <f t="shared" si="16"/>
        <v>5.5555555555555552E-2</v>
      </c>
      <c r="AO78" s="25">
        <f t="shared" si="17"/>
        <v>1</v>
      </c>
      <c r="AP78" s="25">
        <f t="shared" si="18"/>
        <v>0.5</v>
      </c>
      <c r="AQ78" s="25">
        <f t="shared" si="19"/>
        <v>0.5</v>
      </c>
      <c r="AR78" s="25" t="str">
        <f t="shared" si="20"/>
        <v>100%</v>
      </c>
      <c r="AS78" s="25" t="str">
        <f t="shared" si="21"/>
        <v>100%</v>
      </c>
      <c r="AT78" s="25" t="str">
        <f t="shared" si="22"/>
        <v>100%</v>
      </c>
      <c r="AU78" s="25" t="str">
        <f t="shared" si="23"/>
        <v>100%</v>
      </c>
      <c r="AV78" s="24">
        <v>10</v>
      </c>
      <c r="AW78" s="24">
        <v>1</v>
      </c>
      <c r="AX78" s="24">
        <v>2</v>
      </c>
      <c r="AY78" s="24">
        <v>2</v>
      </c>
      <c r="AZ78" s="24">
        <v>2</v>
      </c>
      <c r="BA78" s="24">
        <v>1</v>
      </c>
      <c r="BB78" s="24">
        <v>2</v>
      </c>
      <c r="BC78" s="24">
        <v>1</v>
      </c>
      <c r="BD78" s="24">
        <v>1</v>
      </c>
      <c r="BE78" s="24" t="s">
        <v>184</v>
      </c>
      <c r="BF78" s="24" t="s">
        <v>184</v>
      </c>
      <c r="BG78" s="24" t="s">
        <v>183</v>
      </c>
      <c r="BH78" s="24" t="s">
        <v>183</v>
      </c>
      <c r="BI78" s="24" t="s">
        <v>183</v>
      </c>
      <c r="BJ78" s="24" t="s">
        <v>183</v>
      </c>
      <c r="BK78" s="24"/>
      <c r="BL78" s="24"/>
      <c r="BM78" s="57"/>
      <c r="BN78" s="2" t="str">
        <f t="shared" si="37"/>
        <v xml:space="preserve"> </v>
      </c>
      <c r="BO78" s="2" t="str">
        <f t="shared" si="37"/>
        <v xml:space="preserve"> </v>
      </c>
      <c r="BP78" s="2" t="str">
        <f t="shared" si="37"/>
        <v xml:space="preserve"> </v>
      </c>
      <c r="BQ78" s="2" t="str">
        <f t="shared" si="37"/>
        <v xml:space="preserve"> </v>
      </c>
      <c r="BR78" s="2" t="str">
        <f t="shared" si="37"/>
        <v xml:space="preserve"> </v>
      </c>
      <c r="BS78" s="2" t="str">
        <f t="shared" si="37"/>
        <v xml:space="preserve"> </v>
      </c>
      <c r="BT78" s="2" t="str">
        <f t="shared" si="37"/>
        <v xml:space="preserve"> </v>
      </c>
      <c r="BU78" s="2" t="str">
        <f t="shared" si="37"/>
        <v xml:space="preserve"> </v>
      </c>
      <c r="BV78" s="2" t="str">
        <f t="shared" si="37"/>
        <v xml:space="preserve"> </v>
      </c>
      <c r="BW78" s="2" t="str">
        <f t="shared" si="37"/>
        <v>.</v>
      </c>
      <c r="BX78" s="2" t="str">
        <f t="shared" si="37"/>
        <v xml:space="preserve"> </v>
      </c>
      <c r="BY78" s="2" t="str">
        <f t="shared" si="37"/>
        <v xml:space="preserve"> </v>
      </c>
      <c r="BZ78" s="2" t="str">
        <f t="shared" si="37"/>
        <v xml:space="preserve"> </v>
      </c>
      <c r="CA78" s="2" t="str">
        <f t="shared" si="37"/>
        <v xml:space="preserve"> </v>
      </c>
      <c r="CB78" s="2" t="str">
        <f t="shared" si="37"/>
        <v xml:space="preserve"> </v>
      </c>
      <c r="CC78" s="2" t="str">
        <f t="shared" si="37"/>
        <v xml:space="preserve"> </v>
      </c>
      <c r="CD78" s="2" t="str">
        <f t="shared" si="36"/>
        <v xml:space="preserve"> </v>
      </c>
      <c r="CE78" s="2" t="str">
        <f t="shared" si="36"/>
        <v xml:space="preserve"> </v>
      </c>
      <c r="CF78" s="2" t="str">
        <f t="shared" si="36"/>
        <v xml:space="preserve"> </v>
      </c>
      <c r="CG78" s="2" t="str">
        <f t="shared" si="36"/>
        <v xml:space="preserve"> </v>
      </c>
      <c r="CH78" s="2" t="str">
        <f t="shared" si="36"/>
        <v xml:space="preserve"> </v>
      </c>
      <c r="CI78" s="2" t="str">
        <f t="shared" si="36"/>
        <v xml:space="preserve"> </v>
      </c>
      <c r="CJ78" s="2" t="str">
        <f t="shared" si="36"/>
        <v xml:space="preserve"> </v>
      </c>
      <c r="CK78" s="2" t="str">
        <f t="shared" si="36"/>
        <v xml:space="preserve"> </v>
      </c>
      <c r="CL78" s="2" t="str">
        <f t="shared" si="36"/>
        <v xml:space="preserve"> </v>
      </c>
      <c r="CM78" s="2" t="str">
        <f t="shared" si="36"/>
        <v xml:space="preserve"> </v>
      </c>
      <c r="CN78" s="2" t="str">
        <f t="shared" si="36"/>
        <v xml:space="preserve"> </v>
      </c>
      <c r="CO78" s="2" t="str">
        <f t="shared" si="36"/>
        <v xml:space="preserve"> </v>
      </c>
      <c r="CP78" s="2" t="str">
        <f t="shared" si="36"/>
        <v xml:space="preserve"> </v>
      </c>
      <c r="CQ78" s="2" t="str">
        <f t="shared" si="36"/>
        <v xml:space="preserve"> </v>
      </c>
      <c r="CR78" s="2" t="str">
        <f t="shared" si="36"/>
        <v xml:space="preserve"> </v>
      </c>
    </row>
    <row r="79" spans="1:96">
      <c r="A79" s="21" t="str">
        <f>VLOOKUP(L79,Ubicacion!A:K,2,FALSE)</f>
        <v>LI3BR</v>
      </c>
      <c r="B79" s="21" t="str">
        <f>VLOOKUP(L79,Ubicacion!A:K,3,FALSE)</f>
        <v>LI3BC12</v>
      </c>
      <c r="C79" s="21" t="str">
        <f>VLOOKUP(L79,Ubicacion!A:K,4,FALSE)</f>
        <v>LIMA</v>
      </c>
      <c r="D79" s="21" t="str">
        <f>VLOOKUP(L79,Ubicacion!A:K,5,FALSE)</f>
        <v>BARRANCO</v>
      </c>
      <c r="E79" s="21" t="str">
        <f>VLOOKUP(L79,Ubicacion!A:K,6,FALSE)</f>
        <v>Mercado</v>
      </c>
      <c r="F79" s="21" t="str">
        <f>VLOOKUP(L79,Ubicacion!A:K,7,FALSE)</f>
        <v>09:00 - 17:00</v>
      </c>
      <c r="G79" s="21" t="str">
        <f>VLOOKUP(L79,Ubicacion!A:K,8,FALSE)</f>
        <v>TUESDAY</v>
      </c>
      <c r="H79" s="21">
        <f>VLOOKUP(L79,Ubicacion!A:K,9,FALSE)</f>
        <v>3</v>
      </c>
      <c r="I79" s="21">
        <f>VLOOKUP(L79,Ubicacion!A:K,10,FALSE)</f>
        <v>-12.146296777118</v>
      </c>
      <c r="J79" s="21">
        <f>VLOOKUP(L79,Ubicacion!A:K,11,FALSE)</f>
        <v>-77.021738367615598</v>
      </c>
      <c r="K79" s="21" t="str">
        <f t="shared" si="33"/>
        <v>46153Grupo 4</v>
      </c>
      <c r="L79" s="21" t="s">
        <v>131</v>
      </c>
      <c r="M79" s="21">
        <v>1</v>
      </c>
      <c r="N79" s="24" t="s">
        <v>186</v>
      </c>
      <c r="O79" s="24" t="s">
        <v>193</v>
      </c>
      <c r="P79" s="23">
        <v>46153</v>
      </c>
      <c r="Q79" s="23">
        <f t="shared" si="34"/>
        <v>46153</v>
      </c>
      <c r="R79" s="24" t="str">
        <f ca="1">IF($A$1&lt;Q79,"On-time",IF(AND(Q79&lt;=$A$1,BJ79="OK"),"OK","NO OK"))</f>
        <v>OK</v>
      </c>
      <c r="S79" s="24" t="str">
        <f t="shared" si="35"/>
        <v>MONDAY</v>
      </c>
      <c r="T79" s="24">
        <f>VLOOKUP(L79,Ubicacion!A:AE,13,FALSE)</f>
        <v>15</v>
      </c>
      <c r="U79" s="24">
        <f>VLOOKUP(L79,Ubicacion!A:AE,14,FALSE)</f>
        <v>18</v>
      </c>
      <c r="V79" s="24">
        <f>VLOOKUP(L79,Ubicacion!A:AE,15,FALSE)</f>
        <v>2</v>
      </c>
      <c r="W79" s="24">
        <f>VLOOKUP(L79,Ubicacion!A:AE,16,FALSE)</f>
        <v>4</v>
      </c>
      <c r="X79" s="24">
        <f>VLOOKUP(L79,Ubicacion!A:AE,17,FALSE)</f>
        <v>4</v>
      </c>
      <c r="Y79" s="24">
        <f>VLOOKUP(L79,Ubicacion!A:AE,18,FALSE)</f>
        <v>0</v>
      </c>
      <c r="Z79" s="24">
        <f>VLOOKUP(L79,Ubicacion!A:AE,19,FALSE)</f>
        <v>0</v>
      </c>
      <c r="AA79" s="24">
        <f>VLOOKUP(L79,Ubicacion!A:AE,20,FALSE)</f>
        <v>0</v>
      </c>
      <c r="AB79" s="24">
        <f>VLOOKUP(L79,Ubicacion!A:AE,21,FALSE)</f>
        <v>0</v>
      </c>
      <c r="AC79" s="24">
        <f>VLOOKUP(L79,Ubicacion!A:AE,22,FALSE)</f>
        <v>4</v>
      </c>
      <c r="AD79" s="24">
        <f>VLOOKUP(L79,Ubicacion!A:AE,23,FALSE)</f>
        <v>30</v>
      </c>
      <c r="AE79" s="24">
        <f>VLOOKUP(L79,Ubicacion!A:AE,24,FALSE)</f>
        <v>0</v>
      </c>
      <c r="AF79" s="24">
        <f>VLOOKUP(L79,Ubicacion!A:AE,25,FALSE)</f>
        <v>0</v>
      </c>
      <c r="AG79" s="24">
        <f>VLOOKUP(L79,Ubicacion!A:AE,26,FALSE)</f>
        <v>34</v>
      </c>
      <c r="AH79" s="24">
        <f>VLOOKUP(L79,Ubicacion!A:AE,27,FALSE)</f>
        <v>2</v>
      </c>
      <c r="AI79" s="24">
        <f>VLOOKUP(L79,Ubicacion!A:AE,28,FALSE)</f>
        <v>5</v>
      </c>
      <c r="AJ79" s="24">
        <f>VLOOKUP(L79,Ubicacion!A:AE,29,FALSE)</f>
        <v>3</v>
      </c>
      <c r="AK79" s="24">
        <f>VLOOKUP(L79,Ubicacion!A:AE,30,FALSE)</f>
        <v>1</v>
      </c>
      <c r="AL79" s="24">
        <f>VLOOKUP(L79,Ubicacion!A:AE,31,FALSE)</f>
        <v>1</v>
      </c>
      <c r="AM79" s="25">
        <f t="shared" ref="AM79:AM87" si="38">IF(T79=0,"100%",AV79/T79)</f>
        <v>0.66666666666666663</v>
      </c>
      <c r="AN79" s="25">
        <f t="shared" ref="AN79:AN87" si="39">IF(U79=0,"100%",AW79/U79)</f>
        <v>5.5555555555555552E-2</v>
      </c>
      <c r="AO79" s="25">
        <f t="shared" ref="AO79:AO87" si="40">IF(V79=0,"100%",AX79/V79)</f>
        <v>1</v>
      </c>
      <c r="AP79" s="25">
        <f t="shared" ref="AP79:AP87" si="41">IF(W79=0,"100%",AY79/W79)</f>
        <v>0.5</v>
      </c>
      <c r="AQ79" s="25">
        <f t="shared" ref="AQ79:AQ87" si="42">IF(X79=0,"100%",AZ79/X79)</f>
        <v>0.5</v>
      </c>
      <c r="AR79" s="25" t="str">
        <f t="shared" ref="AR79:AR87" si="43">IF(Y79=0,"100%",BA79/Y79)</f>
        <v>100%</v>
      </c>
      <c r="AS79" s="25" t="str">
        <f t="shared" ref="AS79:AS87" si="44">IF(Z79=0,"100%",BB79/Z79)</f>
        <v>100%</v>
      </c>
      <c r="AT79" s="25" t="str">
        <f t="shared" ref="AT79:AT87" si="45">IF(AA79=0,"100%",BC79/AA79)</f>
        <v>100%</v>
      </c>
      <c r="AU79" s="25" t="str">
        <f t="shared" ref="AU79:AU87" si="46">IF(AB79=0,"100%",BD79/AB79)</f>
        <v>100%</v>
      </c>
      <c r="AV79" s="24">
        <v>10</v>
      </c>
      <c r="AW79" s="24">
        <v>1</v>
      </c>
      <c r="AX79" s="24">
        <v>2</v>
      </c>
      <c r="AY79" s="24">
        <v>2</v>
      </c>
      <c r="AZ79" s="24">
        <v>2</v>
      </c>
      <c r="BA79" s="24">
        <v>1</v>
      </c>
      <c r="BB79" s="24">
        <v>2</v>
      </c>
      <c r="BC79" s="24">
        <v>1</v>
      </c>
      <c r="BD79" s="24">
        <v>1</v>
      </c>
      <c r="BE79" s="24" t="s">
        <v>184</v>
      </c>
      <c r="BF79" s="24" t="s">
        <v>184</v>
      </c>
      <c r="BG79" s="24" t="s">
        <v>183</v>
      </c>
      <c r="BH79" s="24" t="s">
        <v>183</v>
      </c>
      <c r="BI79" s="24" t="s">
        <v>183</v>
      </c>
      <c r="BJ79" s="24" t="s">
        <v>183</v>
      </c>
      <c r="BK79" s="24"/>
      <c r="BL79" s="24"/>
      <c r="BM79" s="57"/>
      <c r="BN79" s="2" t="str">
        <f t="shared" si="37"/>
        <v xml:space="preserve"> </v>
      </c>
      <c r="BO79" s="2" t="str">
        <f t="shared" si="37"/>
        <v xml:space="preserve"> </v>
      </c>
      <c r="BP79" s="2" t="str">
        <f t="shared" si="37"/>
        <v xml:space="preserve"> </v>
      </c>
      <c r="BQ79" s="2" t="str">
        <f t="shared" si="37"/>
        <v xml:space="preserve"> </v>
      </c>
      <c r="BR79" s="2" t="str">
        <f t="shared" si="37"/>
        <v xml:space="preserve"> </v>
      </c>
      <c r="BS79" s="2" t="str">
        <f t="shared" si="37"/>
        <v xml:space="preserve"> </v>
      </c>
      <c r="BT79" s="2" t="str">
        <f t="shared" si="37"/>
        <v xml:space="preserve"> </v>
      </c>
      <c r="BU79" s="2" t="str">
        <f t="shared" si="37"/>
        <v xml:space="preserve"> </v>
      </c>
      <c r="BV79" s="2" t="str">
        <f t="shared" si="37"/>
        <v xml:space="preserve"> </v>
      </c>
      <c r="BW79" s="2" t="str">
        <f t="shared" si="37"/>
        <v xml:space="preserve"> </v>
      </c>
      <c r="BX79" s="2" t="str">
        <f t="shared" si="37"/>
        <v>.</v>
      </c>
      <c r="BY79" s="2" t="str">
        <f t="shared" si="37"/>
        <v xml:space="preserve"> </v>
      </c>
      <c r="BZ79" s="2" t="str">
        <f t="shared" si="37"/>
        <v xml:space="preserve"> </v>
      </c>
      <c r="CA79" s="2" t="str">
        <f t="shared" si="37"/>
        <v xml:space="preserve"> </v>
      </c>
      <c r="CB79" s="2" t="str">
        <f t="shared" si="37"/>
        <v xml:space="preserve"> </v>
      </c>
      <c r="CC79" s="2" t="str">
        <f t="shared" si="37"/>
        <v xml:space="preserve"> </v>
      </c>
      <c r="CD79" s="2" t="str">
        <f t="shared" si="36"/>
        <v xml:space="preserve"> </v>
      </c>
      <c r="CE79" s="2" t="str">
        <f t="shared" si="36"/>
        <v xml:space="preserve"> </v>
      </c>
      <c r="CF79" s="2" t="str">
        <f t="shared" si="36"/>
        <v xml:space="preserve"> </v>
      </c>
      <c r="CG79" s="2" t="str">
        <f t="shared" si="36"/>
        <v xml:space="preserve"> </v>
      </c>
      <c r="CH79" s="2" t="str">
        <f t="shared" si="36"/>
        <v xml:space="preserve"> </v>
      </c>
      <c r="CI79" s="2" t="str">
        <f t="shared" si="36"/>
        <v xml:space="preserve"> </v>
      </c>
      <c r="CJ79" s="2" t="str">
        <f t="shared" si="36"/>
        <v xml:space="preserve"> </v>
      </c>
      <c r="CK79" s="2" t="str">
        <f t="shared" si="36"/>
        <v xml:space="preserve"> </v>
      </c>
      <c r="CL79" s="2" t="str">
        <f t="shared" si="36"/>
        <v xml:space="preserve"> </v>
      </c>
      <c r="CM79" s="2" t="str">
        <f t="shared" si="36"/>
        <v xml:space="preserve"> </v>
      </c>
      <c r="CN79" s="2" t="str">
        <f t="shared" si="36"/>
        <v xml:space="preserve"> </v>
      </c>
      <c r="CO79" s="2" t="str">
        <f t="shared" si="36"/>
        <v xml:space="preserve"> </v>
      </c>
      <c r="CP79" s="2" t="str">
        <f t="shared" si="36"/>
        <v xml:space="preserve"> </v>
      </c>
      <c r="CQ79" s="2" t="str">
        <f t="shared" si="36"/>
        <v xml:space="preserve"> </v>
      </c>
      <c r="CR79" s="2" t="str">
        <f t="shared" si="36"/>
        <v xml:space="preserve"> </v>
      </c>
    </row>
    <row r="80" spans="1:96">
      <c r="A80" s="21" t="str">
        <f>VLOOKUP(L80,Ubicacion!A:K,2,FALSE)</f>
        <v>LI3BR</v>
      </c>
      <c r="B80" s="21" t="str">
        <f>VLOOKUP(L80,Ubicacion!A:K,3,FALSE)</f>
        <v>LI3BC12</v>
      </c>
      <c r="C80" s="21" t="str">
        <f>VLOOKUP(L80,Ubicacion!A:K,4,FALSE)</f>
        <v>LIMA</v>
      </c>
      <c r="D80" s="21" t="str">
        <f>VLOOKUP(L80,Ubicacion!A:K,5,FALSE)</f>
        <v>SURCO + BARRANCO</v>
      </c>
      <c r="E80" s="21" t="str">
        <f>VLOOKUP(L80,Ubicacion!A:K,6,FALSE)</f>
        <v>Mercado</v>
      </c>
      <c r="F80" s="21" t="str">
        <f>VLOOKUP(L80,Ubicacion!A:K,7,FALSE)</f>
        <v>12:00 - 18:00</v>
      </c>
      <c r="G80" s="21" t="str">
        <f>VLOOKUP(L80,Ubicacion!A:K,8,FALSE)</f>
        <v>WEDNESDAY</v>
      </c>
      <c r="H80" s="21">
        <f>VLOOKUP(L80,Ubicacion!A:K,9,FALSE)</f>
        <v>1</v>
      </c>
      <c r="I80" s="21">
        <f>VLOOKUP(L80,Ubicacion!A:K,10,FALSE)</f>
        <v>-12.1457038</v>
      </c>
      <c r="J80" s="21">
        <f>VLOOKUP(L80,Ubicacion!A:K,11,FALSE)</f>
        <v>-77.013564400000007</v>
      </c>
      <c r="K80" s="21" t="str">
        <f t="shared" si="33"/>
        <v>46154Grupo 4</v>
      </c>
      <c r="L80" s="21" t="s">
        <v>132</v>
      </c>
      <c r="M80" s="21">
        <v>1</v>
      </c>
      <c r="N80" s="24" t="s">
        <v>186</v>
      </c>
      <c r="O80" s="24" t="s">
        <v>193</v>
      </c>
      <c r="P80" s="23">
        <v>46154</v>
      </c>
      <c r="Q80" s="23">
        <f t="shared" si="34"/>
        <v>46154</v>
      </c>
      <c r="R80" s="24" t="str">
        <f ca="1">IF($A$1&lt;Q80,"On-time",IF(AND(Q80&lt;=$A$1,BJ80="OK"),"OK","NO OK"))</f>
        <v>OK</v>
      </c>
      <c r="S80" s="24" t="str">
        <f t="shared" si="35"/>
        <v>TUESDAY</v>
      </c>
      <c r="T80" s="24">
        <f>VLOOKUP(L80,Ubicacion!A:AE,13,FALSE)</f>
        <v>15</v>
      </c>
      <c r="U80" s="24">
        <f>VLOOKUP(L80,Ubicacion!A:AE,14,FALSE)</f>
        <v>18</v>
      </c>
      <c r="V80" s="24">
        <f>VLOOKUP(L80,Ubicacion!A:AE,15,FALSE)</f>
        <v>2</v>
      </c>
      <c r="W80" s="24">
        <f>VLOOKUP(L80,Ubicacion!A:AE,16,FALSE)</f>
        <v>4</v>
      </c>
      <c r="X80" s="24">
        <f>VLOOKUP(L80,Ubicacion!A:AE,17,FALSE)</f>
        <v>4</v>
      </c>
      <c r="Y80" s="24">
        <f>VLOOKUP(L80,Ubicacion!A:AE,18,FALSE)</f>
        <v>0</v>
      </c>
      <c r="Z80" s="24">
        <f>VLOOKUP(L80,Ubicacion!A:AE,19,FALSE)</f>
        <v>0</v>
      </c>
      <c r="AA80" s="24">
        <f>VLOOKUP(L80,Ubicacion!A:AE,20,FALSE)</f>
        <v>0</v>
      </c>
      <c r="AB80" s="24">
        <f>VLOOKUP(L80,Ubicacion!A:AE,21,FALSE)</f>
        <v>0</v>
      </c>
      <c r="AC80" s="24">
        <f>VLOOKUP(L80,Ubicacion!A:AE,22,FALSE)</f>
        <v>4</v>
      </c>
      <c r="AD80" s="24">
        <f>VLOOKUP(L80,Ubicacion!A:AE,23,FALSE)</f>
        <v>30</v>
      </c>
      <c r="AE80" s="24">
        <f>VLOOKUP(L80,Ubicacion!A:AE,24,FALSE)</f>
        <v>0</v>
      </c>
      <c r="AF80" s="24">
        <f>VLOOKUP(L80,Ubicacion!A:AE,25,FALSE)</f>
        <v>0</v>
      </c>
      <c r="AG80" s="24">
        <f>VLOOKUP(L80,Ubicacion!A:AE,26,FALSE)</f>
        <v>34</v>
      </c>
      <c r="AH80" s="24">
        <f>VLOOKUP(L80,Ubicacion!A:AE,27,FALSE)</f>
        <v>2</v>
      </c>
      <c r="AI80" s="24">
        <f>VLOOKUP(L80,Ubicacion!A:AE,28,FALSE)</f>
        <v>5</v>
      </c>
      <c r="AJ80" s="24">
        <f>VLOOKUP(L80,Ubicacion!A:AE,29,FALSE)</f>
        <v>3</v>
      </c>
      <c r="AK80" s="24">
        <f>VLOOKUP(L80,Ubicacion!A:AE,30,FALSE)</f>
        <v>1</v>
      </c>
      <c r="AL80" s="24">
        <f>VLOOKUP(L80,Ubicacion!A:AE,31,FALSE)</f>
        <v>1</v>
      </c>
      <c r="AM80" s="25">
        <f t="shared" si="38"/>
        <v>0.66666666666666663</v>
      </c>
      <c r="AN80" s="25">
        <f t="shared" si="39"/>
        <v>5.5555555555555552E-2</v>
      </c>
      <c r="AO80" s="25">
        <f t="shared" si="40"/>
        <v>1</v>
      </c>
      <c r="AP80" s="25">
        <f t="shared" si="41"/>
        <v>0.5</v>
      </c>
      <c r="AQ80" s="25">
        <f t="shared" si="42"/>
        <v>0.5</v>
      </c>
      <c r="AR80" s="25" t="str">
        <f t="shared" si="43"/>
        <v>100%</v>
      </c>
      <c r="AS80" s="25" t="str">
        <f t="shared" si="44"/>
        <v>100%</v>
      </c>
      <c r="AT80" s="25" t="str">
        <f t="shared" si="45"/>
        <v>100%</v>
      </c>
      <c r="AU80" s="25" t="str">
        <f t="shared" si="46"/>
        <v>100%</v>
      </c>
      <c r="AV80" s="24">
        <v>10</v>
      </c>
      <c r="AW80" s="24">
        <v>1</v>
      </c>
      <c r="AX80" s="24">
        <v>2</v>
      </c>
      <c r="AY80" s="24">
        <v>2</v>
      </c>
      <c r="AZ80" s="24">
        <v>2</v>
      </c>
      <c r="BA80" s="24">
        <v>1</v>
      </c>
      <c r="BB80" s="24">
        <v>2</v>
      </c>
      <c r="BC80" s="24">
        <v>1</v>
      </c>
      <c r="BD80" s="24">
        <v>1</v>
      </c>
      <c r="BE80" s="24" t="s">
        <v>184</v>
      </c>
      <c r="BF80" s="24" t="s">
        <v>184</v>
      </c>
      <c r="BG80" s="24" t="s">
        <v>183</v>
      </c>
      <c r="BH80" s="24" t="s">
        <v>183</v>
      </c>
      <c r="BI80" s="24" t="s">
        <v>183</v>
      </c>
      <c r="BJ80" s="24" t="s">
        <v>183</v>
      </c>
      <c r="BK80" s="24"/>
      <c r="BL80" s="24"/>
      <c r="BM80" s="57"/>
      <c r="BN80" s="2" t="str">
        <f t="shared" si="37"/>
        <v xml:space="preserve"> </v>
      </c>
      <c r="BO80" s="2" t="str">
        <f t="shared" si="37"/>
        <v xml:space="preserve"> </v>
      </c>
      <c r="BP80" s="2" t="str">
        <f t="shared" si="37"/>
        <v xml:space="preserve"> </v>
      </c>
      <c r="BQ80" s="2" t="str">
        <f t="shared" si="37"/>
        <v xml:space="preserve"> </v>
      </c>
      <c r="BR80" s="2" t="str">
        <f t="shared" si="37"/>
        <v xml:space="preserve"> </v>
      </c>
      <c r="BS80" s="2" t="str">
        <f t="shared" si="37"/>
        <v xml:space="preserve"> </v>
      </c>
      <c r="BT80" s="2" t="str">
        <f t="shared" si="37"/>
        <v xml:space="preserve"> </v>
      </c>
      <c r="BU80" s="2" t="str">
        <f t="shared" si="37"/>
        <v xml:space="preserve"> </v>
      </c>
      <c r="BV80" s="2" t="str">
        <f t="shared" si="37"/>
        <v xml:space="preserve"> </v>
      </c>
      <c r="BW80" s="2" t="str">
        <f t="shared" si="37"/>
        <v xml:space="preserve"> </v>
      </c>
      <c r="BX80" s="2" t="str">
        <f t="shared" si="37"/>
        <v xml:space="preserve"> </v>
      </c>
      <c r="BY80" s="2" t="str">
        <f t="shared" si="37"/>
        <v>.</v>
      </c>
      <c r="BZ80" s="2" t="str">
        <f t="shared" si="37"/>
        <v xml:space="preserve"> </v>
      </c>
      <c r="CA80" s="2" t="str">
        <f t="shared" si="37"/>
        <v xml:space="preserve"> </v>
      </c>
      <c r="CB80" s="2" t="str">
        <f t="shared" si="37"/>
        <v xml:space="preserve"> </v>
      </c>
      <c r="CC80" s="2" t="str">
        <f t="shared" si="37"/>
        <v xml:space="preserve"> </v>
      </c>
      <c r="CD80" s="2" t="str">
        <f t="shared" si="36"/>
        <v xml:space="preserve"> </v>
      </c>
      <c r="CE80" s="2" t="str">
        <f t="shared" si="36"/>
        <v xml:space="preserve"> </v>
      </c>
      <c r="CF80" s="2" t="str">
        <f t="shared" si="36"/>
        <v xml:space="preserve"> </v>
      </c>
      <c r="CG80" s="2" t="str">
        <f t="shared" si="36"/>
        <v xml:space="preserve"> </v>
      </c>
      <c r="CH80" s="2" t="str">
        <f t="shared" si="36"/>
        <v xml:space="preserve"> </v>
      </c>
      <c r="CI80" s="2" t="str">
        <f t="shared" si="36"/>
        <v xml:space="preserve"> </v>
      </c>
      <c r="CJ80" s="2" t="str">
        <f t="shared" si="36"/>
        <v xml:space="preserve"> </v>
      </c>
      <c r="CK80" s="2" t="str">
        <f t="shared" si="36"/>
        <v xml:space="preserve"> </v>
      </c>
      <c r="CL80" s="2" t="str">
        <f t="shared" si="36"/>
        <v xml:space="preserve"> </v>
      </c>
      <c r="CM80" s="2" t="str">
        <f t="shared" si="36"/>
        <v xml:space="preserve"> </v>
      </c>
      <c r="CN80" s="2" t="str">
        <f t="shared" si="36"/>
        <v xml:space="preserve"> </v>
      </c>
      <c r="CO80" s="2" t="str">
        <f t="shared" si="36"/>
        <v xml:space="preserve"> </v>
      </c>
      <c r="CP80" s="2" t="str">
        <f t="shared" si="36"/>
        <v xml:space="preserve"> </v>
      </c>
      <c r="CQ80" s="2" t="str">
        <f t="shared" si="36"/>
        <v xml:space="preserve"> </v>
      </c>
      <c r="CR80" s="2" t="str">
        <f t="shared" si="36"/>
        <v xml:space="preserve"> </v>
      </c>
    </row>
    <row r="81" spans="1:96">
      <c r="A81" s="21" t="str">
        <f>VLOOKUP(L81,Ubicacion!A:K,2,FALSE)</f>
        <v>LI3BR</v>
      </c>
      <c r="B81" s="21" t="str">
        <f>VLOOKUP(L81,Ubicacion!A:K,3,FALSE)</f>
        <v>LI3BC03</v>
      </c>
      <c r="C81" s="21" t="str">
        <f>VLOOKUP(L81,Ubicacion!A:K,4,FALSE)</f>
        <v>LIMA</v>
      </c>
      <c r="D81" s="21" t="str">
        <f>VLOOKUP(L81,Ubicacion!A:K,5,FALSE)</f>
        <v>CHORRILLOS</v>
      </c>
      <c r="E81" s="21" t="str">
        <f>VLOOKUP(L81,Ubicacion!A:K,6,FALSE)</f>
        <v>Mercado</v>
      </c>
      <c r="F81" s="21" t="str">
        <f>VLOOKUP(L81,Ubicacion!A:K,7,FALSE)</f>
        <v>12:00 - 18:00</v>
      </c>
      <c r="G81" s="21" t="str">
        <f>VLOOKUP(L81,Ubicacion!A:K,8,FALSE)</f>
        <v>THURSDAY</v>
      </c>
      <c r="H81" s="21">
        <f>VLOOKUP(L81,Ubicacion!A:K,9,FALSE)</f>
        <v>1</v>
      </c>
      <c r="I81" s="21">
        <f>VLOOKUP(L81,Ubicacion!A:K,10,FALSE)</f>
        <v>-12.1938107</v>
      </c>
      <c r="J81" s="21">
        <f>VLOOKUP(L81,Ubicacion!A:K,11,FALSE)</f>
        <v>-77.020144299999998</v>
      </c>
      <c r="K81" s="21" t="str">
        <f t="shared" si="33"/>
        <v>46155Grupo 4</v>
      </c>
      <c r="L81" s="21" t="s">
        <v>133</v>
      </c>
      <c r="M81" s="21">
        <v>1</v>
      </c>
      <c r="N81" s="24" t="s">
        <v>186</v>
      </c>
      <c r="O81" s="24" t="s">
        <v>193</v>
      </c>
      <c r="P81" s="23">
        <v>46155</v>
      </c>
      <c r="Q81" s="23">
        <f t="shared" si="34"/>
        <v>46155</v>
      </c>
      <c r="R81" s="24" t="str">
        <f ca="1">IF($A$1&lt;Q81,"On-time",IF(AND(Q81&lt;=$A$1,BJ81="OK"),"OK","NO OK"))</f>
        <v>On-time</v>
      </c>
      <c r="S81" s="24" t="str">
        <f t="shared" si="35"/>
        <v>WEDNESDAY</v>
      </c>
      <c r="T81" s="24">
        <f>VLOOKUP(L81,Ubicacion!A:AE,13,FALSE)</f>
        <v>15</v>
      </c>
      <c r="U81" s="24">
        <f>VLOOKUP(L81,Ubicacion!A:AE,14,FALSE)</f>
        <v>23</v>
      </c>
      <c r="V81" s="24">
        <f>VLOOKUP(L81,Ubicacion!A:AE,15,FALSE)</f>
        <v>2</v>
      </c>
      <c r="W81" s="24">
        <f>VLOOKUP(L81,Ubicacion!A:AE,16,FALSE)</f>
        <v>5</v>
      </c>
      <c r="X81" s="24">
        <f>VLOOKUP(L81,Ubicacion!A:AE,17,FALSE)</f>
        <v>5</v>
      </c>
      <c r="Y81" s="24">
        <f>VLOOKUP(L81,Ubicacion!A:AE,18,FALSE)</f>
        <v>0</v>
      </c>
      <c r="Z81" s="24">
        <f>VLOOKUP(L81,Ubicacion!A:AE,19,FALSE)</f>
        <v>0</v>
      </c>
      <c r="AA81" s="24">
        <f>VLOOKUP(L81,Ubicacion!A:AE,20,FALSE)</f>
        <v>0</v>
      </c>
      <c r="AB81" s="24">
        <f>VLOOKUP(L81,Ubicacion!A:AE,21,FALSE)</f>
        <v>0</v>
      </c>
      <c r="AC81" s="24">
        <f>VLOOKUP(L81,Ubicacion!A:AE,22,FALSE)</f>
        <v>4</v>
      </c>
      <c r="AD81" s="24">
        <f>VLOOKUP(L81,Ubicacion!A:AE,23,FALSE)</f>
        <v>0</v>
      </c>
      <c r="AE81" s="24">
        <f>VLOOKUP(L81,Ubicacion!A:AE,24,FALSE)</f>
        <v>0</v>
      </c>
      <c r="AF81" s="24">
        <f>VLOOKUP(L81,Ubicacion!A:AE,25,FALSE)</f>
        <v>0</v>
      </c>
      <c r="AG81" s="24">
        <f>VLOOKUP(L81,Ubicacion!A:AE,26,FALSE)</f>
        <v>4</v>
      </c>
      <c r="AH81" s="24">
        <f>VLOOKUP(L81,Ubicacion!A:AE,27,FALSE)</f>
        <v>2</v>
      </c>
      <c r="AI81" s="24">
        <f>VLOOKUP(L81,Ubicacion!A:AE,28,FALSE)</f>
        <v>5</v>
      </c>
      <c r="AJ81" s="24">
        <f>VLOOKUP(L81,Ubicacion!A:AE,29,FALSE)</f>
        <v>3</v>
      </c>
      <c r="AK81" s="24">
        <f>VLOOKUP(L81,Ubicacion!A:AE,30,FALSE)</f>
        <v>1</v>
      </c>
      <c r="AL81" s="24">
        <f>VLOOKUP(L81,Ubicacion!A:AE,31,FALSE)</f>
        <v>1</v>
      </c>
      <c r="AM81" s="25">
        <f t="shared" si="38"/>
        <v>0.66666666666666663</v>
      </c>
      <c r="AN81" s="25">
        <f t="shared" si="39"/>
        <v>4.3478260869565216E-2</v>
      </c>
      <c r="AO81" s="25">
        <f t="shared" si="40"/>
        <v>1</v>
      </c>
      <c r="AP81" s="25">
        <f t="shared" si="41"/>
        <v>0.4</v>
      </c>
      <c r="AQ81" s="25">
        <f t="shared" si="42"/>
        <v>0.4</v>
      </c>
      <c r="AR81" s="25" t="str">
        <f t="shared" si="43"/>
        <v>100%</v>
      </c>
      <c r="AS81" s="25" t="str">
        <f t="shared" si="44"/>
        <v>100%</v>
      </c>
      <c r="AT81" s="25" t="str">
        <f t="shared" si="45"/>
        <v>100%</v>
      </c>
      <c r="AU81" s="25" t="str">
        <f t="shared" si="46"/>
        <v>100%</v>
      </c>
      <c r="AV81" s="24">
        <v>10</v>
      </c>
      <c r="AW81" s="24">
        <v>1</v>
      </c>
      <c r="AX81" s="24">
        <v>2</v>
      </c>
      <c r="AY81" s="24">
        <v>2</v>
      </c>
      <c r="AZ81" s="24">
        <v>2</v>
      </c>
      <c r="BA81" s="24">
        <v>1</v>
      </c>
      <c r="BB81" s="24">
        <v>2</v>
      </c>
      <c r="BC81" s="24">
        <v>1</v>
      </c>
      <c r="BD81" s="24">
        <v>1</v>
      </c>
      <c r="BE81" s="24" t="s">
        <v>184</v>
      </c>
      <c r="BF81" s="24" t="s">
        <v>184</v>
      </c>
      <c r="BG81" s="24" t="s">
        <v>183</v>
      </c>
      <c r="BH81" s="24" t="s">
        <v>183</v>
      </c>
      <c r="BI81" s="24" t="s">
        <v>183</v>
      </c>
      <c r="BJ81" s="24" t="s">
        <v>183</v>
      </c>
      <c r="BK81" s="24"/>
      <c r="BL81" s="24"/>
      <c r="BM81" s="57"/>
      <c r="BN81" s="2" t="str">
        <f t="shared" si="37"/>
        <v xml:space="preserve"> </v>
      </c>
      <c r="BO81" s="2" t="str">
        <f t="shared" si="37"/>
        <v xml:space="preserve"> </v>
      </c>
      <c r="BP81" s="2" t="str">
        <f t="shared" si="37"/>
        <v xml:space="preserve"> </v>
      </c>
      <c r="BQ81" s="2" t="str">
        <f t="shared" si="37"/>
        <v xml:space="preserve"> </v>
      </c>
      <c r="BR81" s="2" t="str">
        <f t="shared" si="37"/>
        <v xml:space="preserve"> </v>
      </c>
      <c r="BS81" s="2" t="str">
        <f t="shared" si="37"/>
        <v xml:space="preserve"> </v>
      </c>
      <c r="BT81" s="2" t="str">
        <f t="shared" si="37"/>
        <v xml:space="preserve"> </v>
      </c>
      <c r="BU81" s="2" t="str">
        <f t="shared" si="37"/>
        <v xml:space="preserve"> </v>
      </c>
      <c r="BV81" s="2" t="str">
        <f t="shared" si="37"/>
        <v xml:space="preserve"> </v>
      </c>
      <c r="BW81" s="2" t="str">
        <f t="shared" si="37"/>
        <v xml:space="preserve"> </v>
      </c>
      <c r="BX81" s="2" t="str">
        <f t="shared" si="37"/>
        <v xml:space="preserve"> </v>
      </c>
      <c r="BY81" s="2" t="str">
        <f t="shared" si="37"/>
        <v xml:space="preserve"> </v>
      </c>
      <c r="BZ81" s="2" t="str">
        <f t="shared" si="37"/>
        <v>.</v>
      </c>
      <c r="CA81" s="2" t="str">
        <f t="shared" si="37"/>
        <v xml:space="preserve"> </v>
      </c>
      <c r="CB81" s="2" t="str">
        <f t="shared" si="37"/>
        <v xml:space="preserve"> </v>
      </c>
      <c r="CC81" s="2" t="str">
        <f t="shared" si="37"/>
        <v xml:space="preserve"> </v>
      </c>
      <c r="CD81" s="2" t="str">
        <f t="shared" si="36"/>
        <v xml:space="preserve"> </v>
      </c>
      <c r="CE81" s="2" t="str">
        <f t="shared" si="36"/>
        <v xml:space="preserve"> </v>
      </c>
      <c r="CF81" s="2" t="str">
        <f t="shared" si="36"/>
        <v xml:space="preserve"> </v>
      </c>
      <c r="CG81" s="2" t="str">
        <f t="shared" si="36"/>
        <v xml:space="preserve"> </v>
      </c>
      <c r="CH81" s="2" t="str">
        <f t="shared" si="36"/>
        <v xml:space="preserve"> </v>
      </c>
      <c r="CI81" s="2" t="str">
        <f t="shared" si="36"/>
        <v xml:space="preserve"> </v>
      </c>
      <c r="CJ81" s="2" t="str">
        <f t="shared" si="36"/>
        <v xml:space="preserve"> </v>
      </c>
      <c r="CK81" s="2" t="str">
        <f t="shared" si="36"/>
        <v xml:space="preserve"> </v>
      </c>
      <c r="CL81" s="2" t="str">
        <f t="shared" si="36"/>
        <v xml:space="preserve"> </v>
      </c>
      <c r="CM81" s="2" t="str">
        <f t="shared" si="36"/>
        <v xml:space="preserve"> </v>
      </c>
      <c r="CN81" s="2" t="str">
        <f t="shared" si="36"/>
        <v xml:space="preserve"> </v>
      </c>
      <c r="CO81" s="2" t="str">
        <f t="shared" si="36"/>
        <v xml:space="preserve"> </v>
      </c>
      <c r="CP81" s="2" t="str">
        <f t="shared" si="36"/>
        <v xml:space="preserve"> </v>
      </c>
      <c r="CQ81" s="2" t="str">
        <f t="shared" si="36"/>
        <v xml:space="preserve"> </v>
      </c>
      <c r="CR81" s="2" t="str">
        <f t="shared" si="36"/>
        <v xml:space="preserve"> </v>
      </c>
    </row>
    <row r="82" spans="1:96">
      <c r="A82" s="21" t="str">
        <f>VLOOKUP(L82,Ubicacion!A:K,2,FALSE)</f>
        <v>LI3BR</v>
      </c>
      <c r="B82" s="21" t="str">
        <f>VLOOKUP(L82,Ubicacion!A:K,3,FALSE)</f>
        <v>LI3BC08</v>
      </c>
      <c r="C82" s="21" t="str">
        <f>VLOOKUP(L82,Ubicacion!A:K,4,FALSE)</f>
        <v>LIMA</v>
      </c>
      <c r="D82" s="21" t="str">
        <f>VLOOKUP(L82,Ubicacion!A:K,5,FALSE)</f>
        <v>SURQUILLO + MIRAFLORES</v>
      </c>
      <c r="E82" s="21" t="str">
        <f>VLOOKUP(L82,Ubicacion!A:K,6,FALSE)</f>
        <v>Mercado</v>
      </c>
      <c r="F82" s="21" t="str">
        <f>VLOOKUP(L82,Ubicacion!A:K,7,FALSE)</f>
        <v>10:00 - 16:00</v>
      </c>
      <c r="G82" s="21" t="str">
        <f>VLOOKUP(L82,Ubicacion!A:K,8,FALSE)</f>
        <v>FRIDAY</v>
      </c>
      <c r="H82" s="21">
        <f>VLOOKUP(L82,Ubicacion!A:K,9,FALSE)</f>
        <v>1</v>
      </c>
      <c r="I82" s="21">
        <f>VLOOKUP(L82,Ubicacion!A:K,10,FALSE)</f>
        <v>-12.104669700000001</v>
      </c>
      <c r="J82" s="21">
        <f>VLOOKUP(L82,Ubicacion!A:K,11,FALSE)</f>
        <v>-77.018531600000003</v>
      </c>
      <c r="K82" s="21" t="str">
        <f t="shared" si="33"/>
        <v>46156Grupo 4</v>
      </c>
      <c r="L82" s="21" t="s">
        <v>134</v>
      </c>
      <c r="M82" s="21">
        <v>1</v>
      </c>
      <c r="N82" s="24" t="s">
        <v>186</v>
      </c>
      <c r="O82" s="24" t="s">
        <v>193</v>
      </c>
      <c r="P82" s="23">
        <v>46156</v>
      </c>
      <c r="Q82" s="23">
        <f t="shared" si="34"/>
        <v>46156</v>
      </c>
      <c r="R82" s="24" t="str">
        <f ca="1">IF($A$1&lt;Q82,"On-time",IF(AND(Q82&lt;=$A$1,BJ82="OK"),"OK","NO OK"))</f>
        <v>On-time</v>
      </c>
      <c r="S82" s="24" t="str">
        <f t="shared" si="35"/>
        <v>THURSDAY</v>
      </c>
      <c r="T82" s="24">
        <f>VLOOKUP(L82,Ubicacion!A:AE,13,FALSE)</f>
        <v>15</v>
      </c>
      <c r="U82" s="24">
        <f>VLOOKUP(L82,Ubicacion!A:AE,14,FALSE)</f>
        <v>23</v>
      </c>
      <c r="V82" s="24">
        <f>VLOOKUP(L82,Ubicacion!A:AE,15,FALSE)</f>
        <v>2</v>
      </c>
      <c r="W82" s="24">
        <f>VLOOKUP(L82,Ubicacion!A:AE,16,FALSE)</f>
        <v>5</v>
      </c>
      <c r="X82" s="24">
        <f>VLOOKUP(L82,Ubicacion!A:AE,17,FALSE)</f>
        <v>5</v>
      </c>
      <c r="Y82" s="24">
        <f>VLOOKUP(L82,Ubicacion!A:AE,18,FALSE)</f>
        <v>0</v>
      </c>
      <c r="Z82" s="24">
        <f>VLOOKUP(L82,Ubicacion!A:AE,19,FALSE)</f>
        <v>0</v>
      </c>
      <c r="AA82" s="24">
        <f>VLOOKUP(L82,Ubicacion!A:AE,20,FALSE)</f>
        <v>0</v>
      </c>
      <c r="AB82" s="24">
        <f>VLOOKUP(L82,Ubicacion!A:AE,21,FALSE)</f>
        <v>0</v>
      </c>
      <c r="AC82" s="24">
        <f>VLOOKUP(L82,Ubicacion!A:AE,22,FALSE)</f>
        <v>4</v>
      </c>
      <c r="AD82" s="24">
        <f>VLOOKUP(L82,Ubicacion!A:AE,23,FALSE)</f>
        <v>0</v>
      </c>
      <c r="AE82" s="24">
        <f>VLOOKUP(L82,Ubicacion!A:AE,24,FALSE)</f>
        <v>0</v>
      </c>
      <c r="AF82" s="24">
        <f>VLOOKUP(L82,Ubicacion!A:AE,25,FALSE)</f>
        <v>0</v>
      </c>
      <c r="AG82" s="24">
        <f>VLOOKUP(L82,Ubicacion!A:AE,26,FALSE)</f>
        <v>4</v>
      </c>
      <c r="AH82" s="24">
        <f>VLOOKUP(L82,Ubicacion!A:AE,27,FALSE)</f>
        <v>2</v>
      </c>
      <c r="AI82" s="24">
        <f>VLOOKUP(L82,Ubicacion!A:AE,28,FALSE)</f>
        <v>5</v>
      </c>
      <c r="AJ82" s="24">
        <f>VLOOKUP(L82,Ubicacion!A:AE,29,FALSE)</f>
        <v>3</v>
      </c>
      <c r="AK82" s="24">
        <f>VLOOKUP(L82,Ubicacion!A:AE,30,FALSE)</f>
        <v>1</v>
      </c>
      <c r="AL82" s="24">
        <f>VLOOKUP(L82,Ubicacion!A:AE,31,FALSE)</f>
        <v>1</v>
      </c>
      <c r="AM82" s="25">
        <f t="shared" si="38"/>
        <v>0.66666666666666663</v>
      </c>
      <c r="AN82" s="25">
        <f t="shared" si="39"/>
        <v>4.3478260869565216E-2</v>
      </c>
      <c r="AO82" s="25">
        <f t="shared" si="40"/>
        <v>1</v>
      </c>
      <c r="AP82" s="25">
        <f t="shared" si="41"/>
        <v>0.4</v>
      </c>
      <c r="AQ82" s="25">
        <f t="shared" si="42"/>
        <v>0.4</v>
      </c>
      <c r="AR82" s="25" t="str">
        <f t="shared" si="43"/>
        <v>100%</v>
      </c>
      <c r="AS82" s="25" t="str">
        <f t="shared" si="44"/>
        <v>100%</v>
      </c>
      <c r="AT82" s="25" t="str">
        <f t="shared" si="45"/>
        <v>100%</v>
      </c>
      <c r="AU82" s="25" t="str">
        <f t="shared" si="46"/>
        <v>100%</v>
      </c>
      <c r="AV82" s="24">
        <v>10</v>
      </c>
      <c r="AW82" s="24">
        <v>1</v>
      </c>
      <c r="AX82" s="24">
        <v>2</v>
      </c>
      <c r="AY82" s="24">
        <v>2</v>
      </c>
      <c r="AZ82" s="24">
        <v>2</v>
      </c>
      <c r="BA82" s="24">
        <v>1</v>
      </c>
      <c r="BB82" s="24">
        <v>2</v>
      </c>
      <c r="BC82" s="24">
        <v>1</v>
      </c>
      <c r="BD82" s="24">
        <v>1</v>
      </c>
      <c r="BE82" s="24" t="s">
        <v>184</v>
      </c>
      <c r="BF82" s="24" t="s">
        <v>184</v>
      </c>
      <c r="BG82" s="24" t="s">
        <v>183</v>
      </c>
      <c r="BH82" s="24" t="s">
        <v>183</v>
      </c>
      <c r="BI82" s="24" t="s">
        <v>183</v>
      </c>
      <c r="BJ82" s="24" t="s">
        <v>183</v>
      </c>
      <c r="BK82" s="24"/>
      <c r="BL82" s="24"/>
      <c r="BM82" s="57"/>
      <c r="BN82" s="2" t="str">
        <f t="shared" si="37"/>
        <v xml:space="preserve"> </v>
      </c>
      <c r="BO82" s="2" t="str">
        <f t="shared" si="37"/>
        <v xml:space="preserve"> </v>
      </c>
      <c r="BP82" s="2" t="str">
        <f t="shared" si="37"/>
        <v xml:space="preserve"> </v>
      </c>
      <c r="BQ82" s="2" t="str">
        <f t="shared" si="37"/>
        <v xml:space="preserve"> </v>
      </c>
      <c r="BR82" s="2" t="str">
        <f t="shared" si="37"/>
        <v xml:space="preserve"> </v>
      </c>
      <c r="BS82" s="2" t="str">
        <f t="shared" si="37"/>
        <v xml:space="preserve"> </v>
      </c>
      <c r="BT82" s="2" t="str">
        <f t="shared" si="37"/>
        <v xml:space="preserve"> </v>
      </c>
      <c r="BU82" s="2" t="str">
        <f t="shared" si="37"/>
        <v xml:space="preserve"> </v>
      </c>
      <c r="BV82" s="2" t="str">
        <f t="shared" si="37"/>
        <v xml:space="preserve"> </v>
      </c>
      <c r="BW82" s="2" t="str">
        <f t="shared" si="37"/>
        <v xml:space="preserve"> </v>
      </c>
      <c r="BX82" s="2" t="str">
        <f t="shared" si="37"/>
        <v xml:space="preserve"> </v>
      </c>
      <c r="BY82" s="2" t="str">
        <f t="shared" si="37"/>
        <v xml:space="preserve"> </v>
      </c>
      <c r="BZ82" s="2" t="str">
        <f t="shared" si="37"/>
        <v xml:space="preserve"> </v>
      </c>
      <c r="CA82" s="2" t="str">
        <f t="shared" si="37"/>
        <v>.</v>
      </c>
      <c r="CB82" s="2" t="str">
        <f t="shared" si="37"/>
        <v xml:space="preserve"> </v>
      </c>
      <c r="CC82" s="2" t="str">
        <f t="shared" si="37"/>
        <v xml:space="preserve"> </v>
      </c>
      <c r="CD82" s="2" t="str">
        <f t="shared" si="36"/>
        <v xml:space="preserve"> </v>
      </c>
      <c r="CE82" s="2" t="str">
        <f t="shared" si="36"/>
        <v xml:space="preserve"> </v>
      </c>
      <c r="CF82" s="2" t="str">
        <f t="shared" si="36"/>
        <v xml:space="preserve"> </v>
      </c>
      <c r="CG82" s="2" t="str">
        <f t="shared" si="36"/>
        <v xml:space="preserve"> </v>
      </c>
      <c r="CH82" s="2" t="str">
        <f t="shared" si="36"/>
        <v xml:space="preserve"> </v>
      </c>
      <c r="CI82" s="2" t="str">
        <f t="shared" si="36"/>
        <v xml:space="preserve"> </v>
      </c>
      <c r="CJ82" s="2" t="str">
        <f t="shared" si="36"/>
        <v xml:space="preserve"> </v>
      </c>
      <c r="CK82" s="2" t="str">
        <f t="shared" si="36"/>
        <v xml:space="preserve"> </v>
      </c>
      <c r="CL82" s="2" t="str">
        <f t="shared" si="36"/>
        <v xml:space="preserve"> </v>
      </c>
      <c r="CM82" s="2" t="str">
        <f t="shared" si="36"/>
        <v xml:space="preserve"> </v>
      </c>
      <c r="CN82" s="2" t="str">
        <f t="shared" si="36"/>
        <v xml:space="preserve"> </v>
      </c>
      <c r="CO82" s="2" t="str">
        <f t="shared" si="36"/>
        <v xml:space="preserve"> </v>
      </c>
      <c r="CP82" s="2" t="str">
        <f t="shared" si="36"/>
        <v xml:space="preserve"> </v>
      </c>
      <c r="CQ82" s="2" t="str">
        <f t="shared" si="36"/>
        <v xml:space="preserve"> </v>
      </c>
      <c r="CR82" s="2" t="str">
        <f t="shared" si="36"/>
        <v xml:space="preserve"> </v>
      </c>
    </row>
    <row r="83" spans="1:96">
      <c r="A83" s="21" t="str">
        <f>VLOOKUP(L83,Ubicacion!A:K,2,FALSE)</f>
        <v>LI3BR</v>
      </c>
      <c r="B83" s="21" t="str">
        <f>VLOOKUP(L83,Ubicacion!A:K,3,FALSE)</f>
        <v>LI3BC10</v>
      </c>
      <c r="C83" s="21" t="str">
        <f>VLOOKUP(L83,Ubicacion!A:K,4,FALSE)</f>
        <v>LIMA</v>
      </c>
      <c r="D83" s="21" t="str">
        <f>VLOOKUP(L83,Ubicacion!A:K,5,FALSE)</f>
        <v>PACHACAMAC</v>
      </c>
      <c r="E83" s="21" t="str">
        <f>VLOOKUP(L83,Ubicacion!A:K,6,FALSE)</f>
        <v>Mercado</v>
      </c>
      <c r="F83" s="21" t="str">
        <f>VLOOKUP(L83,Ubicacion!A:K,7,FALSE)</f>
        <v>10:00 - 16:00</v>
      </c>
      <c r="G83" s="21" t="str">
        <f>VLOOKUP(L83,Ubicacion!A:K,8,FALSE)</f>
        <v>SATURDAY</v>
      </c>
      <c r="H83" s="21">
        <f>VLOOKUP(L83,Ubicacion!A:K,9,FALSE)</f>
        <v>1</v>
      </c>
      <c r="I83" s="21">
        <f>VLOOKUP(L83,Ubicacion!A:K,10,FALSE)</f>
        <v>-12.1144567</v>
      </c>
      <c r="J83" s="21">
        <f>VLOOKUP(L83,Ubicacion!A:K,11,FALSE)</f>
        <v>-76.873497799999996</v>
      </c>
      <c r="K83" s="21" t="str">
        <f t="shared" si="33"/>
        <v>46157Grupo 4</v>
      </c>
      <c r="L83" s="21" t="s">
        <v>135</v>
      </c>
      <c r="M83" s="21">
        <v>1</v>
      </c>
      <c r="N83" s="24" t="s">
        <v>186</v>
      </c>
      <c r="O83" s="24" t="s">
        <v>193</v>
      </c>
      <c r="P83" s="23">
        <v>46157</v>
      </c>
      <c r="Q83" s="23">
        <f t="shared" si="34"/>
        <v>46157</v>
      </c>
      <c r="R83" s="24" t="str">
        <f ca="1">IF($A$1&lt;Q83,"On-time",IF(AND(Q83&lt;=$A$1,BJ83="OK"),"OK","NO OK"))</f>
        <v>On-time</v>
      </c>
      <c r="S83" s="24" t="str">
        <f t="shared" si="35"/>
        <v>FRIDAY</v>
      </c>
      <c r="T83" s="24">
        <f>VLOOKUP(L83,Ubicacion!A:AE,13,FALSE)</f>
        <v>15</v>
      </c>
      <c r="U83" s="24">
        <f>VLOOKUP(L83,Ubicacion!A:AE,14,FALSE)</f>
        <v>23</v>
      </c>
      <c r="V83" s="24">
        <f>VLOOKUP(L83,Ubicacion!A:AE,15,FALSE)</f>
        <v>2</v>
      </c>
      <c r="W83" s="24">
        <f>VLOOKUP(L83,Ubicacion!A:AE,16,FALSE)</f>
        <v>5</v>
      </c>
      <c r="X83" s="24">
        <f>VLOOKUP(L83,Ubicacion!A:AE,17,FALSE)</f>
        <v>5</v>
      </c>
      <c r="Y83" s="24">
        <f>VLOOKUP(L83,Ubicacion!A:AE,18,FALSE)</f>
        <v>0</v>
      </c>
      <c r="Z83" s="24">
        <f>VLOOKUP(L83,Ubicacion!A:AE,19,FALSE)</f>
        <v>0</v>
      </c>
      <c r="AA83" s="24">
        <f>VLOOKUP(L83,Ubicacion!A:AE,20,FALSE)</f>
        <v>0</v>
      </c>
      <c r="AB83" s="24">
        <f>VLOOKUP(L83,Ubicacion!A:AE,21,FALSE)</f>
        <v>0</v>
      </c>
      <c r="AC83" s="24">
        <f>VLOOKUP(L83,Ubicacion!A:AE,22,FALSE)</f>
        <v>4</v>
      </c>
      <c r="AD83" s="24">
        <f>VLOOKUP(L83,Ubicacion!A:AE,23,FALSE)</f>
        <v>0</v>
      </c>
      <c r="AE83" s="24">
        <f>VLOOKUP(L83,Ubicacion!A:AE,24,FALSE)</f>
        <v>0</v>
      </c>
      <c r="AF83" s="24">
        <f>VLOOKUP(L83,Ubicacion!A:AE,25,FALSE)</f>
        <v>0</v>
      </c>
      <c r="AG83" s="24">
        <f>VLOOKUP(L83,Ubicacion!A:AE,26,FALSE)</f>
        <v>4</v>
      </c>
      <c r="AH83" s="24">
        <f>VLOOKUP(L83,Ubicacion!A:AE,27,FALSE)</f>
        <v>2</v>
      </c>
      <c r="AI83" s="24">
        <f>VLOOKUP(L83,Ubicacion!A:AE,28,FALSE)</f>
        <v>5</v>
      </c>
      <c r="AJ83" s="24">
        <f>VLOOKUP(L83,Ubicacion!A:AE,29,FALSE)</f>
        <v>3</v>
      </c>
      <c r="AK83" s="24">
        <f>VLOOKUP(L83,Ubicacion!A:AE,30,FALSE)</f>
        <v>1</v>
      </c>
      <c r="AL83" s="24">
        <f>VLOOKUP(L83,Ubicacion!A:AE,31,FALSE)</f>
        <v>1</v>
      </c>
      <c r="AM83" s="25">
        <f t="shared" si="38"/>
        <v>0.66666666666666663</v>
      </c>
      <c r="AN83" s="25">
        <f t="shared" si="39"/>
        <v>4.3478260869565216E-2</v>
      </c>
      <c r="AO83" s="25">
        <f t="shared" si="40"/>
        <v>1</v>
      </c>
      <c r="AP83" s="25">
        <f t="shared" si="41"/>
        <v>0.4</v>
      </c>
      <c r="AQ83" s="25">
        <f t="shared" si="42"/>
        <v>0.4</v>
      </c>
      <c r="AR83" s="25" t="str">
        <f t="shared" si="43"/>
        <v>100%</v>
      </c>
      <c r="AS83" s="25" t="str">
        <f t="shared" si="44"/>
        <v>100%</v>
      </c>
      <c r="AT83" s="25" t="str">
        <f t="shared" si="45"/>
        <v>100%</v>
      </c>
      <c r="AU83" s="25" t="str">
        <f t="shared" si="46"/>
        <v>100%</v>
      </c>
      <c r="AV83" s="24">
        <v>10</v>
      </c>
      <c r="AW83" s="24">
        <v>1</v>
      </c>
      <c r="AX83" s="24">
        <v>2</v>
      </c>
      <c r="AY83" s="24">
        <v>2</v>
      </c>
      <c r="AZ83" s="24">
        <v>2</v>
      </c>
      <c r="BA83" s="24">
        <v>1</v>
      </c>
      <c r="BB83" s="24">
        <v>2</v>
      </c>
      <c r="BC83" s="24">
        <v>1</v>
      </c>
      <c r="BD83" s="24">
        <v>1</v>
      </c>
      <c r="BE83" s="24" t="s">
        <v>184</v>
      </c>
      <c r="BF83" s="24" t="s">
        <v>184</v>
      </c>
      <c r="BG83" s="24" t="s">
        <v>183</v>
      </c>
      <c r="BH83" s="24" t="s">
        <v>183</v>
      </c>
      <c r="BI83" s="24" t="s">
        <v>183</v>
      </c>
      <c r="BJ83" s="24" t="s">
        <v>183</v>
      </c>
      <c r="BK83" s="24"/>
      <c r="BL83" s="24"/>
      <c r="BM83" s="57"/>
      <c r="BN83" s="2" t="str">
        <f t="shared" si="37"/>
        <v xml:space="preserve"> </v>
      </c>
      <c r="BO83" s="2" t="str">
        <f t="shared" si="37"/>
        <v xml:space="preserve"> </v>
      </c>
      <c r="BP83" s="2" t="str">
        <f t="shared" si="37"/>
        <v xml:space="preserve"> </v>
      </c>
      <c r="BQ83" s="2" t="str">
        <f t="shared" si="37"/>
        <v xml:space="preserve"> </v>
      </c>
      <c r="BR83" s="2" t="str">
        <f t="shared" si="37"/>
        <v xml:space="preserve"> </v>
      </c>
      <c r="BS83" s="2" t="str">
        <f t="shared" si="37"/>
        <v xml:space="preserve"> </v>
      </c>
      <c r="BT83" s="2" t="str">
        <f t="shared" si="37"/>
        <v xml:space="preserve"> </v>
      </c>
      <c r="BU83" s="2" t="str">
        <f t="shared" si="37"/>
        <v xml:space="preserve"> </v>
      </c>
      <c r="BV83" s="2" t="str">
        <f t="shared" si="37"/>
        <v xml:space="preserve"> </v>
      </c>
      <c r="BW83" s="2" t="str">
        <f t="shared" si="37"/>
        <v xml:space="preserve"> </v>
      </c>
      <c r="BX83" s="2" t="str">
        <f t="shared" si="37"/>
        <v xml:space="preserve"> </v>
      </c>
      <c r="BY83" s="2" t="str">
        <f t="shared" si="37"/>
        <v xml:space="preserve"> </v>
      </c>
      <c r="BZ83" s="2" t="str">
        <f t="shared" si="37"/>
        <v xml:space="preserve"> </v>
      </c>
      <c r="CA83" s="2" t="str">
        <f t="shared" si="37"/>
        <v xml:space="preserve"> </v>
      </c>
      <c r="CB83" s="2" t="str">
        <f t="shared" si="37"/>
        <v>.</v>
      </c>
      <c r="CC83" s="2" t="str">
        <f t="shared" si="37"/>
        <v xml:space="preserve"> </v>
      </c>
      <c r="CD83" s="2" t="str">
        <f t="shared" si="36"/>
        <v xml:space="preserve"> </v>
      </c>
      <c r="CE83" s="2" t="str">
        <f t="shared" si="36"/>
        <v xml:space="preserve"> </v>
      </c>
      <c r="CF83" s="2" t="str">
        <f t="shared" si="36"/>
        <v xml:space="preserve"> </v>
      </c>
      <c r="CG83" s="2" t="str">
        <f t="shared" si="36"/>
        <v xml:space="preserve"> </v>
      </c>
      <c r="CH83" s="2" t="str">
        <f t="shared" si="36"/>
        <v xml:space="preserve"> </v>
      </c>
      <c r="CI83" s="2" t="str">
        <f t="shared" si="36"/>
        <v xml:space="preserve"> </v>
      </c>
      <c r="CJ83" s="2" t="str">
        <f t="shared" si="36"/>
        <v xml:space="preserve"> </v>
      </c>
      <c r="CK83" s="2" t="str">
        <f t="shared" si="36"/>
        <v xml:space="preserve"> </v>
      </c>
      <c r="CL83" s="2" t="str">
        <f t="shared" si="36"/>
        <v xml:space="preserve"> </v>
      </c>
      <c r="CM83" s="2" t="str">
        <f t="shared" si="36"/>
        <v xml:space="preserve"> </v>
      </c>
      <c r="CN83" s="2" t="str">
        <f t="shared" si="36"/>
        <v xml:space="preserve"> </v>
      </c>
      <c r="CO83" s="2" t="str">
        <f t="shared" si="36"/>
        <v xml:space="preserve"> </v>
      </c>
      <c r="CP83" s="2" t="str">
        <f t="shared" si="36"/>
        <v xml:space="preserve"> </v>
      </c>
      <c r="CQ83" s="2" t="str">
        <f t="shared" si="36"/>
        <v xml:space="preserve"> </v>
      </c>
      <c r="CR83" s="2" t="str">
        <f t="shared" si="36"/>
        <v xml:space="preserve"> </v>
      </c>
    </row>
    <row r="84" spans="1:96">
      <c r="A84" s="21" t="str">
        <f>VLOOKUP(L84,Ubicacion!A:K,2,FALSE)</f>
        <v>LI3BR</v>
      </c>
      <c r="B84" s="21" t="str">
        <f>VLOOKUP(L84,Ubicacion!A:K,3,FALSE)</f>
        <v>LI3BC03</v>
      </c>
      <c r="C84" s="21" t="str">
        <f>VLOOKUP(L84,Ubicacion!A:K,4,FALSE)</f>
        <v>LIMA</v>
      </c>
      <c r="D84" s="21" t="str">
        <f>VLOOKUP(L84,Ubicacion!A:K,5,FALSE)</f>
        <v>CHORRILLOS</v>
      </c>
      <c r="E84" s="21" t="str">
        <f>VLOOKUP(L84,Ubicacion!A:K,6,FALSE)</f>
        <v>Mercado</v>
      </c>
      <c r="F84" s="21" t="str">
        <f>VLOOKUP(L84,Ubicacion!A:K,7,FALSE)</f>
        <v>10:00 - 16:00</v>
      </c>
      <c r="G84" s="21" t="str">
        <f>VLOOKUP(L84,Ubicacion!A:K,8,FALSE)</f>
        <v>SUNDAY</v>
      </c>
      <c r="H84" s="21">
        <f>VLOOKUP(L84,Ubicacion!A:K,9,FALSE)</f>
        <v>1</v>
      </c>
      <c r="I84" s="21">
        <f>VLOOKUP(L84,Ubicacion!A:K,10,FALSE)</f>
        <v>-12.193363700000001</v>
      </c>
      <c r="J84" s="21">
        <f>VLOOKUP(L84,Ubicacion!A:K,11,FALSE)</f>
        <v>-77.003424600000002</v>
      </c>
      <c r="K84" s="21" t="str">
        <f t="shared" si="33"/>
        <v>46158Grupo 4</v>
      </c>
      <c r="L84" s="21" t="s">
        <v>136</v>
      </c>
      <c r="M84" s="21">
        <v>1</v>
      </c>
      <c r="N84" s="24" t="s">
        <v>186</v>
      </c>
      <c r="O84" s="24" t="s">
        <v>193</v>
      </c>
      <c r="P84" s="23">
        <v>46158</v>
      </c>
      <c r="Q84" s="23">
        <f t="shared" si="34"/>
        <v>46158</v>
      </c>
      <c r="R84" s="24" t="str">
        <f ca="1">IF($A$1&lt;Q84,"On-time",IF(AND(Q84&lt;=$A$1,BJ84="OK"),"OK","NO OK"))</f>
        <v>On-time</v>
      </c>
      <c r="S84" s="24" t="str">
        <f t="shared" si="35"/>
        <v>SATURDAY</v>
      </c>
      <c r="T84" s="24">
        <f>VLOOKUP(L84,Ubicacion!A:AE,13,FALSE)</f>
        <v>15</v>
      </c>
      <c r="U84" s="24">
        <f>VLOOKUP(L84,Ubicacion!A:AE,14,FALSE)</f>
        <v>25</v>
      </c>
      <c r="V84" s="24">
        <f>VLOOKUP(L84,Ubicacion!A:AE,15,FALSE)</f>
        <v>0</v>
      </c>
      <c r="W84" s="24">
        <f>VLOOKUP(L84,Ubicacion!A:AE,16,FALSE)</f>
        <v>5</v>
      </c>
      <c r="X84" s="24">
        <f>VLOOKUP(L84,Ubicacion!A:AE,17,FALSE)</f>
        <v>5</v>
      </c>
      <c r="Y84" s="24">
        <f>VLOOKUP(L84,Ubicacion!A:AE,18,FALSE)</f>
        <v>0</v>
      </c>
      <c r="Z84" s="24">
        <f>VLOOKUP(L84,Ubicacion!A:AE,19,FALSE)</f>
        <v>15</v>
      </c>
      <c r="AA84" s="24">
        <f>VLOOKUP(L84,Ubicacion!A:AE,20,FALSE)</f>
        <v>25</v>
      </c>
      <c r="AB84" s="24">
        <f>VLOOKUP(L84,Ubicacion!A:AE,21,FALSE)</f>
        <v>0</v>
      </c>
      <c r="AC84" s="24">
        <f>VLOOKUP(L84,Ubicacion!A:AE,22,FALSE)</f>
        <v>2</v>
      </c>
      <c r="AD84" s="24">
        <f>VLOOKUP(L84,Ubicacion!A:AE,23,FALSE)</f>
        <v>0</v>
      </c>
      <c r="AE84" s="24">
        <f>VLOOKUP(L84,Ubicacion!A:AE,24,FALSE)</f>
        <v>0</v>
      </c>
      <c r="AF84" s="24">
        <f>VLOOKUP(L84,Ubicacion!A:AE,25,FALSE)</f>
        <v>0</v>
      </c>
      <c r="AG84" s="24">
        <f>VLOOKUP(L84,Ubicacion!A:AE,26,FALSE)</f>
        <v>2</v>
      </c>
      <c r="AH84" s="24">
        <f>VLOOKUP(L84,Ubicacion!A:AE,27,FALSE)</f>
        <v>2</v>
      </c>
      <c r="AI84" s="24">
        <f>VLOOKUP(L84,Ubicacion!A:AE,28,FALSE)</f>
        <v>5</v>
      </c>
      <c r="AJ84" s="24">
        <f>VLOOKUP(L84,Ubicacion!A:AE,29,FALSE)</f>
        <v>3</v>
      </c>
      <c r="AK84" s="24">
        <f>VLOOKUP(L84,Ubicacion!A:AE,30,FALSE)</f>
        <v>1</v>
      </c>
      <c r="AL84" s="24">
        <f>VLOOKUP(L84,Ubicacion!A:AE,31,FALSE)</f>
        <v>1</v>
      </c>
      <c r="AM84" s="25">
        <f t="shared" si="38"/>
        <v>0.66666666666666663</v>
      </c>
      <c r="AN84" s="25">
        <f t="shared" si="39"/>
        <v>0.04</v>
      </c>
      <c r="AO84" s="25" t="str">
        <f t="shared" si="40"/>
        <v>100%</v>
      </c>
      <c r="AP84" s="25">
        <f t="shared" si="41"/>
        <v>0.4</v>
      </c>
      <c r="AQ84" s="25">
        <f t="shared" si="42"/>
        <v>0.4</v>
      </c>
      <c r="AR84" s="25" t="str">
        <f t="shared" si="43"/>
        <v>100%</v>
      </c>
      <c r="AS84" s="25">
        <f t="shared" si="44"/>
        <v>0.13333333333333333</v>
      </c>
      <c r="AT84" s="25">
        <f t="shared" si="45"/>
        <v>0.04</v>
      </c>
      <c r="AU84" s="25" t="str">
        <f t="shared" si="46"/>
        <v>100%</v>
      </c>
      <c r="AV84" s="24">
        <v>10</v>
      </c>
      <c r="AW84" s="24">
        <v>1</v>
      </c>
      <c r="AX84" s="24">
        <v>2</v>
      </c>
      <c r="AY84" s="24">
        <v>2</v>
      </c>
      <c r="AZ84" s="24">
        <v>2</v>
      </c>
      <c r="BA84" s="24">
        <v>1</v>
      </c>
      <c r="BB84" s="24">
        <v>2</v>
      </c>
      <c r="BC84" s="24">
        <v>1</v>
      </c>
      <c r="BD84" s="24">
        <v>1</v>
      </c>
      <c r="BE84" s="24" t="s">
        <v>184</v>
      </c>
      <c r="BF84" s="24" t="s">
        <v>184</v>
      </c>
      <c r="BG84" s="24" t="s">
        <v>183</v>
      </c>
      <c r="BH84" s="24" t="s">
        <v>183</v>
      </c>
      <c r="BI84" s="24" t="s">
        <v>183</v>
      </c>
      <c r="BJ84" s="24" t="s">
        <v>183</v>
      </c>
      <c r="BK84" s="24"/>
      <c r="BL84" s="24"/>
      <c r="BM84" s="57"/>
      <c r="BN84" s="2" t="str">
        <f t="shared" si="37"/>
        <v xml:space="preserve"> </v>
      </c>
      <c r="BO84" s="2" t="str">
        <f t="shared" si="37"/>
        <v xml:space="preserve"> </v>
      </c>
      <c r="BP84" s="2" t="str">
        <f t="shared" si="37"/>
        <v xml:space="preserve"> </v>
      </c>
      <c r="BQ84" s="2" t="str">
        <f t="shared" si="37"/>
        <v xml:space="preserve"> </v>
      </c>
      <c r="BR84" s="2" t="str">
        <f t="shared" si="37"/>
        <v xml:space="preserve"> </v>
      </c>
      <c r="BS84" s="2" t="str">
        <f t="shared" si="37"/>
        <v xml:space="preserve"> </v>
      </c>
      <c r="BT84" s="2" t="str">
        <f t="shared" si="37"/>
        <v xml:space="preserve"> </v>
      </c>
      <c r="BU84" s="2" t="str">
        <f t="shared" si="37"/>
        <v xml:space="preserve"> </v>
      </c>
      <c r="BV84" s="2" t="str">
        <f t="shared" si="37"/>
        <v xml:space="preserve"> </v>
      </c>
      <c r="BW84" s="2" t="str">
        <f t="shared" si="37"/>
        <v xml:space="preserve"> </v>
      </c>
      <c r="BX84" s="2" t="str">
        <f t="shared" si="37"/>
        <v xml:space="preserve"> </v>
      </c>
      <c r="BY84" s="2" t="str">
        <f t="shared" si="37"/>
        <v xml:space="preserve"> </v>
      </c>
      <c r="BZ84" s="2" t="str">
        <f t="shared" si="37"/>
        <v xml:space="preserve"> </v>
      </c>
      <c r="CA84" s="2" t="str">
        <f t="shared" si="37"/>
        <v xml:space="preserve"> </v>
      </c>
      <c r="CB84" s="2" t="str">
        <f t="shared" si="37"/>
        <v xml:space="preserve"> </v>
      </c>
      <c r="CC84" s="2" t="str">
        <f t="shared" si="37"/>
        <v>.</v>
      </c>
      <c r="CD84" s="2" t="str">
        <f t="shared" si="36"/>
        <v xml:space="preserve"> </v>
      </c>
      <c r="CE84" s="2" t="str">
        <f t="shared" si="36"/>
        <v xml:space="preserve"> </v>
      </c>
      <c r="CF84" s="2" t="str">
        <f t="shared" si="36"/>
        <v xml:space="preserve"> </v>
      </c>
      <c r="CG84" s="2" t="str">
        <f t="shared" si="36"/>
        <v xml:space="preserve"> </v>
      </c>
      <c r="CH84" s="2" t="str">
        <f t="shared" si="36"/>
        <v xml:space="preserve"> </v>
      </c>
      <c r="CI84" s="2" t="str">
        <f t="shared" si="36"/>
        <v xml:space="preserve"> </v>
      </c>
      <c r="CJ84" s="2" t="str">
        <f t="shared" si="36"/>
        <v xml:space="preserve"> </v>
      </c>
      <c r="CK84" s="2" t="str">
        <f t="shared" si="36"/>
        <v xml:space="preserve"> </v>
      </c>
      <c r="CL84" s="2" t="str">
        <f t="shared" si="36"/>
        <v xml:space="preserve"> </v>
      </c>
      <c r="CM84" s="2" t="str">
        <f t="shared" si="36"/>
        <v xml:space="preserve"> </v>
      </c>
      <c r="CN84" s="2" t="str">
        <f t="shared" si="36"/>
        <v xml:space="preserve"> </v>
      </c>
      <c r="CO84" s="2" t="str">
        <f t="shared" si="36"/>
        <v xml:space="preserve"> </v>
      </c>
      <c r="CP84" s="2" t="str">
        <f t="shared" si="36"/>
        <v xml:space="preserve"> </v>
      </c>
      <c r="CQ84" s="2" t="str">
        <f t="shared" si="36"/>
        <v xml:space="preserve"> </v>
      </c>
      <c r="CR84" s="2" t="str">
        <f t="shared" si="36"/>
        <v xml:space="preserve"> </v>
      </c>
    </row>
    <row r="85" spans="1:96">
      <c r="A85" s="21" t="str">
        <f>VLOOKUP(L85,Ubicacion!A:K,2,FALSE)</f>
        <v>LI3BR</v>
      </c>
      <c r="B85" s="21" t="str">
        <f>VLOOKUP(L85,Ubicacion!A:K,3,FALSE)</f>
        <v>LI2BC11</v>
      </c>
      <c r="C85" s="21" t="str">
        <f>VLOOKUP(L85,Ubicacion!A:K,4,FALSE)</f>
        <v>LIMA</v>
      </c>
      <c r="D85" s="21" t="str">
        <f>VLOOKUP(L85,Ubicacion!A:K,5,FALSE)</f>
        <v>SAN JUAN DE MIRAFLORES 2</v>
      </c>
      <c r="E85" s="21" t="str">
        <f>VLOOKUP(L85,Ubicacion!A:K,6,FALSE)</f>
        <v>Mercado</v>
      </c>
      <c r="F85" s="21" t="str">
        <f>VLOOKUP(L85,Ubicacion!A:K,7,FALSE)</f>
        <v>10:00 - 16:00</v>
      </c>
      <c r="G85" s="21" t="str">
        <f>VLOOKUP(L85,Ubicacion!A:K,8,FALSE)</f>
        <v>MONDAY</v>
      </c>
      <c r="H85" s="21">
        <f>VLOOKUP(L85,Ubicacion!A:K,9,FALSE)</f>
        <v>1</v>
      </c>
      <c r="I85" s="21">
        <f>VLOOKUP(L85,Ubicacion!A:K,10,FALSE)</f>
        <v>-12.141315499999999</v>
      </c>
      <c r="J85" s="21">
        <f>VLOOKUP(L85,Ubicacion!A:K,11,FALSE)</f>
        <v>-76.967153499999995</v>
      </c>
      <c r="K85" s="21" t="str">
        <f t="shared" si="33"/>
        <v>46159Grupo 4</v>
      </c>
      <c r="L85" s="21" t="s">
        <v>137</v>
      </c>
      <c r="M85" s="21">
        <v>1</v>
      </c>
      <c r="N85" s="24" t="s">
        <v>186</v>
      </c>
      <c r="O85" s="24" t="s">
        <v>193</v>
      </c>
      <c r="P85" s="23">
        <v>46159</v>
      </c>
      <c r="Q85" s="23">
        <f t="shared" si="34"/>
        <v>46159</v>
      </c>
      <c r="R85" s="24" t="str">
        <f ca="1">IF($A$1&lt;Q85,"On-time",IF(AND(Q85&lt;=$A$1,BJ85="OK"),"OK","NO OK"))</f>
        <v>On-time</v>
      </c>
      <c r="S85" s="24" t="str">
        <f t="shared" si="35"/>
        <v>SUNDAY</v>
      </c>
      <c r="T85" s="24">
        <f>VLOOKUP(L85,Ubicacion!A:AE,13,FALSE)</f>
        <v>15</v>
      </c>
      <c r="U85" s="24">
        <f>VLOOKUP(L85,Ubicacion!A:AE,14,FALSE)</f>
        <v>25</v>
      </c>
      <c r="V85" s="24">
        <f>VLOOKUP(L85,Ubicacion!A:AE,15,FALSE)</f>
        <v>0</v>
      </c>
      <c r="W85" s="24">
        <f>VLOOKUP(L85,Ubicacion!A:AE,16,FALSE)</f>
        <v>5</v>
      </c>
      <c r="X85" s="24">
        <f>VLOOKUP(L85,Ubicacion!A:AE,17,FALSE)</f>
        <v>5</v>
      </c>
      <c r="Y85" s="24">
        <f>VLOOKUP(L85,Ubicacion!A:AE,18,FALSE)</f>
        <v>0</v>
      </c>
      <c r="Z85" s="24">
        <f>VLOOKUP(L85,Ubicacion!A:AE,19,FALSE)</f>
        <v>15</v>
      </c>
      <c r="AA85" s="24">
        <f>VLOOKUP(L85,Ubicacion!A:AE,20,FALSE)</f>
        <v>25</v>
      </c>
      <c r="AB85" s="24">
        <f>VLOOKUP(L85,Ubicacion!A:AE,21,FALSE)</f>
        <v>0</v>
      </c>
      <c r="AC85" s="24">
        <f>VLOOKUP(L85,Ubicacion!A:AE,22,FALSE)</f>
        <v>2</v>
      </c>
      <c r="AD85" s="24">
        <f>VLOOKUP(L85,Ubicacion!A:AE,23,FALSE)</f>
        <v>0</v>
      </c>
      <c r="AE85" s="24">
        <f>VLOOKUP(L85,Ubicacion!A:AE,24,FALSE)</f>
        <v>0</v>
      </c>
      <c r="AF85" s="24">
        <f>VLOOKUP(L85,Ubicacion!A:AE,25,FALSE)</f>
        <v>0</v>
      </c>
      <c r="AG85" s="24">
        <f>VLOOKUP(L85,Ubicacion!A:AE,26,FALSE)</f>
        <v>2</v>
      </c>
      <c r="AH85" s="24">
        <f>VLOOKUP(L85,Ubicacion!A:AE,27,FALSE)</f>
        <v>2</v>
      </c>
      <c r="AI85" s="24">
        <f>VLOOKUP(L85,Ubicacion!A:AE,28,FALSE)</f>
        <v>5</v>
      </c>
      <c r="AJ85" s="24">
        <f>VLOOKUP(L85,Ubicacion!A:AE,29,FALSE)</f>
        <v>3</v>
      </c>
      <c r="AK85" s="24">
        <f>VLOOKUP(L85,Ubicacion!A:AE,30,FALSE)</f>
        <v>1</v>
      </c>
      <c r="AL85" s="24">
        <f>VLOOKUP(L85,Ubicacion!A:AE,31,FALSE)</f>
        <v>1</v>
      </c>
      <c r="AM85" s="25">
        <f t="shared" si="38"/>
        <v>0.66666666666666663</v>
      </c>
      <c r="AN85" s="25">
        <f t="shared" si="39"/>
        <v>0.04</v>
      </c>
      <c r="AO85" s="25" t="str">
        <f t="shared" si="40"/>
        <v>100%</v>
      </c>
      <c r="AP85" s="25">
        <f t="shared" si="41"/>
        <v>0.4</v>
      </c>
      <c r="AQ85" s="25">
        <f t="shared" si="42"/>
        <v>0.4</v>
      </c>
      <c r="AR85" s="25" t="str">
        <f t="shared" si="43"/>
        <v>100%</v>
      </c>
      <c r="AS85" s="25">
        <f t="shared" si="44"/>
        <v>0.13333333333333333</v>
      </c>
      <c r="AT85" s="25">
        <f t="shared" si="45"/>
        <v>0.04</v>
      </c>
      <c r="AU85" s="25" t="str">
        <f t="shared" si="46"/>
        <v>100%</v>
      </c>
      <c r="AV85" s="24">
        <v>10</v>
      </c>
      <c r="AW85" s="24">
        <v>1</v>
      </c>
      <c r="AX85" s="24">
        <v>2</v>
      </c>
      <c r="AY85" s="24">
        <v>2</v>
      </c>
      <c r="AZ85" s="24">
        <v>2</v>
      </c>
      <c r="BA85" s="24">
        <v>1</v>
      </c>
      <c r="BB85" s="24">
        <v>2</v>
      </c>
      <c r="BC85" s="24">
        <v>1</v>
      </c>
      <c r="BD85" s="24">
        <v>1</v>
      </c>
      <c r="BE85" s="24" t="s">
        <v>184</v>
      </c>
      <c r="BF85" s="24" t="s">
        <v>184</v>
      </c>
      <c r="BG85" s="24" t="s">
        <v>183</v>
      </c>
      <c r="BH85" s="24" t="s">
        <v>183</v>
      </c>
      <c r="BI85" s="24" t="s">
        <v>183</v>
      </c>
      <c r="BJ85" s="24" t="s">
        <v>183</v>
      </c>
      <c r="BK85" s="24"/>
      <c r="BL85" s="24"/>
      <c r="BM85" s="57"/>
      <c r="BN85" s="2" t="str">
        <f t="shared" si="37"/>
        <v xml:space="preserve"> </v>
      </c>
      <c r="BO85" s="2" t="str">
        <f t="shared" si="37"/>
        <v xml:space="preserve"> </v>
      </c>
      <c r="BP85" s="2" t="str">
        <f t="shared" si="37"/>
        <v xml:space="preserve"> </v>
      </c>
      <c r="BQ85" s="2" t="str">
        <f t="shared" si="37"/>
        <v xml:space="preserve"> </v>
      </c>
      <c r="BR85" s="2" t="str">
        <f t="shared" si="37"/>
        <v xml:space="preserve"> </v>
      </c>
      <c r="BS85" s="2" t="str">
        <f t="shared" si="37"/>
        <v xml:space="preserve"> </v>
      </c>
      <c r="BT85" s="2" t="str">
        <f t="shared" si="37"/>
        <v xml:space="preserve"> </v>
      </c>
      <c r="BU85" s="2" t="str">
        <f t="shared" si="37"/>
        <v xml:space="preserve"> </v>
      </c>
      <c r="BV85" s="2" t="str">
        <f t="shared" si="37"/>
        <v xml:space="preserve"> </v>
      </c>
      <c r="BW85" s="2" t="str">
        <f t="shared" si="37"/>
        <v xml:space="preserve"> </v>
      </c>
      <c r="BX85" s="2" t="str">
        <f t="shared" si="37"/>
        <v xml:space="preserve"> </v>
      </c>
      <c r="BY85" s="2" t="str">
        <f t="shared" si="37"/>
        <v xml:space="preserve"> </v>
      </c>
      <c r="BZ85" s="2" t="str">
        <f t="shared" si="37"/>
        <v xml:space="preserve"> </v>
      </c>
      <c r="CA85" s="2" t="str">
        <f t="shared" si="37"/>
        <v xml:space="preserve"> </v>
      </c>
      <c r="CB85" s="2" t="str">
        <f t="shared" si="37"/>
        <v xml:space="preserve"> </v>
      </c>
      <c r="CC85" s="2" t="str">
        <f t="shared" si="37"/>
        <v xml:space="preserve"> </v>
      </c>
      <c r="CD85" s="2" t="str">
        <f t="shared" si="36"/>
        <v>.</v>
      </c>
      <c r="CE85" s="2" t="str">
        <f t="shared" si="36"/>
        <v xml:space="preserve"> </v>
      </c>
      <c r="CF85" s="2" t="str">
        <f t="shared" si="36"/>
        <v xml:space="preserve"> </v>
      </c>
      <c r="CG85" s="2" t="str">
        <f t="shared" si="36"/>
        <v xml:space="preserve"> </v>
      </c>
      <c r="CH85" s="2" t="str">
        <f t="shared" si="36"/>
        <v xml:space="preserve"> </v>
      </c>
      <c r="CI85" s="2" t="str">
        <f t="shared" si="36"/>
        <v xml:space="preserve"> </v>
      </c>
      <c r="CJ85" s="2" t="str">
        <f t="shared" si="36"/>
        <v xml:space="preserve"> </v>
      </c>
      <c r="CK85" s="2" t="str">
        <f t="shared" si="36"/>
        <v xml:space="preserve"> </v>
      </c>
      <c r="CL85" s="2" t="str">
        <f t="shared" si="36"/>
        <v xml:space="preserve"> </v>
      </c>
      <c r="CM85" s="2" t="str">
        <f t="shared" si="36"/>
        <v xml:space="preserve"> </v>
      </c>
      <c r="CN85" s="2" t="str">
        <f t="shared" si="36"/>
        <v xml:space="preserve"> </v>
      </c>
      <c r="CO85" s="2" t="str">
        <f t="shared" si="36"/>
        <v xml:space="preserve"> </v>
      </c>
      <c r="CP85" s="2" t="str">
        <f t="shared" si="36"/>
        <v xml:space="preserve"> </v>
      </c>
      <c r="CQ85" s="2" t="str">
        <f t="shared" si="36"/>
        <v xml:space="preserve"> </v>
      </c>
      <c r="CR85" s="2" t="str">
        <f t="shared" si="36"/>
        <v xml:space="preserve"> </v>
      </c>
    </row>
    <row r="86" spans="1:96">
      <c r="A86" s="21" t="str">
        <f>VLOOKUP(L86,Ubicacion!A:K,2,FALSE)</f>
        <v>LI3BR</v>
      </c>
      <c r="B86" s="21" t="str">
        <f>VLOOKUP(L86,Ubicacion!A:K,3,FALSE)</f>
        <v>LI2BC11</v>
      </c>
      <c r="C86" s="21" t="str">
        <f>VLOOKUP(L86,Ubicacion!A:K,4,FALSE)</f>
        <v>LIMA</v>
      </c>
      <c r="D86" s="21" t="str">
        <f>VLOOKUP(L86,Ubicacion!A:K,5,FALSE)</f>
        <v>SAN JUAN DE MIRAFLORES 2</v>
      </c>
      <c r="E86" s="21" t="str">
        <f>VLOOKUP(L86,Ubicacion!A:K,6,FALSE)</f>
        <v>Mercado</v>
      </c>
      <c r="F86" s="21" t="str">
        <f>VLOOKUP(L86,Ubicacion!A:K,7,FALSE)</f>
        <v>10:00 - 16:00</v>
      </c>
      <c r="G86" s="21" t="str">
        <f>VLOOKUP(L86,Ubicacion!A:K,8,FALSE)</f>
        <v>TUESDAY</v>
      </c>
      <c r="H86" s="21">
        <f>VLOOKUP(L86,Ubicacion!A:K,9,FALSE)</f>
        <v>1</v>
      </c>
      <c r="I86" s="21">
        <f>VLOOKUP(L86,Ubicacion!A:K,10,FALSE)</f>
        <v>-12.101637699999999</v>
      </c>
      <c r="J86" s="21">
        <f>VLOOKUP(L86,Ubicacion!A:K,11,FALSE)</f>
        <v>-76.9492142</v>
      </c>
      <c r="K86" s="21" t="str">
        <f t="shared" si="33"/>
        <v>46160Grupo 4</v>
      </c>
      <c r="L86" s="21" t="s">
        <v>138</v>
      </c>
      <c r="M86" s="21">
        <v>1</v>
      </c>
      <c r="N86" s="24" t="s">
        <v>186</v>
      </c>
      <c r="O86" s="24" t="s">
        <v>193</v>
      </c>
      <c r="P86" s="23">
        <v>46160</v>
      </c>
      <c r="Q86" s="23">
        <f t="shared" si="34"/>
        <v>46160</v>
      </c>
      <c r="R86" s="24" t="str">
        <f ca="1">IF($A$1&lt;Q86,"On-time",IF(AND(Q86&lt;=$A$1,BJ86="OK"),"OK","NO OK"))</f>
        <v>On-time</v>
      </c>
      <c r="S86" s="24" t="str">
        <f t="shared" si="35"/>
        <v>MONDAY</v>
      </c>
      <c r="T86" s="24">
        <f>VLOOKUP(L86,Ubicacion!A:AE,13,FALSE)</f>
        <v>15</v>
      </c>
      <c r="U86" s="24">
        <f>VLOOKUP(L86,Ubicacion!A:AE,14,FALSE)</f>
        <v>25</v>
      </c>
      <c r="V86" s="24">
        <f>VLOOKUP(L86,Ubicacion!A:AE,15,FALSE)</f>
        <v>0</v>
      </c>
      <c r="W86" s="24">
        <f>VLOOKUP(L86,Ubicacion!A:AE,16,FALSE)</f>
        <v>5</v>
      </c>
      <c r="X86" s="24">
        <f>VLOOKUP(L86,Ubicacion!A:AE,17,FALSE)</f>
        <v>5</v>
      </c>
      <c r="Y86" s="24">
        <f>VLOOKUP(L86,Ubicacion!A:AE,18,FALSE)</f>
        <v>0</v>
      </c>
      <c r="Z86" s="24">
        <f>VLOOKUP(L86,Ubicacion!A:AE,19,FALSE)</f>
        <v>15</v>
      </c>
      <c r="AA86" s="24">
        <f>VLOOKUP(L86,Ubicacion!A:AE,20,FALSE)</f>
        <v>25</v>
      </c>
      <c r="AB86" s="24">
        <f>VLOOKUP(L86,Ubicacion!A:AE,21,FALSE)</f>
        <v>0</v>
      </c>
      <c r="AC86" s="24">
        <f>VLOOKUP(L86,Ubicacion!A:AE,22,FALSE)</f>
        <v>2</v>
      </c>
      <c r="AD86" s="24">
        <f>VLOOKUP(L86,Ubicacion!A:AE,23,FALSE)</f>
        <v>0</v>
      </c>
      <c r="AE86" s="24">
        <f>VLOOKUP(L86,Ubicacion!A:AE,24,FALSE)</f>
        <v>0</v>
      </c>
      <c r="AF86" s="24">
        <f>VLOOKUP(L86,Ubicacion!A:AE,25,FALSE)</f>
        <v>0</v>
      </c>
      <c r="AG86" s="24">
        <f>VLOOKUP(L86,Ubicacion!A:AE,26,FALSE)</f>
        <v>2</v>
      </c>
      <c r="AH86" s="24">
        <f>VLOOKUP(L86,Ubicacion!A:AE,27,FALSE)</f>
        <v>2</v>
      </c>
      <c r="AI86" s="24">
        <f>VLOOKUP(L86,Ubicacion!A:AE,28,FALSE)</f>
        <v>5</v>
      </c>
      <c r="AJ86" s="24">
        <f>VLOOKUP(L86,Ubicacion!A:AE,29,FALSE)</f>
        <v>3</v>
      </c>
      <c r="AK86" s="24">
        <f>VLOOKUP(L86,Ubicacion!A:AE,30,FALSE)</f>
        <v>1</v>
      </c>
      <c r="AL86" s="24">
        <f>VLOOKUP(L86,Ubicacion!A:AE,31,FALSE)</f>
        <v>1</v>
      </c>
      <c r="AM86" s="25">
        <f t="shared" si="38"/>
        <v>0.66666666666666663</v>
      </c>
      <c r="AN86" s="25">
        <f t="shared" si="39"/>
        <v>0.04</v>
      </c>
      <c r="AO86" s="25" t="str">
        <f t="shared" si="40"/>
        <v>100%</v>
      </c>
      <c r="AP86" s="25">
        <f t="shared" si="41"/>
        <v>0.4</v>
      </c>
      <c r="AQ86" s="25">
        <f t="shared" si="42"/>
        <v>0.4</v>
      </c>
      <c r="AR86" s="25" t="str">
        <f t="shared" si="43"/>
        <v>100%</v>
      </c>
      <c r="AS86" s="25">
        <f t="shared" si="44"/>
        <v>0.13333333333333333</v>
      </c>
      <c r="AT86" s="25">
        <f t="shared" si="45"/>
        <v>0.04</v>
      </c>
      <c r="AU86" s="25" t="str">
        <f t="shared" si="46"/>
        <v>100%</v>
      </c>
      <c r="AV86" s="24">
        <v>10</v>
      </c>
      <c r="AW86" s="24">
        <v>1</v>
      </c>
      <c r="AX86" s="24">
        <v>2</v>
      </c>
      <c r="AY86" s="24">
        <v>2</v>
      </c>
      <c r="AZ86" s="24">
        <v>2</v>
      </c>
      <c r="BA86" s="24">
        <v>1</v>
      </c>
      <c r="BB86" s="24">
        <v>2</v>
      </c>
      <c r="BC86" s="24">
        <v>1</v>
      </c>
      <c r="BD86" s="24">
        <v>1</v>
      </c>
      <c r="BE86" s="24" t="s">
        <v>184</v>
      </c>
      <c r="BF86" s="24" t="s">
        <v>184</v>
      </c>
      <c r="BG86" s="24" t="s">
        <v>183</v>
      </c>
      <c r="BH86" s="24" t="s">
        <v>183</v>
      </c>
      <c r="BI86" s="24" t="s">
        <v>183</v>
      </c>
      <c r="BJ86" s="24" t="s">
        <v>183</v>
      </c>
      <c r="BK86" s="24"/>
      <c r="BL86" s="24"/>
      <c r="BM86" s="57"/>
      <c r="BN86" s="2" t="str">
        <f t="shared" si="37"/>
        <v xml:space="preserve"> </v>
      </c>
      <c r="BO86" s="2" t="str">
        <f t="shared" si="37"/>
        <v xml:space="preserve"> </v>
      </c>
      <c r="BP86" s="2" t="str">
        <f t="shared" si="37"/>
        <v xml:space="preserve"> </v>
      </c>
      <c r="BQ86" s="2" t="str">
        <f t="shared" si="37"/>
        <v xml:space="preserve"> </v>
      </c>
      <c r="BR86" s="2" t="str">
        <f t="shared" si="37"/>
        <v xml:space="preserve"> </v>
      </c>
      <c r="BS86" s="2" t="str">
        <f t="shared" si="37"/>
        <v xml:space="preserve"> </v>
      </c>
      <c r="BT86" s="2" t="str">
        <f t="shared" si="37"/>
        <v xml:space="preserve"> </v>
      </c>
      <c r="BU86" s="2" t="str">
        <f t="shared" si="37"/>
        <v xml:space="preserve"> </v>
      </c>
      <c r="BV86" s="2" t="str">
        <f t="shared" si="37"/>
        <v xml:space="preserve"> </v>
      </c>
      <c r="BW86" s="2" t="str">
        <f t="shared" si="37"/>
        <v xml:space="preserve"> </v>
      </c>
      <c r="BX86" s="2" t="str">
        <f t="shared" si="37"/>
        <v xml:space="preserve"> </v>
      </c>
      <c r="BY86" s="2" t="str">
        <f t="shared" si="37"/>
        <v xml:space="preserve"> </v>
      </c>
      <c r="BZ86" s="2" t="str">
        <f t="shared" si="37"/>
        <v xml:space="preserve"> </v>
      </c>
      <c r="CA86" s="2" t="str">
        <f t="shared" si="37"/>
        <v xml:space="preserve"> </v>
      </c>
      <c r="CB86" s="2" t="str">
        <f t="shared" si="37"/>
        <v xml:space="preserve"> </v>
      </c>
      <c r="CC86" s="2" t="str">
        <f t="shared" si="37"/>
        <v xml:space="preserve"> </v>
      </c>
      <c r="CD86" s="2" t="str">
        <f t="shared" si="36"/>
        <v xml:space="preserve"> </v>
      </c>
      <c r="CE86" s="2" t="str">
        <f t="shared" si="36"/>
        <v>.</v>
      </c>
      <c r="CF86" s="2" t="str">
        <f t="shared" si="36"/>
        <v xml:space="preserve"> </v>
      </c>
      <c r="CG86" s="2" t="str">
        <f t="shared" si="36"/>
        <v xml:space="preserve"> </v>
      </c>
      <c r="CH86" s="2" t="str">
        <f t="shared" si="36"/>
        <v xml:space="preserve"> </v>
      </c>
      <c r="CI86" s="2" t="str">
        <f t="shared" si="36"/>
        <v xml:space="preserve"> </v>
      </c>
      <c r="CJ86" s="2" t="str">
        <f t="shared" si="36"/>
        <v xml:space="preserve"> </v>
      </c>
      <c r="CK86" s="2" t="str">
        <f t="shared" si="36"/>
        <v xml:space="preserve"> </v>
      </c>
      <c r="CL86" s="2" t="str">
        <f t="shared" si="36"/>
        <v xml:space="preserve"> </v>
      </c>
      <c r="CM86" s="2" t="str">
        <f t="shared" si="36"/>
        <v xml:space="preserve"> </v>
      </c>
      <c r="CN86" s="2" t="str">
        <f t="shared" si="36"/>
        <v xml:space="preserve"> </v>
      </c>
      <c r="CO86" s="2" t="str">
        <f t="shared" si="36"/>
        <v xml:space="preserve"> </v>
      </c>
      <c r="CP86" s="2" t="str">
        <f t="shared" si="36"/>
        <v xml:space="preserve"> </v>
      </c>
      <c r="CQ86" s="2" t="str">
        <f t="shared" si="36"/>
        <v xml:space="preserve"> </v>
      </c>
      <c r="CR86" s="2" t="str">
        <f t="shared" si="36"/>
        <v xml:space="preserve"> </v>
      </c>
    </row>
    <row r="87" spans="1:96">
      <c r="A87" s="21" t="str">
        <f>VLOOKUP(L87,Ubicacion!A:K,2,FALSE)</f>
        <v>LI3BR</v>
      </c>
      <c r="B87" s="21" t="str">
        <f>VLOOKUP(L87,Ubicacion!A:K,3,FALSE)</f>
        <v>LI3BC12</v>
      </c>
      <c r="C87" s="21" t="str">
        <f>VLOOKUP(L87,Ubicacion!A:K,4,FALSE)</f>
        <v>LIMA</v>
      </c>
      <c r="D87" s="21" t="str">
        <f>VLOOKUP(L87,Ubicacion!A:K,5,FALSE)</f>
        <v>BARRANCO</v>
      </c>
      <c r="E87" s="21" t="str">
        <f>VLOOKUP(L87,Ubicacion!A:K,6,FALSE)</f>
        <v>Mercado</v>
      </c>
      <c r="F87" s="21" t="str">
        <f>VLOOKUP(L87,Ubicacion!A:K,7,FALSE)</f>
        <v>10:00 - 16:00</v>
      </c>
      <c r="G87" s="21" t="str">
        <f>VLOOKUP(L87,Ubicacion!A:K,8,FALSE)</f>
        <v>WEDNESDAY</v>
      </c>
      <c r="H87" s="21">
        <f>VLOOKUP(L87,Ubicacion!A:K,9,FALSE)</f>
        <v>2</v>
      </c>
      <c r="I87" s="21">
        <f>VLOOKUP(L87,Ubicacion!A:K,10,FALSE)</f>
        <v>-12.137591499999999</v>
      </c>
      <c r="J87" s="21">
        <f>VLOOKUP(L87,Ubicacion!A:K,11,FALSE)</f>
        <v>-77.022476699999999</v>
      </c>
      <c r="K87" s="21" t="str">
        <f t="shared" si="33"/>
        <v>46161Grupo 4</v>
      </c>
      <c r="L87" s="21" t="s">
        <v>139</v>
      </c>
      <c r="M87" s="21">
        <v>1</v>
      </c>
      <c r="N87" s="24" t="s">
        <v>186</v>
      </c>
      <c r="O87" s="24" t="s">
        <v>193</v>
      </c>
      <c r="P87" s="23">
        <v>46161</v>
      </c>
      <c r="Q87" s="23">
        <f t="shared" si="34"/>
        <v>46161</v>
      </c>
      <c r="R87" s="24" t="str">
        <f ca="1">IF($A$1&lt;Q87,"On-time",IF(AND(Q87&lt;=$A$1,BJ87="OK"),"OK","NO OK"))</f>
        <v>On-time</v>
      </c>
      <c r="S87" s="24" t="str">
        <f t="shared" si="35"/>
        <v>TUESDAY</v>
      </c>
      <c r="T87" s="24">
        <f>VLOOKUP(L87,Ubicacion!A:AE,13,FALSE)</f>
        <v>15</v>
      </c>
      <c r="U87" s="24">
        <f>VLOOKUP(L87,Ubicacion!A:AE,14,FALSE)</f>
        <v>0</v>
      </c>
      <c r="V87" s="24">
        <f>VLOOKUP(L87,Ubicacion!A:AE,15,FALSE)</f>
        <v>10</v>
      </c>
      <c r="W87" s="24">
        <f>VLOOKUP(L87,Ubicacion!A:AE,16,FALSE)</f>
        <v>2</v>
      </c>
      <c r="X87" s="24">
        <f>VLOOKUP(L87,Ubicacion!A:AE,17,FALSE)</f>
        <v>2</v>
      </c>
      <c r="Y87" s="24">
        <f>VLOOKUP(L87,Ubicacion!A:AE,18,FALSE)</f>
        <v>0</v>
      </c>
      <c r="Z87" s="24">
        <f>VLOOKUP(L87,Ubicacion!A:AE,19,FALSE)</f>
        <v>0</v>
      </c>
      <c r="AA87" s="24">
        <f>VLOOKUP(L87,Ubicacion!A:AE,20,FALSE)</f>
        <v>0</v>
      </c>
      <c r="AB87" s="24">
        <f>VLOOKUP(L87,Ubicacion!A:AE,21,FALSE)</f>
        <v>0</v>
      </c>
      <c r="AC87" s="24">
        <f>VLOOKUP(L87,Ubicacion!A:AE,22,FALSE)</f>
        <v>4</v>
      </c>
      <c r="AD87" s="24">
        <f>VLOOKUP(L87,Ubicacion!A:AE,23,FALSE)</f>
        <v>80</v>
      </c>
      <c r="AE87" s="24">
        <f>VLOOKUP(L87,Ubicacion!A:AE,24,FALSE)</f>
        <v>0</v>
      </c>
      <c r="AF87" s="24">
        <f>VLOOKUP(L87,Ubicacion!A:AE,25,FALSE)</f>
        <v>0</v>
      </c>
      <c r="AG87" s="24">
        <f>VLOOKUP(L87,Ubicacion!A:AE,26,FALSE)</f>
        <v>84</v>
      </c>
      <c r="AH87" s="24">
        <f>VLOOKUP(L87,Ubicacion!A:AE,27,FALSE)</f>
        <v>2</v>
      </c>
      <c r="AI87" s="24">
        <f>VLOOKUP(L87,Ubicacion!A:AE,28,FALSE)</f>
        <v>5</v>
      </c>
      <c r="AJ87" s="24">
        <f>VLOOKUP(L87,Ubicacion!A:AE,29,FALSE)</f>
        <v>3</v>
      </c>
      <c r="AK87" s="24">
        <f>VLOOKUP(L87,Ubicacion!A:AE,30,FALSE)</f>
        <v>1</v>
      </c>
      <c r="AL87" s="24">
        <f>VLOOKUP(L87,Ubicacion!A:AE,31,FALSE)</f>
        <v>1</v>
      </c>
      <c r="AM87" s="25">
        <f t="shared" si="38"/>
        <v>0.66666666666666663</v>
      </c>
      <c r="AN87" s="25" t="str">
        <f t="shared" si="39"/>
        <v>100%</v>
      </c>
      <c r="AO87" s="25">
        <f t="shared" si="40"/>
        <v>0.2</v>
      </c>
      <c r="AP87" s="25">
        <f t="shared" si="41"/>
        <v>1</v>
      </c>
      <c r="AQ87" s="25">
        <f t="shared" si="42"/>
        <v>1</v>
      </c>
      <c r="AR87" s="25" t="str">
        <f t="shared" si="43"/>
        <v>100%</v>
      </c>
      <c r="AS87" s="25" t="str">
        <f t="shared" si="44"/>
        <v>100%</v>
      </c>
      <c r="AT87" s="25" t="str">
        <f t="shared" si="45"/>
        <v>100%</v>
      </c>
      <c r="AU87" s="25" t="str">
        <f t="shared" si="46"/>
        <v>100%</v>
      </c>
      <c r="AV87" s="24">
        <v>10</v>
      </c>
      <c r="AW87" s="24">
        <v>1</v>
      </c>
      <c r="AX87" s="24">
        <v>2</v>
      </c>
      <c r="AY87" s="24">
        <v>2</v>
      </c>
      <c r="AZ87" s="24">
        <v>2</v>
      </c>
      <c r="BA87" s="24">
        <v>1</v>
      </c>
      <c r="BB87" s="24">
        <v>2</v>
      </c>
      <c r="BC87" s="24">
        <v>1</v>
      </c>
      <c r="BD87" s="24">
        <v>1</v>
      </c>
      <c r="BE87" s="24" t="s">
        <v>184</v>
      </c>
      <c r="BF87" s="24" t="s">
        <v>184</v>
      </c>
      <c r="BG87" s="24" t="s">
        <v>183</v>
      </c>
      <c r="BH87" s="24" t="s">
        <v>183</v>
      </c>
      <c r="BI87" s="24" t="s">
        <v>183</v>
      </c>
      <c r="BJ87" s="24" t="s">
        <v>183</v>
      </c>
      <c r="BK87" s="24"/>
      <c r="BL87" s="24"/>
      <c r="BM87" s="57"/>
      <c r="BN87" s="2" t="str">
        <f t="shared" si="37"/>
        <v xml:space="preserve"> </v>
      </c>
      <c r="BO87" s="2" t="str">
        <f t="shared" si="37"/>
        <v xml:space="preserve"> </v>
      </c>
      <c r="BP87" s="2" t="str">
        <f t="shared" si="37"/>
        <v xml:space="preserve"> </v>
      </c>
      <c r="BQ87" s="2" t="str">
        <f t="shared" si="37"/>
        <v xml:space="preserve"> </v>
      </c>
      <c r="BR87" s="2" t="str">
        <f t="shared" si="37"/>
        <v xml:space="preserve"> </v>
      </c>
      <c r="BS87" s="2" t="str">
        <f t="shared" si="37"/>
        <v xml:space="preserve"> </v>
      </c>
      <c r="BT87" s="2" t="str">
        <f t="shared" si="37"/>
        <v xml:space="preserve"> </v>
      </c>
      <c r="BU87" s="2" t="str">
        <f t="shared" si="37"/>
        <v xml:space="preserve"> </v>
      </c>
      <c r="BV87" s="2" t="str">
        <f t="shared" si="37"/>
        <v xml:space="preserve"> </v>
      </c>
      <c r="BW87" s="2" t="str">
        <f t="shared" si="37"/>
        <v xml:space="preserve"> </v>
      </c>
      <c r="BX87" s="2" t="str">
        <f t="shared" si="37"/>
        <v xml:space="preserve"> </v>
      </c>
      <c r="BY87" s="2" t="str">
        <f t="shared" si="37"/>
        <v xml:space="preserve"> </v>
      </c>
      <c r="BZ87" s="2" t="str">
        <f t="shared" si="37"/>
        <v xml:space="preserve"> </v>
      </c>
      <c r="CA87" s="2" t="str">
        <f t="shared" si="37"/>
        <v xml:space="preserve"> </v>
      </c>
      <c r="CB87" s="2" t="str">
        <f t="shared" si="37"/>
        <v xml:space="preserve"> </v>
      </c>
      <c r="CC87" s="2" t="str">
        <f t="shared" si="37"/>
        <v xml:space="preserve"> </v>
      </c>
      <c r="CD87" s="2" t="str">
        <f t="shared" si="36"/>
        <v xml:space="preserve"> </v>
      </c>
      <c r="CE87" s="2" t="str">
        <f t="shared" si="36"/>
        <v xml:space="preserve"> </v>
      </c>
      <c r="CF87" s="2" t="str">
        <f t="shared" si="36"/>
        <v>.</v>
      </c>
      <c r="CG87" s="2" t="str">
        <f t="shared" si="36"/>
        <v xml:space="preserve"> </v>
      </c>
      <c r="CH87" s="2" t="str">
        <f t="shared" si="36"/>
        <v xml:space="preserve"> </v>
      </c>
      <c r="CI87" s="2" t="str">
        <f t="shared" si="36"/>
        <v xml:space="preserve"> </v>
      </c>
      <c r="CJ87" s="2" t="str">
        <f t="shared" si="36"/>
        <v xml:space="preserve"> </v>
      </c>
      <c r="CK87" s="2" t="str">
        <f t="shared" si="36"/>
        <v xml:space="preserve"> </v>
      </c>
      <c r="CL87" s="2" t="str">
        <f t="shared" si="36"/>
        <v xml:space="preserve"> </v>
      </c>
      <c r="CM87" s="2" t="str">
        <f t="shared" si="36"/>
        <v xml:space="preserve"> </v>
      </c>
      <c r="CN87" s="2" t="str">
        <f t="shared" si="36"/>
        <v xml:space="preserve"> </v>
      </c>
      <c r="CO87" s="2" t="str">
        <f t="shared" si="36"/>
        <v xml:space="preserve"> </v>
      </c>
      <c r="CP87" s="2" t="str">
        <f t="shared" si="36"/>
        <v xml:space="preserve"> </v>
      </c>
      <c r="CQ87" s="2" t="str">
        <f t="shared" si="36"/>
        <v xml:space="preserve"> </v>
      </c>
      <c r="CR87" s="2" t="str">
        <f t="shared" si="36"/>
        <v xml:space="preserve"> </v>
      </c>
    </row>
    <row r="88" spans="1:96">
      <c r="K88" s="21" t="str">
        <f t="shared" si="33"/>
        <v/>
      </c>
      <c r="P88" s="17"/>
      <c r="S88" s="24"/>
      <c r="BN88" s="2" t="str">
        <f t="shared" si="37"/>
        <v xml:space="preserve"> </v>
      </c>
      <c r="BO88" s="2" t="str">
        <f t="shared" si="37"/>
        <v xml:space="preserve"> </v>
      </c>
      <c r="BP88" s="2" t="str">
        <f t="shared" si="37"/>
        <v xml:space="preserve"> </v>
      </c>
      <c r="BQ88" s="2" t="str">
        <f t="shared" si="37"/>
        <v xml:space="preserve"> </v>
      </c>
      <c r="BR88" s="2" t="str">
        <f t="shared" si="37"/>
        <v xml:space="preserve"> </v>
      </c>
      <c r="BS88" s="2" t="str">
        <f t="shared" si="37"/>
        <v xml:space="preserve"> </v>
      </c>
      <c r="BT88" s="2" t="str">
        <f t="shared" si="37"/>
        <v xml:space="preserve"> </v>
      </c>
      <c r="BU88" s="2" t="str">
        <f t="shared" si="37"/>
        <v xml:space="preserve"> </v>
      </c>
      <c r="BV88" s="2" t="str">
        <f t="shared" si="37"/>
        <v xml:space="preserve"> </v>
      </c>
      <c r="BW88" s="2" t="str">
        <f t="shared" si="37"/>
        <v xml:space="preserve"> </v>
      </c>
      <c r="BX88" s="2" t="str">
        <f t="shared" si="37"/>
        <v xml:space="preserve"> </v>
      </c>
      <c r="BY88" s="2" t="str">
        <f t="shared" si="37"/>
        <v xml:space="preserve"> </v>
      </c>
      <c r="BZ88" s="2" t="str">
        <f t="shared" si="37"/>
        <v xml:space="preserve"> </v>
      </c>
      <c r="CA88" s="2" t="str">
        <f t="shared" si="37"/>
        <v xml:space="preserve"> </v>
      </c>
      <c r="CB88" s="2" t="str">
        <f t="shared" si="37"/>
        <v xml:space="preserve"> </v>
      </c>
      <c r="CC88" s="2" t="str">
        <f t="shared" ref="CC88:CR88" si="47">IF(AND((CC$6-$P88)&gt;=0,(CC$6-$P88)&lt;=($Q88-$P88)),"."," ")</f>
        <v xml:space="preserve"> </v>
      </c>
      <c r="CD88" s="2" t="str">
        <f t="shared" si="47"/>
        <v xml:space="preserve"> </v>
      </c>
      <c r="CE88" s="2" t="str">
        <f t="shared" si="47"/>
        <v xml:space="preserve"> </v>
      </c>
      <c r="CF88" s="2" t="str">
        <f t="shared" si="47"/>
        <v xml:space="preserve"> </v>
      </c>
      <c r="CG88" s="2" t="str">
        <f t="shared" si="47"/>
        <v xml:space="preserve"> </v>
      </c>
      <c r="CH88" s="2" t="str">
        <f t="shared" si="47"/>
        <v xml:space="preserve"> </v>
      </c>
      <c r="CI88" s="2" t="str">
        <f t="shared" si="47"/>
        <v xml:space="preserve"> </v>
      </c>
      <c r="CJ88" s="2" t="str">
        <f t="shared" si="47"/>
        <v xml:space="preserve"> </v>
      </c>
      <c r="CK88" s="2" t="str">
        <f t="shared" si="47"/>
        <v xml:space="preserve"> </v>
      </c>
      <c r="CL88" s="2" t="str">
        <f t="shared" si="47"/>
        <v xml:space="preserve"> </v>
      </c>
      <c r="CM88" s="2" t="str">
        <f t="shared" si="47"/>
        <v xml:space="preserve"> </v>
      </c>
      <c r="CN88" s="2" t="str">
        <f t="shared" si="47"/>
        <v xml:space="preserve"> </v>
      </c>
      <c r="CO88" s="2" t="str">
        <f t="shared" si="47"/>
        <v xml:space="preserve"> </v>
      </c>
      <c r="CP88" s="2" t="str">
        <f t="shared" si="47"/>
        <v xml:space="preserve"> </v>
      </c>
      <c r="CQ88" s="2" t="str">
        <f t="shared" si="47"/>
        <v xml:space="preserve"> </v>
      </c>
      <c r="CR88" s="2" t="str">
        <f t="shared" si="47"/>
        <v xml:space="preserve"> </v>
      </c>
    </row>
    <row r="89" spans="1:96">
      <c r="K89" s="21" t="str">
        <f t="shared" si="33"/>
        <v/>
      </c>
      <c r="P89" s="17"/>
      <c r="S89" s="24"/>
      <c r="BN89" s="2" t="str">
        <f t="shared" ref="BN89:CR89" si="48">IF(AND((BN$6-$P89)&gt;=0,(BN$6-$P89)&lt;=($Q89-$P89)),"."," ")</f>
        <v xml:space="preserve"> </v>
      </c>
      <c r="BO89" s="2" t="str">
        <f t="shared" si="48"/>
        <v xml:space="preserve"> </v>
      </c>
      <c r="BP89" s="2" t="str">
        <f t="shared" si="48"/>
        <v xml:space="preserve"> </v>
      </c>
      <c r="BQ89" s="2" t="str">
        <f t="shared" si="48"/>
        <v xml:space="preserve"> </v>
      </c>
      <c r="BR89" s="2" t="str">
        <f t="shared" si="48"/>
        <v xml:space="preserve"> </v>
      </c>
      <c r="BS89" s="2" t="str">
        <f t="shared" si="48"/>
        <v xml:space="preserve"> </v>
      </c>
      <c r="BT89" s="2" t="str">
        <f t="shared" si="48"/>
        <v xml:space="preserve"> </v>
      </c>
      <c r="BU89" s="2" t="str">
        <f t="shared" si="48"/>
        <v xml:space="preserve"> </v>
      </c>
      <c r="BV89" s="2" t="str">
        <f t="shared" si="48"/>
        <v xml:space="preserve"> </v>
      </c>
      <c r="BW89" s="2" t="str">
        <f t="shared" si="48"/>
        <v xml:space="preserve"> </v>
      </c>
      <c r="BX89" s="2" t="str">
        <f t="shared" si="48"/>
        <v xml:space="preserve"> </v>
      </c>
      <c r="BY89" s="2" t="str">
        <f t="shared" si="48"/>
        <v xml:space="preserve"> </v>
      </c>
      <c r="BZ89" s="2" t="str">
        <f t="shared" si="48"/>
        <v xml:space="preserve"> </v>
      </c>
      <c r="CA89" s="2" t="str">
        <f t="shared" si="48"/>
        <v xml:space="preserve"> </v>
      </c>
      <c r="CB89" s="2" t="str">
        <f t="shared" si="48"/>
        <v xml:space="preserve"> </v>
      </c>
      <c r="CC89" s="2" t="str">
        <f t="shared" si="48"/>
        <v xml:space="preserve"> </v>
      </c>
      <c r="CD89" s="2" t="str">
        <f t="shared" si="48"/>
        <v xml:space="preserve"> </v>
      </c>
      <c r="CE89" s="2" t="str">
        <f t="shared" si="48"/>
        <v xml:space="preserve"> </v>
      </c>
      <c r="CF89" s="2" t="str">
        <f t="shared" si="48"/>
        <v xml:space="preserve"> </v>
      </c>
      <c r="CG89" s="2" t="str">
        <f t="shared" si="48"/>
        <v xml:space="preserve"> </v>
      </c>
      <c r="CH89" s="2" t="str">
        <f t="shared" si="48"/>
        <v xml:space="preserve"> </v>
      </c>
      <c r="CI89" s="2" t="str">
        <f t="shared" si="48"/>
        <v xml:space="preserve"> </v>
      </c>
      <c r="CJ89" s="2" t="str">
        <f t="shared" si="48"/>
        <v xml:space="preserve"> </v>
      </c>
      <c r="CK89" s="2" t="str">
        <f t="shared" si="48"/>
        <v xml:space="preserve"> </v>
      </c>
      <c r="CL89" s="2" t="str">
        <f t="shared" si="48"/>
        <v xml:space="preserve"> </v>
      </c>
      <c r="CM89" s="2" t="str">
        <f t="shared" si="48"/>
        <v xml:space="preserve"> </v>
      </c>
      <c r="CN89" s="2" t="str">
        <f t="shared" si="48"/>
        <v xml:space="preserve"> </v>
      </c>
      <c r="CO89" s="2" t="str">
        <f t="shared" si="48"/>
        <v xml:space="preserve"> </v>
      </c>
      <c r="CP89" s="2" t="str">
        <f t="shared" si="48"/>
        <v xml:space="preserve"> </v>
      </c>
      <c r="CQ89" s="2" t="str">
        <f t="shared" si="48"/>
        <v xml:space="preserve"> </v>
      </c>
      <c r="CR89" s="2" t="str">
        <f t="shared" si="48"/>
        <v xml:space="preserve"> </v>
      </c>
    </row>
  </sheetData>
  <autoFilter ref="A6:CR89" xr:uid="{F65D0D5B-6D34-1541-B424-61308E4E230A}"/>
  <mergeCells count="11">
    <mergeCell ref="AM5:AU5"/>
    <mergeCell ref="AV5:BD5"/>
    <mergeCell ref="BE5:BL5"/>
    <mergeCell ref="AV4:BL4"/>
    <mergeCell ref="T5:AB5"/>
    <mergeCell ref="AC4:AL4"/>
    <mergeCell ref="L5:P5"/>
    <mergeCell ref="A5:J5"/>
    <mergeCell ref="Q5:S5"/>
    <mergeCell ref="AH5:AL5"/>
    <mergeCell ref="AC5:AG5"/>
  </mergeCells>
  <conditionalFormatting sqref="BN7:CR89">
    <cfRule type="cellIs" dxfId="4" priority="1" operator="equal">
      <formula>"."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8513-B735-AD4E-A368-8298AC5EE6D9}">
  <dimension ref="A1:AO71"/>
  <sheetViews>
    <sheetView topLeftCell="B1" zoomScale="90" zoomScaleNormal="90" workbookViewId="0">
      <selection activeCell="M6" sqref="M6"/>
    </sheetView>
  </sheetViews>
  <sheetFormatPr baseColWidth="10" defaultRowHeight="16"/>
  <cols>
    <col min="3" max="3" width="16.83203125" customWidth="1"/>
    <col min="4" max="4" width="23.5" bestFit="1" customWidth="1"/>
    <col min="5" max="5" width="15.33203125" customWidth="1"/>
    <col min="6" max="6" width="23.5" bestFit="1" customWidth="1"/>
    <col min="7" max="7" width="24.6640625" customWidth="1"/>
    <col min="8" max="8" width="17.83203125" customWidth="1"/>
    <col min="9" max="9" width="23.6640625" customWidth="1"/>
    <col min="10" max="10" width="12" customWidth="1"/>
  </cols>
  <sheetData>
    <row r="1" spans="1:41">
      <c r="A1" s="31">
        <v>46143</v>
      </c>
    </row>
    <row r="2" spans="1:41">
      <c r="I2" s="75" t="s">
        <v>315</v>
      </c>
      <c r="J2" s="75"/>
      <c r="K2" s="72" t="str">
        <f>TEXT(K3,"ddd")</f>
        <v>Fri</v>
      </c>
      <c r="L2" s="72" t="str">
        <f t="shared" ref="L2:AO2" si="0">TEXT(L3,"ddd")</f>
        <v>Sat</v>
      </c>
      <c r="M2" s="72" t="str">
        <f t="shared" si="0"/>
        <v>Sun</v>
      </c>
      <c r="N2" s="72" t="str">
        <f t="shared" si="0"/>
        <v>Mon</v>
      </c>
      <c r="O2" s="72" t="str">
        <f t="shared" si="0"/>
        <v>Tue</v>
      </c>
      <c r="P2" s="72" t="str">
        <f t="shared" si="0"/>
        <v>Wed</v>
      </c>
      <c r="Q2" s="72" t="str">
        <f t="shared" si="0"/>
        <v>Thu</v>
      </c>
      <c r="R2" s="72" t="str">
        <f t="shared" si="0"/>
        <v>Fri</v>
      </c>
      <c r="S2" s="72" t="str">
        <f t="shared" si="0"/>
        <v>Sat</v>
      </c>
      <c r="T2" s="72" t="str">
        <f t="shared" si="0"/>
        <v>Sun</v>
      </c>
      <c r="U2" s="72" t="str">
        <f t="shared" si="0"/>
        <v>Mon</v>
      </c>
      <c r="V2" s="72" t="str">
        <f t="shared" si="0"/>
        <v>Tue</v>
      </c>
      <c r="W2" s="72" t="str">
        <f t="shared" si="0"/>
        <v>Wed</v>
      </c>
      <c r="X2" s="72" t="str">
        <f t="shared" si="0"/>
        <v>Thu</v>
      </c>
      <c r="Y2" s="72" t="str">
        <f t="shared" si="0"/>
        <v>Fri</v>
      </c>
      <c r="Z2" s="72" t="str">
        <f t="shared" si="0"/>
        <v>Sat</v>
      </c>
      <c r="AA2" s="72" t="str">
        <f t="shared" si="0"/>
        <v>Sun</v>
      </c>
      <c r="AB2" s="72" t="str">
        <f t="shared" si="0"/>
        <v>Mon</v>
      </c>
      <c r="AC2" s="72" t="str">
        <f t="shared" si="0"/>
        <v>Tue</v>
      </c>
      <c r="AD2" s="72" t="str">
        <f t="shared" si="0"/>
        <v>Wed</v>
      </c>
      <c r="AE2" s="72" t="str">
        <f t="shared" si="0"/>
        <v>Thu</v>
      </c>
      <c r="AF2" s="72" t="str">
        <f t="shared" si="0"/>
        <v>Fri</v>
      </c>
      <c r="AG2" s="72" t="str">
        <f t="shared" si="0"/>
        <v>Sat</v>
      </c>
      <c r="AH2" s="72" t="str">
        <f t="shared" si="0"/>
        <v>Sun</v>
      </c>
      <c r="AI2" s="72" t="str">
        <f t="shared" si="0"/>
        <v>Mon</v>
      </c>
      <c r="AJ2" s="72" t="str">
        <f t="shared" si="0"/>
        <v>Tue</v>
      </c>
      <c r="AK2" s="72" t="str">
        <f t="shared" si="0"/>
        <v>Wed</v>
      </c>
      <c r="AL2" s="72" t="str">
        <f t="shared" si="0"/>
        <v>Thu</v>
      </c>
      <c r="AM2" s="72" t="str">
        <f t="shared" si="0"/>
        <v>Fri</v>
      </c>
      <c r="AN2" s="72" t="str">
        <f t="shared" si="0"/>
        <v>Sat</v>
      </c>
      <c r="AO2" s="72" t="str">
        <f t="shared" si="0"/>
        <v>Sun</v>
      </c>
    </row>
    <row r="3" spans="1:41">
      <c r="A3" s="1" t="s">
        <v>1</v>
      </c>
      <c r="B3" s="1" t="s">
        <v>2</v>
      </c>
      <c r="C3" s="1" t="s">
        <v>168</v>
      </c>
      <c r="D3" s="1" t="s">
        <v>264</v>
      </c>
      <c r="E3" s="1" t="s">
        <v>173</v>
      </c>
      <c r="F3" s="1" t="s">
        <v>169</v>
      </c>
      <c r="G3" s="1" t="s">
        <v>170</v>
      </c>
      <c r="H3" s="74" t="s">
        <v>179</v>
      </c>
      <c r="I3" s="71" t="s">
        <v>176</v>
      </c>
      <c r="J3" s="71" t="s">
        <v>180</v>
      </c>
      <c r="K3" s="73">
        <f>A1</f>
        <v>46143</v>
      </c>
      <c r="L3" s="73">
        <f>K3+1</f>
        <v>46144</v>
      </c>
      <c r="M3" s="73">
        <f t="shared" ref="M3:AO3" si="1">L3+1</f>
        <v>46145</v>
      </c>
      <c r="N3" s="73">
        <f t="shared" si="1"/>
        <v>46146</v>
      </c>
      <c r="O3" s="73">
        <f t="shared" si="1"/>
        <v>46147</v>
      </c>
      <c r="P3" s="73">
        <f t="shared" si="1"/>
        <v>46148</v>
      </c>
      <c r="Q3" s="73">
        <f t="shared" si="1"/>
        <v>46149</v>
      </c>
      <c r="R3" s="73">
        <f t="shared" si="1"/>
        <v>46150</v>
      </c>
      <c r="S3" s="73">
        <f t="shared" si="1"/>
        <v>46151</v>
      </c>
      <c r="T3" s="73">
        <f t="shared" si="1"/>
        <v>46152</v>
      </c>
      <c r="U3" s="73">
        <f t="shared" si="1"/>
        <v>46153</v>
      </c>
      <c r="V3" s="73">
        <f t="shared" si="1"/>
        <v>46154</v>
      </c>
      <c r="W3" s="73">
        <f t="shared" si="1"/>
        <v>46155</v>
      </c>
      <c r="X3" s="73">
        <f t="shared" si="1"/>
        <v>46156</v>
      </c>
      <c r="Y3" s="73">
        <f t="shared" si="1"/>
        <v>46157</v>
      </c>
      <c r="Z3" s="73">
        <f t="shared" si="1"/>
        <v>46158</v>
      </c>
      <c r="AA3" s="73">
        <f t="shared" si="1"/>
        <v>46159</v>
      </c>
      <c r="AB3" s="73">
        <f t="shared" si="1"/>
        <v>46160</v>
      </c>
      <c r="AC3" s="73">
        <f t="shared" si="1"/>
        <v>46161</v>
      </c>
      <c r="AD3" s="73">
        <f t="shared" si="1"/>
        <v>46162</v>
      </c>
      <c r="AE3" s="73">
        <f t="shared" si="1"/>
        <v>46163</v>
      </c>
      <c r="AF3" s="73">
        <f t="shared" si="1"/>
        <v>46164</v>
      </c>
      <c r="AG3" s="73">
        <f t="shared" si="1"/>
        <v>46165</v>
      </c>
      <c r="AH3" s="73">
        <f t="shared" si="1"/>
        <v>46166</v>
      </c>
      <c r="AI3" s="73">
        <f t="shared" si="1"/>
        <v>46167</v>
      </c>
      <c r="AJ3" s="73">
        <f t="shared" si="1"/>
        <v>46168</v>
      </c>
      <c r="AK3" s="73">
        <f t="shared" si="1"/>
        <v>46169</v>
      </c>
      <c r="AL3" s="73">
        <f t="shared" si="1"/>
        <v>46170</v>
      </c>
      <c r="AM3" s="73">
        <f t="shared" si="1"/>
        <v>46171</v>
      </c>
      <c r="AN3" s="73">
        <f t="shared" si="1"/>
        <v>46172</v>
      </c>
      <c r="AO3" s="73">
        <f t="shared" si="1"/>
        <v>46173</v>
      </c>
    </row>
    <row r="4" spans="1:41">
      <c r="A4" s="21" t="s">
        <v>33</v>
      </c>
      <c r="B4" s="21" t="s">
        <v>40</v>
      </c>
      <c r="C4" s="21" t="s">
        <v>196</v>
      </c>
      <c r="D4" s="21" t="s">
        <v>265</v>
      </c>
      <c r="E4" s="24" t="s">
        <v>174</v>
      </c>
      <c r="F4" s="21" t="s">
        <v>265</v>
      </c>
      <c r="G4" s="33" t="s">
        <v>263</v>
      </c>
      <c r="H4" s="24">
        <v>25</v>
      </c>
      <c r="I4" s="33">
        <f>DAY(EOMONTH($A$1,0))-COUNTIFS(K4:AO4,0)</f>
        <v>10</v>
      </c>
      <c r="J4" s="33" t="str">
        <f>IF(I4&lt;H4,"NO OK","OK")</f>
        <v>NO OK</v>
      </c>
      <c r="K4" s="58">
        <f>IF(COUNTIFS('Plan CP'!$O:$O,'PR Grupo'!$G4,'Plan CP'!$P:$P,'PR Grupo'!K$3,'Plan CP'!$M:$M,1)=1,1,IF(IFERROR(VLOOKUP('PR Grupo'!K$3&amp;'PR Grupo'!$G4,'Plan CP'!$K:$P,3,FALSE)&gt;1,0),IFERROR(VLOOKUP('PR Grupo'!K$3&amp;'PR Grupo'!$G4,'Plan CP'!$K:$P,3,FALSE),0),0))</f>
        <v>10</v>
      </c>
      <c r="L4" s="58">
        <f>IF(K4&gt;1,K4-1,IF(COUNTIFS('Plan CP'!$O:$O,'PR Grupo'!$G4,'Plan CP'!$P:$P,'PR Grupo'!L$3,'Plan CP'!$M:$M,1)=1,1,IF(IFERROR(VLOOKUP('PR Grupo'!L$3&amp;'PR Grupo'!$G4,'Plan CP'!$K:$P,3,FALSE)&gt;1,0),IFERROR(VLOOKUP('PR Grupo'!L$3&amp;'PR Grupo'!$G4,'Plan CP'!$K:$P,3,FALSE),0),0)))</f>
        <v>9</v>
      </c>
      <c r="M4" s="58">
        <f>IF(L4&gt;1,L4-1,IF(COUNTIFS('Plan CP'!$O:$O,'PR Grupo'!$G4,'Plan CP'!$P:$P,'PR Grupo'!M$3,'Plan CP'!$M:$M,1)=1,1,IF(IFERROR(VLOOKUP('PR Grupo'!M$3&amp;'PR Grupo'!$G4,'Plan CP'!$K:$P,3,FALSE)&gt;1,0),IFERROR(VLOOKUP('PR Grupo'!M$3&amp;'PR Grupo'!$G4,'Plan CP'!$K:$P,3,FALSE),0),0)))</f>
        <v>8</v>
      </c>
      <c r="N4" s="58">
        <f>IF(M4&gt;1,M4-1,IF(COUNTIFS('Plan CP'!$O:$O,'PR Grupo'!$G4,'Plan CP'!$P:$P,'PR Grupo'!N$3,'Plan CP'!$M:$M,1)=1,1,IF(IFERROR(VLOOKUP('PR Grupo'!N$3&amp;'PR Grupo'!$G4,'Plan CP'!$K:$P,3,FALSE)&gt;1,0),IFERROR(VLOOKUP('PR Grupo'!N$3&amp;'PR Grupo'!$G4,'Plan CP'!$K:$P,3,FALSE),0),0)))</f>
        <v>7</v>
      </c>
      <c r="O4" s="58">
        <f>IF(N4&gt;1,N4-1,IF(COUNTIFS('Plan CP'!$O:$O,'PR Grupo'!$G4,'Plan CP'!$P:$P,'PR Grupo'!O$3,'Plan CP'!$M:$M,1)=1,1,IF(IFERROR(VLOOKUP('PR Grupo'!O$3&amp;'PR Grupo'!$G4,'Plan CP'!$K:$P,3,FALSE)&gt;1,0),IFERROR(VLOOKUP('PR Grupo'!O$3&amp;'PR Grupo'!$G4,'Plan CP'!$K:$P,3,FALSE),0),0)))</f>
        <v>6</v>
      </c>
      <c r="P4" s="58">
        <f>IF(O4&gt;1,O4-1,IF(COUNTIFS('Plan CP'!$O:$O,'PR Grupo'!$G4,'Plan CP'!$P:$P,'PR Grupo'!P$3,'Plan CP'!$M:$M,1)=1,1,IF(IFERROR(VLOOKUP('PR Grupo'!P$3&amp;'PR Grupo'!$G4,'Plan CP'!$K:$P,3,FALSE)&gt;1,0),IFERROR(VLOOKUP('PR Grupo'!P$3&amp;'PR Grupo'!$G4,'Plan CP'!$K:$P,3,FALSE),0),0)))</f>
        <v>5</v>
      </c>
      <c r="Q4" s="58">
        <f>IF(P4&gt;1,P4-1,IF(COUNTIFS('Plan CP'!$O:$O,'PR Grupo'!$G4,'Plan CP'!$P:$P,'PR Grupo'!Q$3,'Plan CP'!$M:$M,1)=1,1,IF(IFERROR(VLOOKUP('PR Grupo'!Q$3&amp;'PR Grupo'!$G4,'Plan CP'!$K:$P,3,FALSE)&gt;1,0),IFERROR(VLOOKUP('PR Grupo'!Q$3&amp;'PR Grupo'!$G4,'Plan CP'!$K:$P,3,FALSE),0),0)))</f>
        <v>4</v>
      </c>
      <c r="R4" s="58">
        <f>IF(Q4&gt;1,Q4-1,IF(COUNTIFS('Plan CP'!$O:$O,'PR Grupo'!$G4,'Plan CP'!$P:$P,'PR Grupo'!R$3,'Plan CP'!$M:$M,1)=1,1,IF(IFERROR(VLOOKUP('PR Grupo'!R$3&amp;'PR Grupo'!$G4,'Plan CP'!$K:$P,3,FALSE)&gt;1,0),IFERROR(VLOOKUP('PR Grupo'!R$3&amp;'PR Grupo'!$G4,'Plan CP'!$K:$P,3,FALSE),0),0)))</f>
        <v>3</v>
      </c>
      <c r="S4" s="58">
        <f>IF(R4&gt;1,R4-1,IF(COUNTIFS('Plan CP'!$O:$O,'PR Grupo'!$G4,'Plan CP'!$P:$P,'PR Grupo'!S$3,'Plan CP'!$M:$M,1)=1,1,IF(IFERROR(VLOOKUP('PR Grupo'!S$3&amp;'PR Grupo'!$G4,'Plan CP'!$K:$P,3,FALSE)&gt;1,0),IFERROR(VLOOKUP('PR Grupo'!S$3&amp;'PR Grupo'!$G4,'Plan CP'!$K:$P,3,FALSE),0),0)))</f>
        <v>2</v>
      </c>
      <c r="T4" s="58">
        <f>IF(S4&gt;1,S4-1,IF(COUNTIFS('Plan CP'!$O:$O,'PR Grupo'!$G4,'Plan CP'!$P:$P,'PR Grupo'!T$3,'Plan CP'!$M:$M,1)=1,1,IF(IFERROR(VLOOKUP('PR Grupo'!T$3&amp;'PR Grupo'!$G4,'Plan CP'!$K:$P,3,FALSE)&gt;1,0),IFERROR(VLOOKUP('PR Grupo'!T$3&amp;'PR Grupo'!$G4,'Plan CP'!$K:$P,3,FALSE),0),0)))</f>
        <v>1</v>
      </c>
      <c r="U4" s="58">
        <f>IF(T4&gt;1,T4-1,IF(COUNTIFS('Plan CP'!$O:$O,'PR Grupo'!$G4,'Plan CP'!$P:$P,'PR Grupo'!U$3,'Plan CP'!$M:$M,1)=1,1,IF(IFERROR(VLOOKUP('PR Grupo'!U$3&amp;'PR Grupo'!$G4,'Plan CP'!$K:$P,3,FALSE)&gt;1,0),IFERROR(VLOOKUP('PR Grupo'!U$3&amp;'PR Grupo'!$G4,'Plan CP'!$K:$P,3,FALSE),0),0)))</f>
        <v>0</v>
      </c>
      <c r="V4" s="58">
        <f>IF(U4&gt;1,U4-1,IF(COUNTIFS('Plan CP'!$O:$O,'PR Grupo'!$G4,'Plan CP'!$P:$P,'PR Grupo'!V$3,'Plan CP'!$M:$M,1)=1,1,IF(IFERROR(VLOOKUP('PR Grupo'!V$3&amp;'PR Grupo'!$G4,'Plan CP'!$K:$P,3,FALSE)&gt;1,0),IFERROR(VLOOKUP('PR Grupo'!V$3&amp;'PR Grupo'!$G4,'Plan CP'!$K:$P,3,FALSE),0),0)))</f>
        <v>0</v>
      </c>
      <c r="W4" s="58">
        <f>IF(V4&gt;1,V4-1,IF(COUNTIFS('Plan CP'!$O:$O,'PR Grupo'!$G4,'Plan CP'!$P:$P,'PR Grupo'!W$3,'Plan CP'!$M:$M,1)=1,1,IF(IFERROR(VLOOKUP('PR Grupo'!W$3&amp;'PR Grupo'!$G4,'Plan CP'!$K:$P,3,FALSE)&gt;1,0),IFERROR(VLOOKUP('PR Grupo'!W$3&amp;'PR Grupo'!$G4,'Plan CP'!$K:$P,3,FALSE),0),0)))</f>
        <v>0</v>
      </c>
      <c r="X4" s="58">
        <f>IF(W4&gt;1,W4-1,IF(COUNTIFS('Plan CP'!$O:$O,'PR Grupo'!$G4,'Plan CP'!$P:$P,'PR Grupo'!X$3,'Plan CP'!$M:$M,1)=1,1,IF(IFERROR(VLOOKUP('PR Grupo'!X$3&amp;'PR Grupo'!$G4,'Plan CP'!$K:$P,3,FALSE)&gt;1,0),IFERROR(VLOOKUP('PR Grupo'!X$3&amp;'PR Grupo'!$G4,'Plan CP'!$K:$P,3,FALSE),0),0)))</f>
        <v>0</v>
      </c>
      <c r="Y4" s="58">
        <f>IF(X4&gt;1,X4-1,IF(COUNTIFS('Plan CP'!$O:$O,'PR Grupo'!$G4,'Plan CP'!$P:$P,'PR Grupo'!Y$3,'Plan CP'!$M:$M,1)=1,1,IF(IFERROR(VLOOKUP('PR Grupo'!Y$3&amp;'PR Grupo'!$G4,'Plan CP'!$K:$P,3,FALSE)&gt;1,0),IFERROR(VLOOKUP('PR Grupo'!Y$3&amp;'PR Grupo'!$G4,'Plan CP'!$K:$P,3,FALSE),0),0)))</f>
        <v>0</v>
      </c>
      <c r="Z4" s="58">
        <f>IF(Y4&gt;1,Y4-1,IF(COUNTIFS('Plan CP'!$O:$O,'PR Grupo'!$G4,'Plan CP'!$P:$P,'PR Grupo'!Z$3,'Plan CP'!$M:$M,1)=1,1,IF(IFERROR(VLOOKUP('PR Grupo'!Z$3&amp;'PR Grupo'!$G4,'Plan CP'!$K:$P,3,FALSE)&gt;1,0),IFERROR(VLOOKUP('PR Grupo'!Z$3&amp;'PR Grupo'!$G4,'Plan CP'!$K:$P,3,FALSE),0),0)))</f>
        <v>0</v>
      </c>
      <c r="AA4" s="58">
        <f>IF(Z4&gt;1,Z4-1,IF(COUNTIFS('Plan CP'!$O:$O,'PR Grupo'!$G4,'Plan CP'!$P:$P,'PR Grupo'!AA$3,'Plan CP'!$M:$M,1)=1,1,IF(IFERROR(VLOOKUP('PR Grupo'!AA$3&amp;'PR Grupo'!$G4,'Plan CP'!$K:$P,3,FALSE)&gt;1,0),IFERROR(VLOOKUP('PR Grupo'!AA$3&amp;'PR Grupo'!$G4,'Plan CP'!$K:$P,3,FALSE),0),0)))</f>
        <v>0</v>
      </c>
      <c r="AB4" s="58">
        <f>IF(AA4&gt;1,AA4-1,IF(COUNTIFS('Plan CP'!$O:$O,'PR Grupo'!$G4,'Plan CP'!$P:$P,'PR Grupo'!AB$3,'Plan CP'!$M:$M,1)=1,1,IF(IFERROR(VLOOKUP('PR Grupo'!AB$3&amp;'PR Grupo'!$G4,'Plan CP'!$K:$P,3,FALSE)&gt;1,0),IFERROR(VLOOKUP('PR Grupo'!AB$3&amp;'PR Grupo'!$G4,'Plan CP'!$K:$P,3,FALSE),0),0)))</f>
        <v>0</v>
      </c>
      <c r="AC4" s="58">
        <f>IF(AB4&gt;1,AB4-1,IF(COUNTIFS('Plan CP'!$O:$O,'PR Grupo'!$G4,'Plan CP'!$P:$P,'PR Grupo'!AC$3,'Plan CP'!$M:$M,1)=1,1,IF(IFERROR(VLOOKUP('PR Grupo'!AC$3&amp;'PR Grupo'!$G4,'Plan CP'!$K:$P,3,FALSE)&gt;1,0),IFERROR(VLOOKUP('PR Grupo'!AC$3&amp;'PR Grupo'!$G4,'Plan CP'!$K:$P,3,FALSE),0),0)))</f>
        <v>0</v>
      </c>
      <c r="AD4" s="58">
        <f>IF(AC4&gt;1,AC4-1,IF(COUNTIFS('Plan CP'!$O:$O,'PR Grupo'!$G4,'Plan CP'!$P:$P,'PR Grupo'!AD$3,'Plan CP'!$M:$M,1)=1,1,IF(IFERROR(VLOOKUP('PR Grupo'!AD$3&amp;'PR Grupo'!$G4,'Plan CP'!$K:$P,3,FALSE)&gt;1,0),IFERROR(VLOOKUP('PR Grupo'!AD$3&amp;'PR Grupo'!$G4,'Plan CP'!$K:$P,3,FALSE),0),0)))</f>
        <v>0</v>
      </c>
      <c r="AE4" s="58">
        <f>IF(AD4&gt;1,AD4-1,IF(COUNTIFS('Plan CP'!$O:$O,'PR Grupo'!$G4,'Plan CP'!$P:$P,'PR Grupo'!AE$3,'Plan CP'!$M:$M,1)=1,1,IF(IFERROR(VLOOKUP('PR Grupo'!AE$3&amp;'PR Grupo'!$G4,'Plan CP'!$K:$P,3,FALSE)&gt;1,0),IFERROR(VLOOKUP('PR Grupo'!AE$3&amp;'PR Grupo'!$G4,'Plan CP'!$K:$P,3,FALSE),0),0)))</f>
        <v>0</v>
      </c>
      <c r="AF4" s="58">
        <f>IF(AE4&gt;1,AE4-1,IF(COUNTIFS('Plan CP'!$O:$O,'PR Grupo'!$G4,'Plan CP'!$P:$P,'PR Grupo'!AF$3,'Plan CP'!$M:$M,1)=1,1,IF(IFERROR(VLOOKUP('PR Grupo'!AF$3&amp;'PR Grupo'!$G4,'Plan CP'!$K:$P,3,FALSE)&gt;1,0),IFERROR(VLOOKUP('PR Grupo'!AF$3&amp;'PR Grupo'!$G4,'Plan CP'!$K:$P,3,FALSE),0),0)))</f>
        <v>0</v>
      </c>
      <c r="AG4" s="58">
        <f>IF(AF4&gt;1,AF4-1,IF(COUNTIFS('Plan CP'!$O:$O,'PR Grupo'!$G4,'Plan CP'!$P:$P,'PR Grupo'!AG$3,'Plan CP'!$M:$M,1)=1,1,IF(IFERROR(VLOOKUP('PR Grupo'!AG$3&amp;'PR Grupo'!$G4,'Plan CP'!$K:$P,3,FALSE)&gt;1,0),IFERROR(VLOOKUP('PR Grupo'!AG$3&amp;'PR Grupo'!$G4,'Plan CP'!$K:$P,3,FALSE),0),0)))</f>
        <v>0</v>
      </c>
      <c r="AH4" s="58">
        <f>IF(AG4&gt;1,AG4-1,IF(COUNTIFS('Plan CP'!$O:$O,'PR Grupo'!$G4,'Plan CP'!$P:$P,'PR Grupo'!AH$3,'Plan CP'!$M:$M,1)=1,1,IF(IFERROR(VLOOKUP('PR Grupo'!AH$3&amp;'PR Grupo'!$G4,'Plan CP'!$K:$P,3,FALSE)&gt;1,0),IFERROR(VLOOKUP('PR Grupo'!AH$3&amp;'PR Grupo'!$G4,'Plan CP'!$K:$P,3,FALSE),0),0)))</f>
        <v>0</v>
      </c>
      <c r="AI4" s="58">
        <f>IF(AH4&gt;1,AH4-1,IF(COUNTIFS('Plan CP'!$O:$O,'PR Grupo'!$G4,'Plan CP'!$P:$P,'PR Grupo'!AI$3,'Plan CP'!$M:$M,1)=1,1,IF(IFERROR(VLOOKUP('PR Grupo'!AI$3&amp;'PR Grupo'!$G4,'Plan CP'!$K:$P,3,FALSE)&gt;1,0),IFERROR(VLOOKUP('PR Grupo'!AI$3&amp;'PR Grupo'!$G4,'Plan CP'!$K:$P,3,FALSE),0),0)))</f>
        <v>0</v>
      </c>
      <c r="AJ4" s="58">
        <f>IF(AI4&gt;1,AI4-1,IF(COUNTIFS('Plan CP'!$O:$O,'PR Grupo'!$G4,'Plan CP'!$P:$P,'PR Grupo'!AJ$3,'Plan CP'!$M:$M,1)=1,1,IF(IFERROR(VLOOKUP('PR Grupo'!AJ$3&amp;'PR Grupo'!$G4,'Plan CP'!$K:$P,3,FALSE)&gt;1,0),IFERROR(VLOOKUP('PR Grupo'!AJ$3&amp;'PR Grupo'!$G4,'Plan CP'!$K:$P,3,FALSE),0),0)))</f>
        <v>0</v>
      </c>
      <c r="AK4" s="58">
        <f>IF(AJ4&gt;1,AJ4-1,IF(COUNTIFS('Plan CP'!$O:$O,'PR Grupo'!$G4,'Plan CP'!$P:$P,'PR Grupo'!AK$3,'Plan CP'!$M:$M,1)=1,1,IF(IFERROR(VLOOKUP('PR Grupo'!AK$3&amp;'PR Grupo'!$G4,'Plan CP'!$K:$P,3,FALSE)&gt;1,0),IFERROR(VLOOKUP('PR Grupo'!AK$3&amp;'PR Grupo'!$G4,'Plan CP'!$K:$P,3,FALSE),0),0)))</f>
        <v>0</v>
      </c>
      <c r="AL4" s="58">
        <f>IF(AK4&gt;1,AK4-1,IF(COUNTIFS('Plan CP'!$O:$O,'PR Grupo'!$G4,'Plan CP'!$P:$P,'PR Grupo'!AL$3,'Plan CP'!$M:$M,1)=1,1,IF(IFERROR(VLOOKUP('PR Grupo'!AL$3&amp;'PR Grupo'!$G4,'Plan CP'!$K:$P,3,FALSE)&gt;1,0),IFERROR(VLOOKUP('PR Grupo'!AL$3&amp;'PR Grupo'!$G4,'Plan CP'!$K:$P,3,FALSE),0),0)))</f>
        <v>0</v>
      </c>
      <c r="AM4" s="58">
        <f>IF(AL4&gt;1,AL4-1,IF(COUNTIFS('Plan CP'!$O:$O,'PR Grupo'!$G4,'Plan CP'!$P:$P,'PR Grupo'!AM$3,'Plan CP'!$M:$M,1)=1,1,IF(IFERROR(VLOOKUP('PR Grupo'!AM$3&amp;'PR Grupo'!$G4,'Plan CP'!$K:$P,3,FALSE)&gt;1,0),IFERROR(VLOOKUP('PR Grupo'!AM$3&amp;'PR Grupo'!$G4,'Plan CP'!$K:$P,3,FALSE),0),0)))</f>
        <v>0</v>
      </c>
      <c r="AN4" s="58">
        <f>IF(AM4&gt;1,AM4-1,IF(COUNTIFS('Plan CP'!$O:$O,'PR Grupo'!$G4,'Plan CP'!$P:$P,'PR Grupo'!AN$3,'Plan CP'!$M:$M,1)=1,1,IF(IFERROR(VLOOKUP('PR Grupo'!AN$3&amp;'PR Grupo'!$G4,'Plan CP'!$K:$P,3,FALSE)&gt;1,0),IFERROR(VLOOKUP('PR Grupo'!AN$3&amp;'PR Grupo'!$G4,'Plan CP'!$K:$P,3,FALSE),0),0)))</f>
        <v>0</v>
      </c>
      <c r="AO4" s="58">
        <f>IF(AN4&gt;1,AN4-1,IF(COUNTIFS('Plan CP'!$O:$O,'PR Grupo'!$G4,'Plan CP'!$P:$P,'PR Grupo'!AO$3,'Plan CP'!$M:$M,1)=1,1,IF(IFERROR(VLOOKUP('PR Grupo'!AO$3&amp;'PR Grupo'!$G4,'Plan CP'!$K:$P,3,FALSE)&gt;1,0),IFERROR(VLOOKUP('PR Grupo'!AO$3&amp;'PR Grupo'!$G4,'Plan CP'!$K:$P,3,FALSE),0),0)))</f>
        <v>0</v>
      </c>
    </row>
    <row r="5" spans="1:41">
      <c r="A5" s="21" t="s">
        <v>33</v>
      </c>
      <c r="B5" s="21" t="s">
        <v>44</v>
      </c>
      <c r="C5" s="21" t="s">
        <v>197</v>
      </c>
      <c r="D5" s="21" t="s">
        <v>266</v>
      </c>
      <c r="E5" s="70" t="s">
        <v>175</v>
      </c>
      <c r="F5" s="21" t="s">
        <v>266</v>
      </c>
      <c r="G5" s="33" t="s">
        <v>171</v>
      </c>
      <c r="H5" s="24">
        <v>20</v>
      </c>
      <c r="I5" s="33">
        <f t="shared" ref="I5:I68" si="2">DAY(EOMONTH($A$1,0))-COUNTIFS(K5:AO5,0)</f>
        <v>18</v>
      </c>
      <c r="J5" s="33" t="str">
        <f t="shared" ref="J5:J68" si="3">IF(I5&lt;H5,"NO OK","OK")</f>
        <v>NO OK</v>
      </c>
      <c r="K5" s="58">
        <f>IF(COUNTIFS('Plan CP'!$O:$O,'PR Grupo'!$G5,'Plan CP'!$P:$P,'PR Grupo'!K$3,'Plan CP'!$M:$M,1)=1,1,IF(IFERROR(VLOOKUP('PR Grupo'!K$3&amp;'PR Grupo'!$G5,'Plan CP'!$K:$P,3,FALSE)&gt;1,0),IFERROR(VLOOKUP('PR Grupo'!K$3&amp;'PR Grupo'!$G5,'Plan CP'!$K:$P,3,FALSE),0),0))</f>
        <v>2</v>
      </c>
      <c r="L5" s="58">
        <f>IF(K5&gt;1,K5-1,IF(COUNTIFS('Plan CP'!$O:$O,'PR Grupo'!$G5,'Plan CP'!$P:$P,'PR Grupo'!L$3,'Plan CP'!$M:$M,1)=1,1,IF(IFERROR(VLOOKUP('PR Grupo'!L$3&amp;'PR Grupo'!$G5,'Plan CP'!$K:$P,3,FALSE)&gt;1,0),IFERROR(VLOOKUP('PR Grupo'!L$3&amp;'PR Grupo'!$G5,'Plan CP'!$K:$P,3,FALSE),0),0)))</f>
        <v>1</v>
      </c>
      <c r="M5" s="58">
        <f>IF(L5&gt;1,L5-1,IF(COUNTIFS('Plan CP'!$O:$O,'PR Grupo'!$G5,'Plan CP'!$P:$P,'PR Grupo'!M$3,'Plan CP'!$M:$M,1)=1,1,IF(IFERROR(VLOOKUP('PR Grupo'!M$3&amp;'PR Grupo'!$G5,'Plan CP'!$K:$P,3,FALSE)&gt;1,0),IFERROR(VLOOKUP('PR Grupo'!M$3&amp;'PR Grupo'!$G5,'Plan CP'!$K:$P,3,FALSE),0),0)))</f>
        <v>0</v>
      </c>
      <c r="N5" s="58">
        <f>IF(M5&gt;1,M5-1,IF(COUNTIFS('Plan CP'!$O:$O,'PR Grupo'!$G5,'Plan CP'!$P:$P,'PR Grupo'!N$3,'Plan CP'!$M:$M,1)=1,1,IF(IFERROR(VLOOKUP('PR Grupo'!N$3&amp;'PR Grupo'!$G5,'Plan CP'!$K:$P,3,FALSE)&gt;1,0),IFERROR(VLOOKUP('PR Grupo'!N$3&amp;'PR Grupo'!$G5,'Plan CP'!$K:$P,3,FALSE),0),0)))</f>
        <v>1</v>
      </c>
      <c r="O5" s="58">
        <f>IF(N5&gt;1,N5-1,IF(COUNTIFS('Plan CP'!$O:$O,'PR Grupo'!$G5,'Plan CP'!$P:$P,'PR Grupo'!O$3,'Plan CP'!$M:$M,1)=1,1,IF(IFERROR(VLOOKUP('PR Grupo'!O$3&amp;'PR Grupo'!$G5,'Plan CP'!$K:$P,3,FALSE)&gt;1,0),IFERROR(VLOOKUP('PR Grupo'!O$3&amp;'PR Grupo'!$G5,'Plan CP'!$K:$P,3,FALSE),0),0)))</f>
        <v>1</v>
      </c>
      <c r="P5" s="58">
        <f>IF(O5&gt;1,O5-1,IF(COUNTIFS('Plan CP'!$O:$O,'PR Grupo'!$G5,'Plan CP'!$P:$P,'PR Grupo'!P$3,'Plan CP'!$M:$M,1)=1,1,IF(IFERROR(VLOOKUP('PR Grupo'!P$3&amp;'PR Grupo'!$G5,'Plan CP'!$K:$P,3,FALSE)&gt;1,0),IFERROR(VLOOKUP('PR Grupo'!P$3&amp;'PR Grupo'!$G5,'Plan CP'!$K:$P,3,FALSE),0),0)))</f>
        <v>1</v>
      </c>
      <c r="Q5" s="58">
        <f>IF(P5&gt;1,P5-1,IF(COUNTIFS('Plan CP'!$O:$O,'PR Grupo'!$G5,'Plan CP'!$P:$P,'PR Grupo'!Q$3,'Plan CP'!$M:$M,1)=1,1,IF(IFERROR(VLOOKUP('PR Grupo'!Q$3&amp;'PR Grupo'!$G5,'Plan CP'!$K:$P,3,FALSE)&gt;1,0),IFERROR(VLOOKUP('PR Grupo'!Q$3&amp;'PR Grupo'!$G5,'Plan CP'!$K:$P,3,FALSE),0),0)))</f>
        <v>1</v>
      </c>
      <c r="R5" s="58">
        <f>IF(Q5&gt;1,Q5-1,IF(COUNTIFS('Plan CP'!$O:$O,'PR Grupo'!$G5,'Plan CP'!$P:$P,'PR Grupo'!R$3,'Plan CP'!$M:$M,1)=1,1,IF(IFERROR(VLOOKUP('PR Grupo'!R$3&amp;'PR Grupo'!$G5,'Plan CP'!$K:$P,3,FALSE)&gt;1,0),IFERROR(VLOOKUP('PR Grupo'!R$3&amp;'PR Grupo'!$G5,'Plan CP'!$K:$P,3,FALSE),0),0)))</f>
        <v>1</v>
      </c>
      <c r="S5" s="58">
        <f>IF(R5&gt;1,R5-1,IF(COUNTIFS('Plan CP'!$O:$O,'PR Grupo'!$G5,'Plan CP'!$P:$P,'PR Grupo'!S$3,'Plan CP'!$M:$M,1)=1,1,IF(IFERROR(VLOOKUP('PR Grupo'!S$3&amp;'PR Grupo'!$G5,'Plan CP'!$K:$P,3,FALSE)&gt;1,0),IFERROR(VLOOKUP('PR Grupo'!S$3&amp;'PR Grupo'!$G5,'Plan CP'!$K:$P,3,FALSE),0),0)))</f>
        <v>1</v>
      </c>
      <c r="T5" s="58">
        <f>IF(S5&gt;1,S5-1,IF(COUNTIFS('Plan CP'!$O:$O,'PR Grupo'!$G5,'Plan CP'!$P:$P,'PR Grupo'!T$3,'Plan CP'!$M:$M,1)=1,1,IF(IFERROR(VLOOKUP('PR Grupo'!T$3&amp;'PR Grupo'!$G5,'Plan CP'!$K:$P,3,FALSE)&gt;1,0),IFERROR(VLOOKUP('PR Grupo'!T$3&amp;'PR Grupo'!$G5,'Plan CP'!$K:$P,3,FALSE),0),0)))</f>
        <v>1</v>
      </c>
      <c r="U5" s="58">
        <f>IF(T5&gt;1,T5-1,IF(COUNTIFS('Plan CP'!$O:$O,'PR Grupo'!$G5,'Plan CP'!$P:$P,'PR Grupo'!U$3,'Plan CP'!$M:$M,1)=1,1,IF(IFERROR(VLOOKUP('PR Grupo'!U$3&amp;'PR Grupo'!$G5,'Plan CP'!$K:$P,3,FALSE)&gt;1,0),IFERROR(VLOOKUP('PR Grupo'!U$3&amp;'PR Grupo'!$G5,'Plan CP'!$K:$P,3,FALSE),0),0)))</f>
        <v>1</v>
      </c>
      <c r="V5" s="58">
        <f>IF(U5&gt;1,U5-1,IF(COUNTIFS('Plan CP'!$O:$O,'PR Grupo'!$G5,'Plan CP'!$P:$P,'PR Grupo'!V$3,'Plan CP'!$M:$M,1)=1,1,IF(IFERROR(VLOOKUP('PR Grupo'!V$3&amp;'PR Grupo'!$G5,'Plan CP'!$K:$P,3,FALSE)&gt;1,0),IFERROR(VLOOKUP('PR Grupo'!V$3&amp;'PR Grupo'!$G5,'Plan CP'!$K:$P,3,FALSE),0),0)))</f>
        <v>1</v>
      </c>
      <c r="W5" s="58">
        <f>IF(V5&gt;1,V5-1,IF(COUNTIFS('Plan CP'!$O:$O,'PR Grupo'!$G5,'Plan CP'!$P:$P,'PR Grupo'!W$3,'Plan CP'!$M:$M,1)=1,1,IF(IFERROR(VLOOKUP('PR Grupo'!W$3&amp;'PR Grupo'!$G5,'Plan CP'!$K:$P,3,FALSE)&gt;1,0),IFERROR(VLOOKUP('PR Grupo'!W$3&amp;'PR Grupo'!$G5,'Plan CP'!$K:$P,3,FALSE),0),0)))</f>
        <v>1</v>
      </c>
      <c r="X5" s="58">
        <f>IF(W5&gt;1,W5-1,IF(COUNTIFS('Plan CP'!$O:$O,'PR Grupo'!$G5,'Plan CP'!$P:$P,'PR Grupo'!X$3,'Plan CP'!$M:$M,1)=1,1,IF(IFERROR(VLOOKUP('PR Grupo'!X$3&amp;'PR Grupo'!$G5,'Plan CP'!$K:$P,3,FALSE)&gt;1,0),IFERROR(VLOOKUP('PR Grupo'!X$3&amp;'PR Grupo'!$G5,'Plan CP'!$K:$P,3,FALSE),0),0)))</f>
        <v>1</v>
      </c>
      <c r="Y5" s="58">
        <f>IF(X5&gt;1,X5-1,IF(COUNTIFS('Plan CP'!$O:$O,'PR Grupo'!$G5,'Plan CP'!$P:$P,'PR Grupo'!Y$3,'Plan CP'!$M:$M,1)=1,1,IF(IFERROR(VLOOKUP('PR Grupo'!Y$3&amp;'PR Grupo'!$G5,'Plan CP'!$K:$P,3,FALSE)&gt;1,0),IFERROR(VLOOKUP('PR Grupo'!Y$3&amp;'PR Grupo'!$G5,'Plan CP'!$K:$P,3,FALSE),0),0)))</f>
        <v>1</v>
      </c>
      <c r="Z5" s="58">
        <f>IF(Y5&gt;1,Y5-1,IF(COUNTIFS('Plan CP'!$O:$O,'PR Grupo'!$G5,'Plan CP'!$P:$P,'PR Grupo'!Z$3,'Plan CP'!$M:$M,1)=1,1,IF(IFERROR(VLOOKUP('PR Grupo'!Z$3&amp;'PR Grupo'!$G5,'Plan CP'!$K:$P,3,FALSE)&gt;1,0),IFERROR(VLOOKUP('PR Grupo'!Z$3&amp;'PR Grupo'!$G5,'Plan CP'!$K:$P,3,FALSE),0),0)))</f>
        <v>1</v>
      </c>
      <c r="AA5" s="58">
        <f>IF(Z5&gt;1,Z5-1,IF(COUNTIFS('Plan CP'!$O:$O,'PR Grupo'!$G5,'Plan CP'!$P:$P,'PR Grupo'!AA$3,'Plan CP'!$M:$M,1)=1,1,IF(IFERROR(VLOOKUP('PR Grupo'!AA$3&amp;'PR Grupo'!$G5,'Plan CP'!$K:$P,3,FALSE)&gt;1,0),IFERROR(VLOOKUP('PR Grupo'!AA$3&amp;'PR Grupo'!$G5,'Plan CP'!$K:$P,3,FALSE),0),0)))</f>
        <v>1</v>
      </c>
      <c r="AB5" s="58">
        <f>IF(AA5&gt;1,AA5-1,IF(COUNTIFS('Plan CP'!$O:$O,'PR Grupo'!$G5,'Plan CP'!$P:$P,'PR Grupo'!AB$3,'Plan CP'!$M:$M,1)=1,1,IF(IFERROR(VLOOKUP('PR Grupo'!AB$3&amp;'PR Grupo'!$G5,'Plan CP'!$K:$P,3,FALSE)&gt;1,0),IFERROR(VLOOKUP('PR Grupo'!AB$3&amp;'PR Grupo'!$G5,'Plan CP'!$K:$P,3,FALSE),0),0)))</f>
        <v>1</v>
      </c>
      <c r="AC5" s="58">
        <f>IF(AB5&gt;1,AB5-1,IF(COUNTIFS('Plan CP'!$O:$O,'PR Grupo'!$G5,'Plan CP'!$P:$P,'PR Grupo'!AC$3,'Plan CP'!$M:$M,1)=1,1,IF(IFERROR(VLOOKUP('PR Grupo'!AC$3&amp;'PR Grupo'!$G5,'Plan CP'!$K:$P,3,FALSE)&gt;1,0),IFERROR(VLOOKUP('PR Grupo'!AC$3&amp;'PR Grupo'!$G5,'Plan CP'!$K:$P,3,FALSE),0),0)))</f>
        <v>1</v>
      </c>
      <c r="AD5" s="58">
        <f>IF(AC5&gt;1,AC5-1,IF(COUNTIFS('Plan CP'!$O:$O,'PR Grupo'!$G5,'Plan CP'!$P:$P,'PR Grupo'!AD$3,'Plan CP'!$M:$M,1)=1,1,IF(IFERROR(VLOOKUP('PR Grupo'!AD$3&amp;'PR Grupo'!$G5,'Plan CP'!$K:$P,3,FALSE)&gt;1,0),IFERROR(VLOOKUP('PR Grupo'!AD$3&amp;'PR Grupo'!$G5,'Plan CP'!$K:$P,3,FALSE),0),0)))</f>
        <v>0</v>
      </c>
      <c r="AE5" s="58">
        <f>IF(AD5&gt;1,AD5-1,IF(COUNTIFS('Plan CP'!$O:$O,'PR Grupo'!$G5,'Plan CP'!$P:$P,'PR Grupo'!AE$3,'Plan CP'!$M:$M,1)=1,1,IF(IFERROR(VLOOKUP('PR Grupo'!AE$3&amp;'PR Grupo'!$G5,'Plan CP'!$K:$P,3,FALSE)&gt;1,0),IFERROR(VLOOKUP('PR Grupo'!AE$3&amp;'PR Grupo'!$G5,'Plan CP'!$K:$P,3,FALSE),0),0)))</f>
        <v>0</v>
      </c>
      <c r="AF5" s="58">
        <f>IF(AE5&gt;1,AE5-1,IF(COUNTIFS('Plan CP'!$O:$O,'PR Grupo'!$G5,'Plan CP'!$P:$P,'PR Grupo'!AF$3,'Plan CP'!$M:$M,1)=1,1,IF(IFERROR(VLOOKUP('PR Grupo'!AF$3&amp;'PR Grupo'!$G5,'Plan CP'!$K:$P,3,FALSE)&gt;1,0),IFERROR(VLOOKUP('PR Grupo'!AF$3&amp;'PR Grupo'!$G5,'Plan CP'!$K:$P,3,FALSE),0),0)))</f>
        <v>0</v>
      </c>
      <c r="AG5" s="58">
        <f>IF(AF5&gt;1,AF5-1,IF(COUNTIFS('Plan CP'!$O:$O,'PR Grupo'!$G5,'Plan CP'!$P:$P,'PR Grupo'!AG$3,'Plan CP'!$M:$M,1)=1,1,IF(IFERROR(VLOOKUP('PR Grupo'!AG$3&amp;'PR Grupo'!$G5,'Plan CP'!$K:$P,3,FALSE)&gt;1,0),IFERROR(VLOOKUP('PR Grupo'!AG$3&amp;'PR Grupo'!$G5,'Plan CP'!$K:$P,3,FALSE),0),0)))</f>
        <v>0</v>
      </c>
      <c r="AH5" s="58">
        <f>IF(AG5&gt;1,AG5-1,IF(COUNTIFS('Plan CP'!$O:$O,'PR Grupo'!$G5,'Plan CP'!$P:$P,'PR Grupo'!AH$3,'Plan CP'!$M:$M,1)=1,1,IF(IFERROR(VLOOKUP('PR Grupo'!AH$3&amp;'PR Grupo'!$G5,'Plan CP'!$K:$P,3,FALSE)&gt;1,0),IFERROR(VLOOKUP('PR Grupo'!AH$3&amp;'PR Grupo'!$G5,'Plan CP'!$K:$P,3,FALSE),0),0)))</f>
        <v>0</v>
      </c>
      <c r="AI5" s="58">
        <f>IF(AH5&gt;1,AH5-1,IF(COUNTIFS('Plan CP'!$O:$O,'PR Grupo'!$G5,'Plan CP'!$P:$P,'PR Grupo'!AI$3,'Plan CP'!$M:$M,1)=1,1,IF(IFERROR(VLOOKUP('PR Grupo'!AI$3&amp;'PR Grupo'!$G5,'Plan CP'!$K:$P,3,FALSE)&gt;1,0),IFERROR(VLOOKUP('PR Grupo'!AI$3&amp;'PR Grupo'!$G5,'Plan CP'!$K:$P,3,FALSE),0),0)))</f>
        <v>0</v>
      </c>
      <c r="AJ5" s="58">
        <f>IF(AI5&gt;1,AI5-1,IF(COUNTIFS('Plan CP'!$O:$O,'PR Grupo'!$G5,'Plan CP'!$P:$P,'PR Grupo'!AJ$3,'Plan CP'!$M:$M,1)=1,1,IF(IFERROR(VLOOKUP('PR Grupo'!AJ$3&amp;'PR Grupo'!$G5,'Plan CP'!$K:$P,3,FALSE)&gt;1,0),IFERROR(VLOOKUP('PR Grupo'!AJ$3&amp;'PR Grupo'!$G5,'Plan CP'!$K:$P,3,FALSE),0),0)))</f>
        <v>0</v>
      </c>
      <c r="AK5" s="58">
        <f>IF(AJ5&gt;1,AJ5-1,IF(COUNTIFS('Plan CP'!$O:$O,'PR Grupo'!$G5,'Plan CP'!$P:$P,'PR Grupo'!AK$3,'Plan CP'!$M:$M,1)=1,1,IF(IFERROR(VLOOKUP('PR Grupo'!AK$3&amp;'PR Grupo'!$G5,'Plan CP'!$K:$P,3,FALSE)&gt;1,0),IFERROR(VLOOKUP('PR Grupo'!AK$3&amp;'PR Grupo'!$G5,'Plan CP'!$K:$P,3,FALSE),0),0)))</f>
        <v>0</v>
      </c>
      <c r="AL5" s="58">
        <f>IF(AK5&gt;1,AK5-1,IF(COUNTIFS('Plan CP'!$O:$O,'PR Grupo'!$G5,'Plan CP'!$P:$P,'PR Grupo'!AL$3,'Plan CP'!$M:$M,1)=1,1,IF(IFERROR(VLOOKUP('PR Grupo'!AL$3&amp;'PR Grupo'!$G5,'Plan CP'!$K:$P,3,FALSE)&gt;1,0),IFERROR(VLOOKUP('PR Grupo'!AL$3&amp;'PR Grupo'!$G5,'Plan CP'!$K:$P,3,FALSE),0),0)))</f>
        <v>0</v>
      </c>
      <c r="AM5" s="58">
        <f>IF(AL5&gt;1,AL5-1,IF(COUNTIFS('Plan CP'!$O:$O,'PR Grupo'!$G5,'Plan CP'!$P:$P,'PR Grupo'!AM$3,'Plan CP'!$M:$M,1)=1,1,IF(IFERROR(VLOOKUP('PR Grupo'!AM$3&amp;'PR Grupo'!$G5,'Plan CP'!$K:$P,3,FALSE)&gt;1,0),IFERROR(VLOOKUP('PR Grupo'!AM$3&amp;'PR Grupo'!$G5,'Plan CP'!$K:$P,3,FALSE),0),0)))</f>
        <v>0</v>
      </c>
      <c r="AN5" s="58">
        <f>IF(AM5&gt;1,AM5-1,IF(COUNTIFS('Plan CP'!$O:$O,'PR Grupo'!$G5,'Plan CP'!$P:$P,'PR Grupo'!AN$3,'Plan CP'!$M:$M,1)=1,1,IF(IFERROR(VLOOKUP('PR Grupo'!AN$3&amp;'PR Grupo'!$G5,'Plan CP'!$K:$P,3,FALSE)&gt;1,0),IFERROR(VLOOKUP('PR Grupo'!AN$3&amp;'PR Grupo'!$G5,'Plan CP'!$K:$P,3,FALSE),0),0)))</f>
        <v>0</v>
      </c>
      <c r="AO5" s="58">
        <f>IF(AN5&gt;1,AN5-1,IF(COUNTIFS('Plan CP'!$O:$O,'PR Grupo'!$G5,'Plan CP'!$P:$P,'PR Grupo'!AO$3,'Plan CP'!$M:$M,1)=1,1,IF(IFERROR(VLOOKUP('PR Grupo'!AO$3&amp;'PR Grupo'!$G5,'Plan CP'!$K:$P,3,FALSE)&gt;1,0),IFERROR(VLOOKUP('PR Grupo'!AO$3&amp;'PR Grupo'!$G5,'Plan CP'!$K:$P,3,FALSE),0),0)))</f>
        <v>0</v>
      </c>
    </row>
    <row r="6" spans="1:41">
      <c r="A6" s="21" t="s">
        <v>33</v>
      </c>
      <c r="B6" s="21" t="s">
        <v>44</v>
      </c>
      <c r="C6" s="21" t="s">
        <v>198</v>
      </c>
      <c r="D6" s="21" t="s">
        <v>266</v>
      </c>
      <c r="E6" s="70" t="s">
        <v>177</v>
      </c>
      <c r="F6" s="21" t="s">
        <v>266</v>
      </c>
      <c r="G6" s="33" t="s">
        <v>171</v>
      </c>
      <c r="H6" s="24">
        <v>15</v>
      </c>
      <c r="I6" s="33">
        <f t="shared" si="2"/>
        <v>18</v>
      </c>
      <c r="J6" s="33" t="str">
        <f t="shared" si="3"/>
        <v>OK</v>
      </c>
      <c r="K6" s="58">
        <f>IF(COUNTIFS('Plan CP'!$O:$O,'PR Grupo'!$G6,'Plan CP'!$P:$P,'PR Grupo'!K$3,'Plan CP'!$M:$M,1)=1,1,IF(IFERROR(VLOOKUP('PR Grupo'!K$3&amp;'PR Grupo'!$G6,'Plan CP'!$K:$P,3,FALSE)&gt;1,0),IFERROR(VLOOKUP('PR Grupo'!K$3&amp;'PR Grupo'!$G6,'Plan CP'!$K:$P,3,FALSE),0),0))</f>
        <v>2</v>
      </c>
      <c r="L6" s="58">
        <f>IF(K6&gt;1,K6-1,IF(COUNTIFS('Plan CP'!$O:$O,'PR Grupo'!$G6,'Plan CP'!$P:$P,'PR Grupo'!L$3,'Plan CP'!$M:$M,1)=1,1,IF(IFERROR(VLOOKUP('PR Grupo'!L$3&amp;'PR Grupo'!$G6,'Plan CP'!$K:$P,3,FALSE)&gt;1,0),IFERROR(VLOOKUP('PR Grupo'!L$3&amp;'PR Grupo'!$G6,'Plan CP'!$K:$P,3,FALSE),0),0)))</f>
        <v>1</v>
      </c>
      <c r="M6" s="58">
        <f>IF(L6&gt;1,L6-1,IF(COUNTIFS('Plan CP'!$O:$O,'PR Grupo'!$G6,'Plan CP'!$P:$P,'PR Grupo'!M$3,'Plan CP'!$M:$M,1)=1,1,IF(IFERROR(VLOOKUP('PR Grupo'!M$3&amp;'PR Grupo'!$G6,'Plan CP'!$K:$P,3,FALSE)&gt;1,0),IFERROR(VLOOKUP('PR Grupo'!M$3&amp;'PR Grupo'!$G6,'Plan CP'!$K:$P,3,FALSE),0),0)))</f>
        <v>0</v>
      </c>
      <c r="N6" s="58">
        <f>IF(M6&gt;1,M6-1,IF(COUNTIFS('Plan CP'!$O:$O,'PR Grupo'!$G6,'Plan CP'!$P:$P,'PR Grupo'!N$3,'Plan CP'!$M:$M,1)=1,1,IF(IFERROR(VLOOKUP('PR Grupo'!N$3&amp;'PR Grupo'!$G6,'Plan CP'!$K:$P,3,FALSE)&gt;1,0),IFERROR(VLOOKUP('PR Grupo'!N$3&amp;'PR Grupo'!$G6,'Plan CP'!$K:$P,3,FALSE),0),0)))</f>
        <v>1</v>
      </c>
      <c r="O6" s="58">
        <f>IF(N6&gt;1,N6-1,IF(COUNTIFS('Plan CP'!$O:$O,'PR Grupo'!$G6,'Plan CP'!$P:$P,'PR Grupo'!O$3,'Plan CP'!$M:$M,1)=1,1,IF(IFERROR(VLOOKUP('PR Grupo'!O$3&amp;'PR Grupo'!$G6,'Plan CP'!$K:$P,3,FALSE)&gt;1,0),IFERROR(VLOOKUP('PR Grupo'!O$3&amp;'PR Grupo'!$G6,'Plan CP'!$K:$P,3,FALSE),0),0)))</f>
        <v>1</v>
      </c>
      <c r="P6" s="58">
        <f>IF(O6&gt;1,O6-1,IF(COUNTIFS('Plan CP'!$O:$O,'PR Grupo'!$G6,'Plan CP'!$P:$P,'PR Grupo'!P$3,'Plan CP'!$M:$M,1)=1,1,IF(IFERROR(VLOOKUP('PR Grupo'!P$3&amp;'PR Grupo'!$G6,'Plan CP'!$K:$P,3,FALSE)&gt;1,0),IFERROR(VLOOKUP('PR Grupo'!P$3&amp;'PR Grupo'!$G6,'Plan CP'!$K:$P,3,FALSE),0),0)))</f>
        <v>1</v>
      </c>
      <c r="Q6" s="58">
        <f>IF(P6&gt;1,P6-1,IF(COUNTIFS('Plan CP'!$O:$O,'PR Grupo'!$G6,'Plan CP'!$P:$P,'PR Grupo'!Q$3,'Plan CP'!$M:$M,1)=1,1,IF(IFERROR(VLOOKUP('PR Grupo'!Q$3&amp;'PR Grupo'!$G6,'Plan CP'!$K:$P,3,FALSE)&gt;1,0),IFERROR(VLOOKUP('PR Grupo'!Q$3&amp;'PR Grupo'!$G6,'Plan CP'!$K:$P,3,FALSE),0),0)))</f>
        <v>1</v>
      </c>
      <c r="R6" s="58">
        <f>IF(Q6&gt;1,Q6-1,IF(COUNTIFS('Plan CP'!$O:$O,'PR Grupo'!$G6,'Plan CP'!$P:$P,'PR Grupo'!R$3,'Plan CP'!$M:$M,1)=1,1,IF(IFERROR(VLOOKUP('PR Grupo'!R$3&amp;'PR Grupo'!$G6,'Plan CP'!$K:$P,3,FALSE)&gt;1,0),IFERROR(VLOOKUP('PR Grupo'!R$3&amp;'PR Grupo'!$G6,'Plan CP'!$K:$P,3,FALSE),0),0)))</f>
        <v>1</v>
      </c>
      <c r="S6" s="58">
        <f>IF(R6&gt;1,R6-1,IF(COUNTIFS('Plan CP'!$O:$O,'PR Grupo'!$G6,'Plan CP'!$P:$P,'PR Grupo'!S$3,'Plan CP'!$M:$M,1)=1,1,IF(IFERROR(VLOOKUP('PR Grupo'!S$3&amp;'PR Grupo'!$G6,'Plan CP'!$K:$P,3,FALSE)&gt;1,0),IFERROR(VLOOKUP('PR Grupo'!S$3&amp;'PR Grupo'!$G6,'Plan CP'!$K:$P,3,FALSE),0),0)))</f>
        <v>1</v>
      </c>
      <c r="T6" s="58">
        <f>IF(S6&gt;1,S6-1,IF(COUNTIFS('Plan CP'!$O:$O,'PR Grupo'!$G6,'Plan CP'!$P:$P,'PR Grupo'!T$3,'Plan CP'!$M:$M,1)=1,1,IF(IFERROR(VLOOKUP('PR Grupo'!T$3&amp;'PR Grupo'!$G6,'Plan CP'!$K:$P,3,FALSE)&gt;1,0),IFERROR(VLOOKUP('PR Grupo'!T$3&amp;'PR Grupo'!$G6,'Plan CP'!$K:$P,3,FALSE),0),0)))</f>
        <v>1</v>
      </c>
      <c r="U6" s="58">
        <f>IF(T6&gt;1,T6-1,IF(COUNTIFS('Plan CP'!$O:$O,'PR Grupo'!$G6,'Plan CP'!$P:$P,'PR Grupo'!U$3,'Plan CP'!$M:$M,1)=1,1,IF(IFERROR(VLOOKUP('PR Grupo'!U$3&amp;'PR Grupo'!$G6,'Plan CP'!$K:$P,3,FALSE)&gt;1,0),IFERROR(VLOOKUP('PR Grupo'!U$3&amp;'PR Grupo'!$G6,'Plan CP'!$K:$P,3,FALSE),0),0)))</f>
        <v>1</v>
      </c>
      <c r="V6" s="58">
        <f>IF(U6&gt;1,U6-1,IF(COUNTIFS('Plan CP'!$O:$O,'PR Grupo'!$G6,'Plan CP'!$P:$P,'PR Grupo'!V$3,'Plan CP'!$M:$M,1)=1,1,IF(IFERROR(VLOOKUP('PR Grupo'!V$3&amp;'PR Grupo'!$G6,'Plan CP'!$K:$P,3,FALSE)&gt;1,0),IFERROR(VLOOKUP('PR Grupo'!V$3&amp;'PR Grupo'!$G6,'Plan CP'!$K:$P,3,FALSE),0),0)))</f>
        <v>1</v>
      </c>
      <c r="W6" s="58">
        <f>IF(V6&gt;1,V6-1,IF(COUNTIFS('Plan CP'!$O:$O,'PR Grupo'!$G6,'Plan CP'!$P:$P,'PR Grupo'!W$3,'Plan CP'!$M:$M,1)=1,1,IF(IFERROR(VLOOKUP('PR Grupo'!W$3&amp;'PR Grupo'!$G6,'Plan CP'!$K:$P,3,FALSE)&gt;1,0),IFERROR(VLOOKUP('PR Grupo'!W$3&amp;'PR Grupo'!$G6,'Plan CP'!$K:$P,3,FALSE),0),0)))</f>
        <v>1</v>
      </c>
      <c r="X6" s="58">
        <f>IF(W6&gt;1,W6-1,IF(COUNTIFS('Plan CP'!$O:$O,'PR Grupo'!$G6,'Plan CP'!$P:$P,'PR Grupo'!X$3,'Plan CP'!$M:$M,1)=1,1,IF(IFERROR(VLOOKUP('PR Grupo'!X$3&amp;'PR Grupo'!$G6,'Plan CP'!$K:$P,3,FALSE)&gt;1,0),IFERROR(VLOOKUP('PR Grupo'!X$3&amp;'PR Grupo'!$G6,'Plan CP'!$K:$P,3,FALSE),0),0)))</f>
        <v>1</v>
      </c>
      <c r="Y6" s="58">
        <f>IF(X6&gt;1,X6-1,IF(COUNTIFS('Plan CP'!$O:$O,'PR Grupo'!$G6,'Plan CP'!$P:$P,'PR Grupo'!Y$3,'Plan CP'!$M:$M,1)=1,1,IF(IFERROR(VLOOKUP('PR Grupo'!Y$3&amp;'PR Grupo'!$G6,'Plan CP'!$K:$P,3,FALSE)&gt;1,0),IFERROR(VLOOKUP('PR Grupo'!Y$3&amp;'PR Grupo'!$G6,'Plan CP'!$K:$P,3,FALSE),0),0)))</f>
        <v>1</v>
      </c>
      <c r="Z6" s="58">
        <f>IF(Y6&gt;1,Y6-1,IF(COUNTIFS('Plan CP'!$O:$O,'PR Grupo'!$G6,'Plan CP'!$P:$P,'PR Grupo'!Z$3,'Plan CP'!$M:$M,1)=1,1,IF(IFERROR(VLOOKUP('PR Grupo'!Z$3&amp;'PR Grupo'!$G6,'Plan CP'!$K:$P,3,FALSE)&gt;1,0),IFERROR(VLOOKUP('PR Grupo'!Z$3&amp;'PR Grupo'!$G6,'Plan CP'!$K:$P,3,FALSE),0),0)))</f>
        <v>1</v>
      </c>
      <c r="AA6" s="58">
        <f>IF(Z6&gt;1,Z6-1,IF(COUNTIFS('Plan CP'!$O:$O,'PR Grupo'!$G6,'Plan CP'!$P:$P,'PR Grupo'!AA$3,'Plan CP'!$M:$M,1)=1,1,IF(IFERROR(VLOOKUP('PR Grupo'!AA$3&amp;'PR Grupo'!$G6,'Plan CP'!$K:$P,3,FALSE)&gt;1,0),IFERROR(VLOOKUP('PR Grupo'!AA$3&amp;'PR Grupo'!$G6,'Plan CP'!$K:$P,3,FALSE),0),0)))</f>
        <v>1</v>
      </c>
      <c r="AB6" s="58">
        <f>IF(AA6&gt;1,AA6-1,IF(COUNTIFS('Plan CP'!$O:$O,'PR Grupo'!$G6,'Plan CP'!$P:$P,'PR Grupo'!AB$3,'Plan CP'!$M:$M,1)=1,1,IF(IFERROR(VLOOKUP('PR Grupo'!AB$3&amp;'PR Grupo'!$G6,'Plan CP'!$K:$P,3,FALSE)&gt;1,0),IFERROR(VLOOKUP('PR Grupo'!AB$3&amp;'PR Grupo'!$G6,'Plan CP'!$K:$P,3,FALSE),0),0)))</f>
        <v>1</v>
      </c>
      <c r="AC6" s="58">
        <f>IF(AB6&gt;1,AB6-1,IF(COUNTIFS('Plan CP'!$O:$O,'PR Grupo'!$G6,'Plan CP'!$P:$P,'PR Grupo'!AC$3,'Plan CP'!$M:$M,1)=1,1,IF(IFERROR(VLOOKUP('PR Grupo'!AC$3&amp;'PR Grupo'!$G6,'Plan CP'!$K:$P,3,FALSE)&gt;1,0),IFERROR(VLOOKUP('PR Grupo'!AC$3&amp;'PR Grupo'!$G6,'Plan CP'!$K:$P,3,FALSE),0),0)))</f>
        <v>1</v>
      </c>
      <c r="AD6" s="58">
        <f>IF(AC6&gt;1,AC6-1,IF(COUNTIFS('Plan CP'!$O:$O,'PR Grupo'!$G6,'Plan CP'!$P:$P,'PR Grupo'!AD$3,'Plan CP'!$M:$M,1)=1,1,IF(IFERROR(VLOOKUP('PR Grupo'!AD$3&amp;'PR Grupo'!$G6,'Plan CP'!$K:$P,3,FALSE)&gt;1,0),IFERROR(VLOOKUP('PR Grupo'!AD$3&amp;'PR Grupo'!$G6,'Plan CP'!$K:$P,3,FALSE),0),0)))</f>
        <v>0</v>
      </c>
      <c r="AE6" s="58">
        <f>IF(AD6&gt;1,AD6-1,IF(COUNTIFS('Plan CP'!$O:$O,'PR Grupo'!$G6,'Plan CP'!$P:$P,'PR Grupo'!AE$3,'Plan CP'!$M:$M,1)=1,1,IF(IFERROR(VLOOKUP('PR Grupo'!AE$3&amp;'PR Grupo'!$G6,'Plan CP'!$K:$P,3,FALSE)&gt;1,0),IFERROR(VLOOKUP('PR Grupo'!AE$3&amp;'PR Grupo'!$G6,'Plan CP'!$K:$P,3,FALSE),0),0)))</f>
        <v>0</v>
      </c>
      <c r="AF6" s="58">
        <f>IF(AE6&gt;1,AE6-1,IF(COUNTIFS('Plan CP'!$O:$O,'PR Grupo'!$G6,'Plan CP'!$P:$P,'PR Grupo'!AF$3,'Plan CP'!$M:$M,1)=1,1,IF(IFERROR(VLOOKUP('PR Grupo'!AF$3&amp;'PR Grupo'!$G6,'Plan CP'!$K:$P,3,FALSE)&gt;1,0),IFERROR(VLOOKUP('PR Grupo'!AF$3&amp;'PR Grupo'!$G6,'Plan CP'!$K:$P,3,FALSE),0),0)))</f>
        <v>0</v>
      </c>
      <c r="AG6" s="58">
        <f>IF(AF6&gt;1,AF6-1,IF(COUNTIFS('Plan CP'!$O:$O,'PR Grupo'!$G6,'Plan CP'!$P:$P,'PR Grupo'!AG$3,'Plan CP'!$M:$M,1)=1,1,IF(IFERROR(VLOOKUP('PR Grupo'!AG$3&amp;'PR Grupo'!$G6,'Plan CP'!$K:$P,3,FALSE)&gt;1,0),IFERROR(VLOOKUP('PR Grupo'!AG$3&amp;'PR Grupo'!$G6,'Plan CP'!$K:$P,3,FALSE),0),0)))</f>
        <v>0</v>
      </c>
      <c r="AH6" s="58">
        <f>IF(AG6&gt;1,AG6-1,IF(COUNTIFS('Plan CP'!$O:$O,'PR Grupo'!$G6,'Plan CP'!$P:$P,'PR Grupo'!AH$3,'Plan CP'!$M:$M,1)=1,1,IF(IFERROR(VLOOKUP('PR Grupo'!AH$3&amp;'PR Grupo'!$G6,'Plan CP'!$K:$P,3,FALSE)&gt;1,0),IFERROR(VLOOKUP('PR Grupo'!AH$3&amp;'PR Grupo'!$G6,'Plan CP'!$K:$P,3,FALSE),0),0)))</f>
        <v>0</v>
      </c>
      <c r="AI6" s="58">
        <f>IF(AH6&gt;1,AH6-1,IF(COUNTIFS('Plan CP'!$O:$O,'PR Grupo'!$G6,'Plan CP'!$P:$P,'PR Grupo'!AI$3,'Plan CP'!$M:$M,1)=1,1,IF(IFERROR(VLOOKUP('PR Grupo'!AI$3&amp;'PR Grupo'!$G6,'Plan CP'!$K:$P,3,FALSE)&gt;1,0),IFERROR(VLOOKUP('PR Grupo'!AI$3&amp;'PR Grupo'!$G6,'Plan CP'!$K:$P,3,FALSE),0),0)))</f>
        <v>0</v>
      </c>
      <c r="AJ6" s="58">
        <f>IF(AI6&gt;1,AI6-1,IF(COUNTIFS('Plan CP'!$O:$O,'PR Grupo'!$G6,'Plan CP'!$P:$P,'PR Grupo'!AJ$3,'Plan CP'!$M:$M,1)=1,1,IF(IFERROR(VLOOKUP('PR Grupo'!AJ$3&amp;'PR Grupo'!$G6,'Plan CP'!$K:$P,3,FALSE)&gt;1,0),IFERROR(VLOOKUP('PR Grupo'!AJ$3&amp;'PR Grupo'!$G6,'Plan CP'!$K:$P,3,FALSE),0),0)))</f>
        <v>0</v>
      </c>
      <c r="AK6" s="58">
        <f>IF(AJ6&gt;1,AJ6-1,IF(COUNTIFS('Plan CP'!$O:$O,'PR Grupo'!$G6,'Plan CP'!$P:$P,'PR Grupo'!AK$3,'Plan CP'!$M:$M,1)=1,1,IF(IFERROR(VLOOKUP('PR Grupo'!AK$3&amp;'PR Grupo'!$G6,'Plan CP'!$K:$P,3,FALSE)&gt;1,0),IFERROR(VLOOKUP('PR Grupo'!AK$3&amp;'PR Grupo'!$G6,'Plan CP'!$K:$P,3,FALSE),0),0)))</f>
        <v>0</v>
      </c>
      <c r="AL6" s="58">
        <f>IF(AK6&gt;1,AK6-1,IF(COUNTIFS('Plan CP'!$O:$O,'PR Grupo'!$G6,'Plan CP'!$P:$P,'PR Grupo'!AL$3,'Plan CP'!$M:$M,1)=1,1,IF(IFERROR(VLOOKUP('PR Grupo'!AL$3&amp;'PR Grupo'!$G6,'Plan CP'!$K:$P,3,FALSE)&gt;1,0),IFERROR(VLOOKUP('PR Grupo'!AL$3&amp;'PR Grupo'!$G6,'Plan CP'!$K:$P,3,FALSE),0),0)))</f>
        <v>0</v>
      </c>
      <c r="AM6" s="58">
        <f>IF(AL6&gt;1,AL6-1,IF(COUNTIFS('Plan CP'!$O:$O,'PR Grupo'!$G6,'Plan CP'!$P:$P,'PR Grupo'!AM$3,'Plan CP'!$M:$M,1)=1,1,IF(IFERROR(VLOOKUP('PR Grupo'!AM$3&amp;'PR Grupo'!$G6,'Plan CP'!$K:$P,3,FALSE)&gt;1,0),IFERROR(VLOOKUP('PR Grupo'!AM$3&amp;'PR Grupo'!$G6,'Plan CP'!$K:$P,3,FALSE),0),0)))</f>
        <v>0</v>
      </c>
      <c r="AN6" s="58">
        <f>IF(AM6&gt;1,AM6-1,IF(COUNTIFS('Plan CP'!$O:$O,'PR Grupo'!$G6,'Plan CP'!$P:$P,'PR Grupo'!AN$3,'Plan CP'!$M:$M,1)=1,1,IF(IFERROR(VLOOKUP('PR Grupo'!AN$3&amp;'PR Grupo'!$G6,'Plan CP'!$K:$P,3,FALSE)&gt;1,0),IFERROR(VLOOKUP('PR Grupo'!AN$3&amp;'PR Grupo'!$G6,'Plan CP'!$K:$P,3,FALSE),0),0)))</f>
        <v>0</v>
      </c>
      <c r="AO6" s="58">
        <f>IF(AN6&gt;1,AN6-1,IF(COUNTIFS('Plan CP'!$O:$O,'PR Grupo'!$G6,'Plan CP'!$P:$P,'PR Grupo'!AO$3,'Plan CP'!$M:$M,1)=1,1,IF(IFERROR(VLOOKUP('PR Grupo'!AO$3&amp;'PR Grupo'!$G6,'Plan CP'!$K:$P,3,FALSE)&gt;1,0),IFERROR(VLOOKUP('PR Grupo'!AO$3&amp;'PR Grupo'!$G6,'Plan CP'!$K:$P,3,FALSE),0),0)))</f>
        <v>0</v>
      </c>
    </row>
    <row r="7" spans="1:41">
      <c r="A7" s="21" t="s">
        <v>33</v>
      </c>
      <c r="B7" s="21" t="s">
        <v>40</v>
      </c>
      <c r="C7" s="21" t="s">
        <v>199</v>
      </c>
      <c r="D7" s="21" t="s">
        <v>267</v>
      </c>
      <c r="E7" s="70" t="s">
        <v>174</v>
      </c>
      <c r="F7" s="21" t="s">
        <v>267</v>
      </c>
      <c r="G7" s="33" t="s">
        <v>171</v>
      </c>
      <c r="H7" s="24">
        <v>25</v>
      </c>
      <c r="I7" s="33">
        <f t="shared" si="2"/>
        <v>18</v>
      </c>
      <c r="J7" s="33" t="str">
        <f t="shared" si="3"/>
        <v>NO OK</v>
      </c>
      <c r="K7" s="58">
        <f>IF(COUNTIFS('Plan CP'!$O:$O,'PR Grupo'!$G7,'Plan CP'!$P:$P,'PR Grupo'!K$3,'Plan CP'!$M:$M,1)=1,1,IF(IFERROR(VLOOKUP('PR Grupo'!K$3&amp;'PR Grupo'!$G7,'Plan CP'!$K:$P,3,FALSE)&gt;1,0),IFERROR(VLOOKUP('PR Grupo'!K$3&amp;'PR Grupo'!$G7,'Plan CP'!$K:$P,3,FALSE),0),0))</f>
        <v>2</v>
      </c>
      <c r="L7" s="58">
        <f>IF(K7&gt;1,K7-1,IF(COUNTIFS('Plan CP'!$O:$O,'PR Grupo'!$G7,'Plan CP'!$P:$P,'PR Grupo'!L$3,'Plan CP'!$M:$M,1)=1,1,IF(IFERROR(VLOOKUP('PR Grupo'!L$3&amp;'PR Grupo'!$G7,'Plan CP'!$K:$P,3,FALSE)&gt;1,0),IFERROR(VLOOKUP('PR Grupo'!L$3&amp;'PR Grupo'!$G7,'Plan CP'!$K:$P,3,FALSE),0),0)))</f>
        <v>1</v>
      </c>
      <c r="M7" s="58">
        <f>IF(L7&gt;1,L7-1,IF(COUNTIFS('Plan CP'!$O:$O,'PR Grupo'!$G7,'Plan CP'!$P:$P,'PR Grupo'!M$3,'Plan CP'!$M:$M,1)=1,1,IF(IFERROR(VLOOKUP('PR Grupo'!M$3&amp;'PR Grupo'!$G7,'Plan CP'!$K:$P,3,FALSE)&gt;1,0),IFERROR(VLOOKUP('PR Grupo'!M$3&amp;'PR Grupo'!$G7,'Plan CP'!$K:$P,3,FALSE),0),0)))</f>
        <v>0</v>
      </c>
      <c r="N7" s="58">
        <f>IF(M7&gt;1,M7-1,IF(COUNTIFS('Plan CP'!$O:$O,'PR Grupo'!$G7,'Plan CP'!$P:$P,'PR Grupo'!N$3,'Plan CP'!$M:$M,1)=1,1,IF(IFERROR(VLOOKUP('PR Grupo'!N$3&amp;'PR Grupo'!$G7,'Plan CP'!$K:$P,3,FALSE)&gt;1,0),IFERROR(VLOOKUP('PR Grupo'!N$3&amp;'PR Grupo'!$G7,'Plan CP'!$K:$P,3,FALSE),0),0)))</f>
        <v>1</v>
      </c>
      <c r="O7" s="58">
        <f>IF(N7&gt;1,N7-1,IF(COUNTIFS('Plan CP'!$O:$O,'PR Grupo'!$G7,'Plan CP'!$P:$P,'PR Grupo'!O$3,'Plan CP'!$M:$M,1)=1,1,IF(IFERROR(VLOOKUP('PR Grupo'!O$3&amp;'PR Grupo'!$G7,'Plan CP'!$K:$P,3,FALSE)&gt;1,0),IFERROR(VLOOKUP('PR Grupo'!O$3&amp;'PR Grupo'!$G7,'Plan CP'!$K:$P,3,FALSE),0),0)))</f>
        <v>1</v>
      </c>
      <c r="P7" s="58">
        <f>IF(O7&gt;1,O7-1,IF(COUNTIFS('Plan CP'!$O:$O,'PR Grupo'!$G7,'Plan CP'!$P:$P,'PR Grupo'!P$3,'Plan CP'!$M:$M,1)=1,1,IF(IFERROR(VLOOKUP('PR Grupo'!P$3&amp;'PR Grupo'!$G7,'Plan CP'!$K:$P,3,FALSE)&gt;1,0),IFERROR(VLOOKUP('PR Grupo'!P$3&amp;'PR Grupo'!$G7,'Plan CP'!$K:$P,3,FALSE),0),0)))</f>
        <v>1</v>
      </c>
      <c r="Q7" s="58">
        <f>IF(P7&gt;1,P7-1,IF(COUNTIFS('Plan CP'!$O:$O,'PR Grupo'!$G7,'Plan CP'!$P:$P,'PR Grupo'!Q$3,'Plan CP'!$M:$M,1)=1,1,IF(IFERROR(VLOOKUP('PR Grupo'!Q$3&amp;'PR Grupo'!$G7,'Plan CP'!$K:$P,3,FALSE)&gt;1,0),IFERROR(VLOOKUP('PR Grupo'!Q$3&amp;'PR Grupo'!$G7,'Plan CP'!$K:$P,3,FALSE),0),0)))</f>
        <v>1</v>
      </c>
      <c r="R7" s="58">
        <f>IF(Q7&gt;1,Q7-1,IF(COUNTIFS('Plan CP'!$O:$O,'PR Grupo'!$G7,'Plan CP'!$P:$P,'PR Grupo'!R$3,'Plan CP'!$M:$M,1)=1,1,IF(IFERROR(VLOOKUP('PR Grupo'!R$3&amp;'PR Grupo'!$G7,'Plan CP'!$K:$P,3,FALSE)&gt;1,0),IFERROR(VLOOKUP('PR Grupo'!R$3&amp;'PR Grupo'!$G7,'Plan CP'!$K:$P,3,FALSE),0),0)))</f>
        <v>1</v>
      </c>
      <c r="S7" s="58">
        <f>IF(R7&gt;1,R7-1,IF(COUNTIFS('Plan CP'!$O:$O,'PR Grupo'!$G7,'Plan CP'!$P:$P,'PR Grupo'!S$3,'Plan CP'!$M:$M,1)=1,1,IF(IFERROR(VLOOKUP('PR Grupo'!S$3&amp;'PR Grupo'!$G7,'Plan CP'!$K:$P,3,FALSE)&gt;1,0),IFERROR(VLOOKUP('PR Grupo'!S$3&amp;'PR Grupo'!$G7,'Plan CP'!$K:$P,3,FALSE),0),0)))</f>
        <v>1</v>
      </c>
      <c r="T7" s="58">
        <f>IF(S7&gt;1,S7-1,IF(COUNTIFS('Plan CP'!$O:$O,'PR Grupo'!$G7,'Plan CP'!$P:$P,'PR Grupo'!T$3,'Plan CP'!$M:$M,1)=1,1,IF(IFERROR(VLOOKUP('PR Grupo'!T$3&amp;'PR Grupo'!$G7,'Plan CP'!$K:$P,3,FALSE)&gt;1,0),IFERROR(VLOOKUP('PR Grupo'!T$3&amp;'PR Grupo'!$G7,'Plan CP'!$K:$P,3,FALSE),0),0)))</f>
        <v>1</v>
      </c>
      <c r="U7" s="58">
        <f>IF(T7&gt;1,T7-1,IF(COUNTIFS('Plan CP'!$O:$O,'PR Grupo'!$G7,'Plan CP'!$P:$P,'PR Grupo'!U$3,'Plan CP'!$M:$M,1)=1,1,IF(IFERROR(VLOOKUP('PR Grupo'!U$3&amp;'PR Grupo'!$G7,'Plan CP'!$K:$P,3,FALSE)&gt;1,0),IFERROR(VLOOKUP('PR Grupo'!U$3&amp;'PR Grupo'!$G7,'Plan CP'!$K:$P,3,FALSE),0),0)))</f>
        <v>1</v>
      </c>
      <c r="V7" s="58">
        <f>IF(U7&gt;1,U7-1,IF(COUNTIFS('Plan CP'!$O:$O,'PR Grupo'!$G7,'Plan CP'!$P:$P,'PR Grupo'!V$3,'Plan CP'!$M:$M,1)=1,1,IF(IFERROR(VLOOKUP('PR Grupo'!V$3&amp;'PR Grupo'!$G7,'Plan CP'!$K:$P,3,FALSE)&gt;1,0),IFERROR(VLOOKUP('PR Grupo'!V$3&amp;'PR Grupo'!$G7,'Plan CP'!$K:$P,3,FALSE),0),0)))</f>
        <v>1</v>
      </c>
      <c r="W7" s="58">
        <f>IF(V7&gt;1,V7-1,IF(COUNTIFS('Plan CP'!$O:$O,'PR Grupo'!$G7,'Plan CP'!$P:$P,'PR Grupo'!W$3,'Plan CP'!$M:$M,1)=1,1,IF(IFERROR(VLOOKUP('PR Grupo'!W$3&amp;'PR Grupo'!$G7,'Plan CP'!$K:$P,3,FALSE)&gt;1,0),IFERROR(VLOOKUP('PR Grupo'!W$3&amp;'PR Grupo'!$G7,'Plan CP'!$K:$P,3,FALSE),0),0)))</f>
        <v>1</v>
      </c>
      <c r="X7" s="58">
        <f>IF(W7&gt;1,W7-1,IF(COUNTIFS('Plan CP'!$O:$O,'PR Grupo'!$G7,'Plan CP'!$P:$P,'PR Grupo'!X$3,'Plan CP'!$M:$M,1)=1,1,IF(IFERROR(VLOOKUP('PR Grupo'!X$3&amp;'PR Grupo'!$G7,'Plan CP'!$K:$P,3,FALSE)&gt;1,0),IFERROR(VLOOKUP('PR Grupo'!X$3&amp;'PR Grupo'!$G7,'Plan CP'!$K:$P,3,FALSE),0),0)))</f>
        <v>1</v>
      </c>
      <c r="Y7" s="58">
        <f>IF(X7&gt;1,X7-1,IF(COUNTIFS('Plan CP'!$O:$O,'PR Grupo'!$G7,'Plan CP'!$P:$P,'PR Grupo'!Y$3,'Plan CP'!$M:$M,1)=1,1,IF(IFERROR(VLOOKUP('PR Grupo'!Y$3&amp;'PR Grupo'!$G7,'Plan CP'!$K:$P,3,FALSE)&gt;1,0),IFERROR(VLOOKUP('PR Grupo'!Y$3&amp;'PR Grupo'!$G7,'Plan CP'!$K:$P,3,FALSE),0),0)))</f>
        <v>1</v>
      </c>
      <c r="Z7" s="58">
        <f>IF(Y7&gt;1,Y7-1,IF(COUNTIFS('Plan CP'!$O:$O,'PR Grupo'!$G7,'Plan CP'!$P:$P,'PR Grupo'!Z$3,'Plan CP'!$M:$M,1)=1,1,IF(IFERROR(VLOOKUP('PR Grupo'!Z$3&amp;'PR Grupo'!$G7,'Plan CP'!$K:$P,3,FALSE)&gt;1,0),IFERROR(VLOOKUP('PR Grupo'!Z$3&amp;'PR Grupo'!$G7,'Plan CP'!$K:$P,3,FALSE),0),0)))</f>
        <v>1</v>
      </c>
      <c r="AA7" s="58">
        <f>IF(Z7&gt;1,Z7-1,IF(COUNTIFS('Plan CP'!$O:$O,'PR Grupo'!$G7,'Plan CP'!$P:$P,'PR Grupo'!AA$3,'Plan CP'!$M:$M,1)=1,1,IF(IFERROR(VLOOKUP('PR Grupo'!AA$3&amp;'PR Grupo'!$G7,'Plan CP'!$K:$P,3,FALSE)&gt;1,0),IFERROR(VLOOKUP('PR Grupo'!AA$3&amp;'PR Grupo'!$G7,'Plan CP'!$K:$P,3,FALSE),0),0)))</f>
        <v>1</v>
      </c>
      <c r="AB7" s="58">
        <f>IF(AA7&gt;1,AA7-1,IF(COUNTIFS('Plan CP'!$O:$O,'PR Grupo'!$G7,'Plan CP'!$P:$P,'PR Grupo'!AB$3,'Plan CP'!$M:$M,1)=1,1,IF(IFERROR(VLOOKUP('PR Grupo'!AB$3&amp;'PR Grupo'!$G7,'Plan CP'!$K:$P,3,FALSE)&gt;1,0),IFERROR(VLOOKUP('PR Grupo'!AB$3&amp;'PR Grupo'!$G7,'Plan CP'!$K:$P,3,FALSE),0),0)))</f>
        <v>1</v>
      </c>
      <c r="AC7" s="58">
        <f>IF(AB7&gt;1,AB7-1,IF(COUNTIFS('Plan CP'!$O:$O,'PR Grupo'!$G7,'Plan CP'!$P:$P,'PR Grupo'!AC$3,'Plan CP'!$M:$M,1)=1,1,IF(IFERROR(VLOOKUP('PR Grupo'!AC$3&amp;'PR Grupo'!$G7,'Plan CP'!$K:$P,3,FALSE)&gt;1,0),IFERROR(VLOOKUP('PR Grupo'!AC$3&amp;'PR Grupo'!$G7,'Plan CP'!$K:$P,3,FALSE),0),0)))</f>
        <v>1</v>
      </c>
      <c r="AD7" s="58">
        <f>IF(AC7&gt;1,AC7-1,IF(COUNTIFS('Plan CP'!$O:$O,'PR Grupo'!$G7,'Plan CP'!$P:$P,'PR Grupo'!AD$3,'Plan CP'!$M:$M,1)=1,1,IF(IFERROR(VLOOKUP('PR Grupo'!AD$3&amp;'PR Grupo'!$G7,'Plan CP'!$K:$P,3,FALSE)&gt;1,0),IFERROR(VLOOKUP('PR Grupo'!AD$3&amp;'PR Grupo'!$G7,'Plan CP'!$K:$P,3,FALSE),0),0)))</f>
        <v>0</v>
      </c>
      <c r="AE7" s="58">
        <f>IF(AD7&gt;1,AD7-1,IF(COUNTIFS('Plan CP'!$O:$O,'PR Grupo'!$G7,'Plan CP'!$P:$P,'PR Grupo'!AE$3,'Plan CP'!$M:$M,1)=1,1,IF(IFERROR(VLOOKUP('PR Grupo'!AE$3&amp;'PR Grupo'!$G7,'Plan CP'!$K:$P,3,FALSE)&gt;1,0),IFERROR(VLOOKUP('PR Grupo'!AE$3&amp;'PR Grupo'!$G7,'Plan CP'!$K:$P,3,FALSE),0),0)))</f>
        <v>0</v>
      </c>
      <c r="AF7" s="58">
        <f>IF(AE7&gt;1,AE7-1,IF(COUNTIFS('Plan CP'!$O:$O,'PR Grupo'!$G7,'Plan CP'!$P:$P,'PR Grupo'!AF$3,'Plan CP'!$M:$M,1)=1,1,IF(IFERROR(VLOOKUP('PR Grupo'!AF$3&amp;'PR Grupo'!$G7,'Plan CP'!$K:$P,3,FALSE)&gt;1,0),IFERROR(VLOOKUP('PR Grupo'!AF$3&amp;'PR Grupo'!$G7,'Plan CP'!$K:$P,3,FALSE),0),0)))</f>
        <v>0</v>
      </c>
      <c r="AG7" s="58">
        <f>IF(AF7&gt;1,AF7-1,IF(COUNTIFS('Plan CP'!$O:$O,'PR Grupo'!$G7,'Plan CP'!$P:$P,'PR Grupo'!AG$3,'Plan CP'!$M:$M,1)=1,1,IF(IFERROR(VLOOKUP('PR Grupo'!AG$3&amp;'PR Grupo'!$G7,'Plan CP'!$K:$P,3,FALSE)&gt;1,0),IFERROR(VLOOKUP('PR Grupo'!AG$3&amp;'PR Grupo'!$G7,'Plan CP'!$K:$P,3,FALSE),0),0)))</f>
        <v>0</v>
      </c>
      <c r="AH7" s="58">
        <f>IF(AG7&gt;1,AG7-1,IF(COUNTIFS('Plan CP'!$O:$O,'PR Grupo'!$G7,'Plan CP'!$P:$P,'PR Grupo'!AH$3,'Plan CP'!$M:$M,1)=1,1,IF(IFERROR(VLOOKUP('PR Grupo'!AH$3&amp;'PR Grupo'!$G7,'Plan CP'!$K:$P,3,FALSE)&gt;1,0),IFERROR(VLOOKUP('PR Grupo'!AH$3&amp;'PR Grupo'!$G7,'Plan CP'!$K:$P,3,FALSE),0),0)))</f>
        <v>0</v>
      </c>
      <c r="AI7" s="58">
        <f>IF(AH7&gt;1,AH7-1,IF(COUNTIFS('Plan CP'!$O:$O,'PR Grupo'!$G7,'Plan CP'!$P:$P,'PR Grupo'!AI$3,'Plan CP'!$M:$M,1)=1,1,IF(IFERROR(VLOOKUP('PR Grupo'!AI$3&amp;'PR Grupo'!$G7,'Plan CP'!$K:$P,3,FALSE)&gt;1,0),IFERROR(VLOOKUP('PR Grupo'!AI$3&amp;'PR Grupo'!$G7,'Plan CP'!$K:$P,3,FALSE),0),0)))</f>
        <v>0</v>
      </c>
      <c r="AJ7" s="58">
        <f>IF(AI7&gt;1,AI7-1,IF(COUNTIFS('Plan CP'!$O:$O,'PR Grupo'!$G7,'Plan CP'!$P:$P,'PR Grupo'!AJ$3,'Plan CP'!$M:$M,1)=1,1,IF(IFERROR(VLOOKUP('PR Grupo'!AJ$3&amp;'PR Grupo'!$G7,'Plan CP'!$K:$P,3,FALSE)&gt;1,0),IFERROR(VLOOKUP('PR Grupo'!AJ$3&amp;'PR Grupo'!$G7,'Plan CP'!$K:$P,3,FALSE),0),0)))</f>
        <v>0</v>
      </c>
      <c r="AK7" s="58">
        <f>IF(AJ7&gt;1,AJ7-1,IF(COUNTIFS('Plan CP'!$O:$O,'PR Grupo'!$G7,'Plan CP'!$P:$P,'PR Grupo'!AK$3,'Plan CP'!$M:$M,1)=1,1,IF(IFERROR(VLOOKUP('PR Grupo'!AK$3&amp;'PR Grupo'!$G7,'Plan CP'!$K:$P,3,FALSE)&gt;1,0),IFERROR(VLOOKUP('PR Grupo'!AK$3&amp;'PR Grupo'!$G7,'Plan CP'!$K:$P,3,FALSE),0),0)))</f>
        <v>0</v>
      </c>
      <c r="AL7" s="58">
        <f>IF(AK7&gt;1,AK7-1,IF(COUNTIFS('Plan CP'!$O:$O,'PR Grupo'!$G7,'Plan CP'!$P:$P,'PR Grupo'!AL$3,'Plan CP'!$M:$M,1)=1,1,IF(IFERROR(VLOOKUP('PR Grupo'!AL$3&amp;'PR Grupo'!$G7,'Plan CP'!$K:$P,3,FALSE)&gt;1,0),IFERROR(VLOOKUP('PR Grupo'!AL$3&amp;'PR Grupo'!$G7,'Plan CP'!$K:$P,3,FALSE),0),0)))</f>
        <v>0</v>
      </c>
      <c r="AM7" s="58">
        <f>IF(AL7&gt;1,AL7-1,IF(COUNTIFS('Plan CP'!$O:$O,'PR Grupo'!$G7,'Plan CP'!$P:$P,'PR Grupo'!AM$3,'Plan CP'!$M:$M,1)=1,1,IF(IFERROR(VLOOKUP('PR Grupo'!AM$3&amp;'PR Grupo'!$G7,'Plan CP'!$K:$P,3,FALSE)&gt;1,0),IFERROR(VLOOKUP('PR Grupo'!AM$3&amp;'PR Grupo'!$G7,'Plan CP'!$K:$P,3,FALSE),0),0)))</f>
        <v>0</v>
      </c>
      <c r="AN7" s="58">
        <f>IF(AM7&gt;1,AM7-1,IF(COUNTIFS('Plan CP'!$O:$O,'PR Grupo'!$G7,'Plan CP'!$P:$P,'PR Grupo'!AN$3,'Plan CP'!$M:$M,1)=1,1,IF(IFERROR(VLOOKUP('PR Grupo'!AN$3&amp;'PR Grupo'!$G7,'Plan CP'!$K:$P,3,FALSE)&gt;1,0),IFERROR(VLOOKUP('PR Grupo'!AN$3&amp;'PR Grupo'!$G7,'Plan CP'!$K:$P,3,FALSE),0),0)))</f>
        <v>0</v>
      </c>
      <c r="AO7" s="58">
        <f>IF(AN7&gt;1,AN7-1,IF(COUNTIFS('Plan CP'!$O:$O,'PR Grupo'!$G7,'Plan CP'!$P:$P,'PR Grupo'!AO$3,'Plan CP'!$M:$M,1)=1,1,IF(IFERROR(VLOOKUP('PR Grupo'!AO$3&amp;'PR Grupo'!$G7,'Plan CP'!$K:$P,3,FALSE)&gt;1,0),IFERROR(VLOOKUP('PR Grupo'!AO$3&amp;'PR Grupo'!$G7,'Plan CP'!$K:$P,3,FALSE),0),0)))</f>
        <v>0</v>
      </c>
    </row>
    <row r="8" spans="1:41">
      <c r="A8" s="21" t="s">
        <v>33</v>
      </c>
      <c r="B8" s="21" t="s">
        <v>39</v>
      </c>
      <c r="C8" s="21" t="s">
        <v>200</v>
      </c>
      <c r="D8" s="21" t="s">
        <v>268</v>
      </c>
      <c r="E8" s="24" t="s">
        <v>174</v>
      </c>
      <c r="F8" s="21" t="s">
        <v>268</v>
      </c>
      <c r="G8" s="33" t="s">
        <v>171</v>
      </c>
      <c r="H8" s="24">
        <v>25</v>
      </c>
      <c r="I8" s="33">
        <f t="shared" si="2"/>
        <v>18</v>
      </c>
      <c r="J8" s="33" t="str">
        <f t="shared" si="3"/>
        <v>NO OK</v>
      </c>
      <c r="K8" s="58">
        <f>IF(COUNTIFS('Plan CP'!$O:$O,'PR Grupo'!$G8,'Plan CP'!$P:$P,'PR Grupo'!K$3,'Plan CP'!$M:$M,1)=1,1,IF(IFERROR(VLOOKUP('PR Grupo'!K$3&amp;'PR Grupo'!$G8,'Plan CP'!$K:$P,3,FALSE)&gt;1,0),IFERROR(VLOOKUP('PR Grupo'!K$3&amp;'PR Grupo'!$G8,'Plan CP'!$K:$P,3,FALSE),0),0))</f>
        <v>2</v>
      </c>
      <c r="L8" s="58">
        <f>IF(K8&gt;1,K8-1,IF(COUNTIFS('Plan CP'!$O:$O,'PR Grupo'!$G8,'Plan CP'!$P:$P,'PR Grupo'!L$3,'Plan CP'!$M:$M,1)=1,1,IF(IFERROR(VLOOKUP('PR Grupo'!L$3&amp;'PR Grupo'!$G8,'Plan CP'!$K:$P,3,FALSE)&gt;1,0),IFERROR(VLOOKUP('PR Grupo'!L$3&amp;'PR Grupo'!$G8,'Plan CP'!$K:$P,3,FALSE),0),0)))</f>
        <v>1</v>
      </c>
      <c r="M8" s="58">
        <f>IF(L8&gt;1,L8-1,IF(COUNTIFS('Plan CP'!$O:$O,'PR Grupo'!$G8,'Plan CP'!$P:$P,'PR Grupo'!M$3,'Plan CP'!$M:$M,1)=1,1,IF(IFERROR(VLOOKUP('PR Grupo'!M$3&amp;'PR Grupo'!$G8,'Plan CP'!$K:$P,3,FALSE)&gt;1,0),IFERROR(VLOOKUP('PR Grupo'!M$3&amp;'PR Grupo'!$G8,'Plan CP'!$K:$P,3,FALSE),0),0)))</f>
        <v>0</v>
      </c>
      <c r="N8" s="58">
        <f>IF(M8&gt;1,M8-1,IF(COUNTIFS('Plan CP'!$O:$O,'PR Grupo'!$G8,'Plan CP'!$P:$P,'PR Grupo'!N$3,'Plan CP'!$M:$M,1)=1,1,IF(IFERROR(VLOOKUP('PR Grupo'!N$3&amp;'PR Grupo'!$G8,'Plan CP'!$K:$P,3,FALSE)&gt;1,0),IFERROR(VLOOKUP('PR Grupo'!N$3&amp;'PR Grupo'!$G8,'Plan CP'!$K:$P,3,FALSE),0),0)))</f>
        <v>1</v>
      </c>
      <c r="O8" s="58">
        <f>IF(N8&gt;1,N8-1,IF(COUNTIFS('Plan CP'!$O:$O,'PR Grupo'!$G8,'Plan CP'!$P:$P,'PR Grupo'!O$3,'Plan CP'!$M:$M,1)=1,1,IF(IFERROR(VLOOKUP('PR Grupo'!O$3&amp;'PR Grupo'!$G8,'Plan CP'!$K:$P,3,FALSE)&gt;1,0),IFERROR(VLOOKUP('PR Grupo'!O$3&amp;'PR Grupo'!$G8,'Plan CP'!$K:$P,3,FALSE),0),0)))</f>
        <v>1</v>
      </c>
      <c r="P8" s="58">
        <f>IF(O8&gt;1,O8-1,IF(COUNTIFS('Plan CP'!$O:$O,'PR Grupo'!$G8,'Plan CP'!$P:$P,'PR Grupo'!P$3,'Plan CP'!$M:$M,1)=1,1,IF(IFERROR(VLOOKUP('PR Grupo'!P$3&amp;'PR Grupo'!$G8,'Plan CP'!$K:$P,3,FALSE)&gt;1,0),IFERROR(VLOOKUP('PR Grupo'!P$3&amp;'PR Grupo'!$G8,'Plan CP'!$K:$P,3,FALSE),0),0)))</f>
        <v>1</v>
      </c>
      <c r="Q8" s="58">
        <f>IF(P8&gt;1,P8-1,IF(COUNTIFS('Plan CP'!$O:$O,'PR Grupo'!$G8,'Plan CP'!$P:$P,'PR Grupo'!Q$3,'Plan CP'!$M:$M,1)=1,1,IF(IFERROR(VLOOKUP('PR Grupo'!Q$3&amp;'PR Grupo'!$G8,'Plan CP'!$K:$P,3,FALSE)&gt;1,0),IFERROR(VLOOKUP('PR Grupo'!Q$3&amp;'PR Grupo'!$G8,'Plan CP'!$K:$P,3,FALSE),0),0)))</f>
        <v>1</v>
      </c>
      <c r="R8" s="58">
        <f>IF(Q8&gt;1,Q8-1,IF(COUNTIFS('Plan CP'!$O:$O,'PR Grupo'!$G8,'Plan CP'!$P:$P,'PR Grupo'!R$3,'Plan CP'!$M:$M,1)=1,1,IF(IFERROR(VLOOKUP('PR Grupo'!R$3&amp;'PR Grupo'!$G8,'Plan CP'!$K:$P,3,FALSE)&gt;1,0),IFERROR(VLOOKUP('PR Grupo'!R$3&amp;'PR Grupo'!$G8,'Plan CP'!$K:$P,3,FALSE),0),0)))</f>
        <v>1</v>
      </c>
      <c r="S8" s="58">
        <f>IF(R8&gt;1,R8-1,IF(COUNTIFS('Plan CP'!$O:$O,'PR Grupo'!$G8,'Plan CP'!$P:$P,'PR Grupo'!S$3,'Plan CP'!$M:$M,1)=1,1,IF(IFERROR(VLOOKUP('PR Grupo'!S$3&amp;'PR Grupo'!$G8,'Plan CP'!$K:$P,3,FALSE)&gt;1,0),IFERROR(VLOOKUP('PR Grupo'!S$3&amp;'PR Grupo'!$G8,'Plan CP'!$K:$P,3,FALSE),0),0)))</f>
        <v>1</v>
      </c>
      <c r="T8" s="58">
        <f>IF(S8&gt;1,S8-1,IF(COUNTIFS('Plan CP'!$O:$O,'PR Grupo'!$G8,'Plan CP'!$P:$P,'PR Grupo'!T$3,'Plan CP'!$M:$M,1)=1,1,IF(IFERROR(VLOOKUP('PR Grupo'!T$3&amp;'PR Grupo'!$G8,'Plan CP'!$K:$P,3,FALSE)&gt;1,0),IFERROR(VLOOKUP('PR Grupo'!T$3&amp;'PR Grupo'!$G8,'Plan CP'!$K:$P,3,FALSE),0),0)))</f>
        <v>1</v>
      </c>
      <c r="U8" s="58">
        <f>IF(T8&gt;1,T8-1,IF(COUNTIFS('Plan CP'!$O:$O,'PR Grupo'!$G8,'Plan CP'!$P:$P,'PR Grupo'!U$3,'Plan CP'!$M:$M,1)=1,1,IF(IFERROR(VLOOKUP('PR Grupo'!U$3&amp;'PR Grupo'!$G8,'Plan CP'!$K:$P,3,FALSE)&gt;1,0),IFERROR(VLOOKUP('PR Grupo'!U$3&amp;'PR Grupo'!$G8,'Plan CP'!$K:$P,3,FALSE),0),0)))</f>
        <v>1</v>
      </c>
      <c r="V8" s="58">
        <f>IF(U8&gt;1,U8-1,IF(COUNTIFS('Plan CP'!$O:$O,'PR Grupo'!$G8,'Plan CP'!$P:$P,'PR Grupo'!V$3,'Plan CP'!$M:$M,1)=1,1,IF(IFERROR(VLOOKUP('PR Grupo'!V$3&amp;'PR Grupo'!$G8,'Plan CP'!$K:$P,3,FALSE)&gt;1,0),IFERROR(VLOOKUP('PR Grupo'!V$3&amp;'PR Grupo'!$G8,'Plan CP'!$K:$P,3,FALSE),0),0)))</f>
        <v>1</v>
      </c>
      <c r="W8" s="58">
        <f>IF(V8&gt;1,V8-1,IF(COUNTIFS('Plan CP'!$O:$O,'PR Grupo'!$G8,'Plan CP'!$P:$P,'PR Grupo'!W$3,'Plan CP'!$M:$M,1)=1,1,IF(IFERROR(VLOOKUP('PR Grupo'!W$3&amp;'PR Grupo'!$G8,'Plan CP'!$K:$P,3,FALSE)&gt;1,0),IFERROR(VLOOKUP('PR Grupo'!W$3&amp;'PR Grupo'!$G8,'Plan CP'!$K:$P,3,FALSE),0),0)))</f>
        <v>1</v>
      </c>
      <c r="X8" s="58">
        <f>IF(W8&gt;1,W8-1,IF(COUNTIFS('Plan CP'!$O:$O,'PR Grupo'!$G8,'Plan CP'!$P:$P,'PR Grupo'!X$3,'Plan CP'!$M:$M,1)=1,1,IF(IFERROR(VLOOKUP('PR Grupo'!X$3&amp;'PR Grupo'!$G8,'Plan CP'!$K:$P,3,FALSE)&gt;1,0),IFERROR(VLOOKUP('PR Grupo'!X$3&amp;'PR Grupo'!$G8,'Plan CP'!$K:$P,3,FALSE),0),0)))</f>
        <v>1</v>
      </c>
      <c r="Y8" s="58">
        <f>IF(X8&gt;1,X8-1,IF(COUNTIFS('Plan CP'!$O:$O,'PR Grupo'!$G8,'Plan CP'!$P:$P,'PR Grupo'!Y$3,'Plan CP'!$M:$M,1)=1,1,IF(IFERROR(VLOOKUP('PR Grupo'!Y$3&amp;'PR Grupo'!$G8,'Plan CP'!$K:$P,3,FALSE)&gt;1,0),IFERROR(VLOOKUP('PR Grupo'!Y$3&amp;'PR Grupo'!$G8,'Plan CP'!$K:$P,3,FALSE),0),0)))</f>
        <v>1</v>
      </c>
      <c r="Z8" s="58">
        <f>IF(Y8&gt;1,Y8-1,IF(COUNTIFS('Plan CP'!$O:$O,'PR Grupo'!$G8,'Plan CP'!$P:$P,'PR Grupo'!Z$3,'Plan CP'!$M:$M,1)=1,1,IF(IFERROR(VLOOKUP('PR Grupo'!Z$3&amp;'PR Grupo'!$G8,'Plan CP'!$K:$P,3,FALSE)&gt;1,0),IFERROR(VLOOKUP('PR Grupo'!Z$3&amp;'PR Grupo'!$G8,'Plan CP'!$K:$P,3,FALSE),0),0)))</f>
        <v>1</v>
      </c>
      <c r="AA8" s="58">
        <f>IF(Z8&gt;1,Z8-1,IF(COUNTIFS('Plan CP'!$O:$O,'PR Grupo'!$G8,'Plan CP'!$P:$P,'PR Grupo'!AA$3,'Plan CP'!$M:$M,1)=1,1,IF(IFERROR(VLOOKUP('PR Grupo'!AA$3&amp;'PR Grupo'!$G8,'Plan CP'!$K:$P,3,FALSE)&gt;1,0),IFERROR(VLOOKUP('PR Grupo'!AA$3&amp;'PR Grupo'!$G8,'Plan CP'!$K:$P,3,FALSE),0),0)))</f>
        <v>1</v>
      </c>
      <c r="AB8" s="58">
        <f>IF(AA8&gt;1,AA8-1,IF(COUNTIFS('Plan CP'!$O:$O,'PR Grupo'!$G8,'Plan CP'!$P:$P,'PR Grupo'!AB$3,'Plan CP'!$M:$M,1)=1,1,IF(IFERROR(VLOOKUP('PR Grupo'!AB$3&amp;'PR Grupo'!$G8,'Plan CP'!$K:$P,3,FALSE)&gt;1,0),IFERROR(VLOOKUP('PR Grupo'!AB$3&amp;'PR Grupo'!$G8,'Plan CP'!$K:$P,3,FALSE),0),0)))</f>
        <v>1</v>
      </c>
      <c r="AC8" s="58">
        <f>IF(AB8&gt;1,AB8-1,IF(COUNTIFS('Plan CP'!$O:$O,'PR Grupo'!$G8,'Plan CP'!$P:$P,'PR Grupo'!AC$3,'Plan CP'!$M:$M,1)=1,1,IF(IFERROR(VLOOKUP('PR Grupo'!AC$3&amp;'PR Grupo'!$G8,'Plan CP'!$K:$P,3,FALSE)&gt;1,0),IFERROR(VLOOKUP('PR Grupo'!AC$3&amp;'PR Grupo'!$G8,'Plan CP'!$K:$P,3,FALSE),0),0)))</f>
        <v>1</v>
      </c>
      <c r="AD8" s="58">
        <f>IF(AC8&gt;1,AC8-1,IF(COUNTIFS('Plan CP'!$O:$O,'PR Grupo'!$G8,'Plan CP'!$P:$P,'PR Grupo'!AD$3,'Plan CP'!$M:$M,1)=1,1,IF(IFERROR(VLOOKUP('PR Grupo'!AD$3&amp;'PR Grupo'!$G8,'Plan CP'!$K:$P,3,FALSE)&gt;1,0),IFERROR(VLOOKUP('PR Grupo'!AD$3&amp;'PR Grupo'!$G8,'Plan CP'!$K:$P,3,FALSE),0),0)))</f>
        <v>0</v>
      </c>
      <c r="AE8" s="58">
        <f>IF(AD8&gt;1,AD8-1,IF(COUNTIFS('Plan CP'!$O:$O,'PR Grupo'!$G8,'Plan CP'!$P:$P,'PR Grupo'!AE$3,'Plan CP'!$M:$M,1)=1,1,IF(IFERROR(VLOOKUP('PR Grupo'!AE$3&amp;'PR Grupo'!$G8,'Plan CP'!$K:$P,3,FALSE)&gt;1,0),IFERROR(VLOOKUP('PR Grupo'!AE$3&amp;'PR Grupo'!$G8,'Plan CP'!$K:$P,3,FALSE),0),0)))</f>
        <v>0</v>
      </c>
      <c r="AF8" s="58">
        <f>IF(AE8&gt;1,AE8-1,IF(COUNTIFS('Plan CP'!$O:$O,'PR Grupo'!$G8,'Plan CP'!$P:$P,'PR Grupo'!AF$3,'Plan CP'!$M:$M,1)=1,1,IF(IFERROR(VLOOKUP('PR Grupo'!AF$3&amp;'PR Grupo'!$G8,'Plan CP'!$K:$P,3,FALSE)&gt;1,0),IFERROR(VLOOKUP('PR Grupo'!AF$3&amp;'PR Grupo'!$G8,'Plan CP'!$K:$P,3,FALSE),0),0)))</f>
        <v>0</v>
      </c>
      <c r="AG8" s="58">
        <f>IF(AF8&gt;1,AF8-1,IF(COUNTIFS('Plan CP'!$O:$O,'PR Grupo'!$G8,'Plan CP'!$P:$P,'PR Grupo'!AG$3,'Plan CP'!$M:$M,1)=1,1,IF(IFERROR(VLOOKUP('PR Grupo'!AG$3&amp;'PR Grupo'!$G8,'Plan CP'!$K:$P,3,FALSE)&gt;1,0),IFERROR(VLOOKUP('PR Grupo'!AG$3&amp;'PR Grupo'!$G8,'Plan CP'!$K:$P,3,FALSE),0),0)))</f>
        <v>0</v>
      </c>
      <c r="AH8" s="58">
        <f>IF(AG8&gt;1,AG8-1,IF(COUNTIFS('Plan CP'!$O:$O,'PR Grupo'!$G8,'Plan CP'!$P:$P,'PR Grupo'!AH$3,'Plan CP'!$M:$M,1)=1,1,IF(IFERROR(VLOOKUP('PR Grupo'!AH$3&amp;'PR Grupo'!$G8,'Plan CP'!$K:$P,3,FALSE)&gt;1,0),IFERROR(VLOOKUP('PR Grupo'!AH$3&amp;'PR Grupo'!$G8,'Plan CP'!$K:$P,3,FALSE),0),0)))</f>
        <v>0</v>
      </c>
      <c r="AI8" s="58">
        <f>IF(AH8&gt;1,AH8-1,IF(COUNTIFS('Plan CP'!$O:$O,'PR Grupo'!$G8,'Plan CP'!$P:$P,'PR Grupo'!AI$3,'Plan CP'!$M:$M,1)=1,1,IF(IFERROR(VLOOKUP('PR Grupo'!AI$3&amp;'PR Grupo'!$G8,'Plan CP'!$K:$P,3,FALSE)&gt;1,0),IFERROR(VLOOKUP('PR Grupo'!AI$3&amp;'PR Grupo'!$G8,'Plan CP'!$K:$P,3,FALSE),0),0)))</f>
        <v>0</v>
      </c>
      <c r="AJ8" s="58">
        <f>IF(AI8&gt;1,AI8-1,IF(COUNTIFS('Plan CP'!$O:$O,'PR Grupo'!$G8,'Plan CP'!$P:$P,'PR Grupo'!AJ$3,'Plan CP'!$M:$M,1)=1,1,IF(IFERROR(VLOOKUP('PR Grupo'!AJ$3&amp;'PR Grupo'!$G8,'Plan CP'!$K:$P,3,FALSE)&gt;1,0),IFERROR(VLOOKUP('PR Grupo'!AJ$3&amp;'PR Grupo'!$G8,'Plan CP'!$K:$P,3,FALSE),0),0)))</f>
        <v>0</v>
      </c>
      <c r="AK8" s="58">
        <f>IF(AJ8&gt;1,AJ8-1,IF(COUNTIFS('Plan CP'!$O:$O,'PR Grupo'!$G8,'Plan CP'!$P:$P,'PR Grupo'!AK$3,'Plan CP'!$M:$M,1)=1,1,IF(IFERROR(VLOOKUP('PR Grupo'!AK$3&amp;'PR Grupo'!$G8,'Plan CP'!$K:$P,3,FALSE)&gt;1,0),IFERROR(VLOOKUP('PR Grupo'!AK$3&amp;'PR Grupo'!$G8,'Plan CP'!$K:$P,3,FALSE),0),0)))</f>
        <v>0</v>
      </c>
      <c r="AL8" s="58">
        <f>IF(AK8&gt;1,AK8-1,IF(COUNTIFS('Plan CP'!$O:$O,'PR Grupo'!$G8,'Plan CP'!$P:$P,'PR Grupo'!AL$3,'Plan CP'!$M:$M,1)=1,1,IF(IFERROR(VLOOKUP('PR Grupo'!AL$3&amp;'PR Grupo'!$G8,'Plan CP'!$K:$P,3,FALSE)&gt;1,0),IFERROR(VLOOKUP('PR Grupo'!AL$3&amp;'PR Grupo'!$G8,'Plan CP'!$K:$P,3,FALSE),0),0)))</f>
        <v>0</v>
      </c>
      <c r="AM8" s="58">
        <f>IF(AL8&gt;1,AL8-1,IF(COUNTIFS('Plan CP'!$O:$O,'PR Grupo'!$G8,'Plan CP'!$P:$P,'PR Grupo'!AM$3,'Plan CP'!$M:$M,1)=1,1,IF(IFERROR(VLOOKUP('PR Grupo'!AM$3&amp;'PR Grupo'!$G8,'Plan CP'!$K:$P,3,FALSE)&gt;1,0),IFERROR(VLOOKUP('PR Grupo'!AM$3&amp;'PR Grupo'!$G8,'Plan CP'!$K:$P,3,FALSE),0),0)))</f>
        <v>0</v>
      </c>
      <c r="AN8" s="58">
        <f>IF(AM8&gt;1,AM8-1,IF(COUNTIFS('Plan CP'!$O:$O,'PR Grupo'!$G8,'Plan CP'!$P:$P,'PR Grupo'!AN$3,'Plan CP'!$M:$M,1)=1,1,IF(IFERROR(VLOOKUP('PR Grupo'!AN$3&amp;'PR Grupo'!$G8,'Plan CP'!$K:$P,3,FALSE)&gt;1,0),IFERROR(VLOOKUP('PR Grupo'!AN$3&amp;'PR Grupo'!$G8,'Plan CP'!$K:$P,3,FALSE),0),0)))</f>
        <v>0</v>
      </c>
      <c r="AO8" s="58">
        <f>IF(AN8&gt;1,AN8-1,IF(COUNTIFS('Plan CP'!$O:$O,'PR Grupo'!$G8,'Plan CP'!$P:$P,'PR Grupo'!AO$3,'Plan CP'!$M:$M,1)=1,1,IF(IFERROR(VLOOKUP('PR Grupo'!AO$3&amp;'PR Grupo'!$G8,'Plan CP'!$K:$P,3,FALSE)&gt;1,0),IFERROR(VLOOKUP('PR Grupo'!AO$3&amp;'PR Grupo'!$G8,'Plan CP'!$K:$P,3,FALSE),0),0)))</f>
        <v>0</v>
      </c>
    </row>
    <row r="9" spans="1:41">
      <c r="A9" s="21" t="s">
        <v>33</v>
      </c>
      <c r="B9" s="21" t="s">
        <v>37</v>
      </c>
      <c r="C9" s="21" t="s">
        <v>201</v>
      </c>
      <c r="D9" s="21" t="s">
        <v>269</v>
      </c>
      <c r="E9" s="24" t="s">
        <v>174</v>
      </c>
      <c r="F9" s="21" t="s">
        <v>269</v>
      </c>
      <c r="G9" s="33" t="s">
        <v>171</v>
      </c>
      <c r="H9" s="24">
        <v>25</v>
      </c>
      <c r="I9" s="33">
        <f t="shared" si="2"/>
        <v>18</v>
      </c>
      <c r="J9" s="33" t="str">
        <f t="shared" si="3"/>
        <v>NO OK</v>
      </c>
      <c r="K9" s="58">
        <f>IF(COUNTIFS('Plan CP'!$O:$O,'PR Grupo'!$G9,'Plan CP'!$P:$P,'PR Grupo'!K$3,'Plan CP'!$M:$M,1)=1,1,IF(IFERROR(VLOOKUP('PR Grupo'!K$3&amp;'PR Grupo'!$G9,'Plan CP'!$K:$P,3,FALSE)&gt;1,0),IFERROR(VLOOKUP('PR Grupo'!K$3&amp;'PR Grupo'!$G9,'Plan CP'!$K:$P,3,FALSE),0),0))</f>
        <v>2</v>
      </c>
      <c r="L9" s="58">
        <f>IF(K9&gt;1,K9-1,IF(COUNTIFS('Plan CP'!$O:$O,'PR Grupo'!$G9,'Plan CP'!$P:$P,'PR Grupo'!L$3,'Plan CP'!$M:$M,1)=1,1,IF(IFERROR(VLOOKUP('PR Grupo'!L$3&amp;'PR Grupo'!$G9,'Plan CP'!$K:$P,3,FALSE)&gt;1,0),IFERROR(VLOOKUP('PR Grupo'!L$3&amp;'PR Grupo'!$G9,'Plan CP'!$K:$P,3,FALSE),0),0)))</f>
        <v>1</v>
      </c>
      <c r="M9" s="58">
        <f>IF(L9&gt;1,L9-1,IF(COUNTIFS('Plan CP'!$O:$O,'PR Grupo'!$G9,'Plan CP'!$P:$P,'PR Grupo'!M$3,'Plan CP'!$M:$M,1)=1,1,IF(IFERROR(VLOOKUP('PR Grupo'!M$3&amp;'PR Grupo'!$G9,'Plan CP'!$K:$P,3,FALSE)&gt;1,0),IFERROR(VLOOKUP('PR Grupo'!M$3&amp;'PR Grupo'!$G9,'Plan CP'!$K:$P,3,FALSE),0),0)))</f>
        <v>0</v>
      </c>
      <c r="N9" s="58">
        <f>IF(M9&gt;1,M9-1,IF(COUNTIFS('Plan CP'!$O:$O,'PR Grupo'!$G9,'Plan CP'!$P:$P,'PR Grupo'!N$3,'Plan CP'!$M:$M,1)=1,1,IF(IFERROR(VLOOKUP('PR Grupo'!N$3&amp;'PR Grupo'!$G9,'Plan CP'!$K:$P,3,FALSE)&gt;1,0),IFERROR(VLOOKUP('PR Grupo'!N$3&amp;'PR Grupo'!$G9,'Plan CP'!$K:$P,3,FALSE),0),0)))</f>
        <v>1</v>
      </c>
      <c r="O9" s="58">
        <f>IF(N9&gt;1,N9-1,IF(COUNTIFS('Plan CP'!$O:$O,'PR Grupo'!$G9,'Plan CP'!$P:$P,'PR Grupo'!O$3,'Plan CP'!$M:$M,1)=1,1,IF(IFERROR(VLOOKUP('PR Grupo'!O$3&amp;'PR Grupo'!$G9,'Plan CP'!$K:$P,3,FALSE)&gt;1,0),IFERROR(VLOOKUP('PR Grupo'!O$3&amp;'PR Grupo'!$G9,'Plan CP'!$K:$P,3,FALSE),0),0)))</f>
        <v>1</v>
      </c>
      <c r="P9" s="58">
        <f>IF(O9&gt;1,O9-1,IF(COUNTIFS('Plan CP'!$O:$O,'PR Grupo'!$G9,'Plan CP'!$P:$P,'PR Grupo'!P$3,'Plan CP'!$M:$M,1)=1,1,IF(IFERROR(VLOOKUP('PR Grupo'!P$3&amp;'PR Grupo'!$G9,'Plan CP'!$K:$P,3,FALSE)&gt;1,0),IFERROR(VLOOKUP('PR Grupo'!P$3&amp;'PR Grupo'!$G9,'Plan CP'!$K:$P,3,FALSE),0),0)))</f>
        <v>1</v>
      </c>
      <c r="Q9" s="58">
        <f>IF(P9&gt;1,P9-1,IF(COUNTIFS('Plan CP'!$O:$O,'PR Grupo'!$G9,'Plan CP'!$P:$P,'PR Grupo'!Q$3,'Plan CP'!$M:$M,1)=1,1,IF(IFERROR(VLOOKUP('PR Grupo'!Q$3&amp;'PR Grupo'!$G9,'Plan CP'!$K:$P,3,FALSE)&gt;1,0),IFERROR(VLOOKUP('PR Grupo'!Q$3&amp;'PR Grupo'!$G9,'Plan CP'!$K:$P,3,FALSE),0),0)))</f>
        <v>1</v>
      </c>
      <c r="R9" s="58">
        <f>IF(Q9&gt;1,Q9-1,IF(COUNTIFS('Plan CP'!$O:$O,'PR Grupo'!$G9,'Plan CP'!$P:$P,'PR Grupo'!R$3,'Plan CP'!$M:$M,1)=1,1,IF(IFERROR(VLOOKUP('PR Grupo'!R$3&amp;'PR Grupo'!$G9,'Plan CP'!$K:$P,3,FALSE)&gt;1,0),IFERROR(VLOOKUP('PR Grupo'!R$3&amp;'PR Grupo'!$G9,'Plan CP'!$K:$P,3,FALSE),0),0)))</f>
        <v>1</v>
      </c>
      <c r="S9" s="58">
        <f>IF(R9&gt;1,R9-1,IF(COUNTIFS('Plan CP'!$O:$O,'PR Grupo'!$G9,'Plan CP'!$P:$P,'PR Grupo'!S$3,'Plan CP'!$M:$M,1)=1,1,IF(IFERROR(VLOOKUP('PR Grupo'!S$3&amp;'PR Grupo'!$G9,'Plan CP'!$K:$P,3,FALSE)&gt;1,0),IFERROR(VLOOKUP('PR Grupo'!S$3&amp;'PR Grupo'!$G9,'Plan CP'!$K:$P,3,FALSE),0),0)))</f>
        <v>1</v>
      </c>
      <c r="T9" s="58">
        <f>IF(S9&gt;1,S9-1,IF(COUNTIFS('Plan CP'!$O:$O,'PR Grupo'!$G9,'Plan CP'!$P:$P,'PR Grupo'!T$3,'Plan CP'!$M:$M,1)=1,1,IF(IFERROR(VLOOKUP('PR Grupo'!T$3&amp;'PR Grupo'!$G9,'Plan CP'!$K:$P,3,FALSE)&gt;1,0),IFERROR(VLOOKUP('PR Grupo'!T$3&amp;'PR Grupo'!$G9,'Plan CP'!$K:$P,3,FALSE),0),0)))</f>
        <v>1</v>
      </c>
      <c r="U9" s="58">
        <f>IF(T9&gt;1,T9-1,IF(COUNTIFS('Plan CP'!$O:$O,'PR Grupo'!$G9,'Plan CP'!$P:$P,'PR Grupo'!U$3,'Plan CP'!$M:$M,1)=1,1,IF(IFERROR(VLOOKUP('PR Grupo'!U$3&amp;'PR Grupo'!$G9,'Plan CP'!$K:$P,3,FALSE)&gt;1,0),IFERROR(VLOOKUP('PR Grupo'!U$3&amp;'PR Grupo'!$G9,'Plan CP'!$K:$P,3,FALSE),0),0)))</f>
        <v>1</v>
      </c>
      <c r="V9" s="58">
        <f>IF(U9&gt;1,U9-1,IF(COUNTIFS('Plan CP'!$O:$O,'PR Grupo'!$G9,'Plan CP'!$P:$P,'PR Grupo'!V$3,'Plan CP'!$M:$M,1)=1,1,IF(IFERROR(VLOOKUP('PR Grupo'!V$3&amp;'PR Grupo'!$G9,'Plan CP'!$K:$P,3,FALSE)&gt;1,0),IFERROR(VLOOKUP('PR Grupo'!V$3&amp;'PR Grupo'!$G9,'Plan CP'!$K:$P,3,FALSE),0),0)))</f>
        <v>1</v>
      </c>
      <c r="W9" s="58">
        <f>IF(V9&gt;1,V9-1,IF(COUNTIFS('Plan CP'!$O:$O,'PR Grupo'!$G9,'Plan CP'!$P:$P,'PR Grupo'!W$3,'Plan CP'!$M:$M,1)=1,1,IF(IFERROR(VLOOKUP('PR Grupo'!W$3&amp;'PR Grupo'!$G9,'Plan CP'!$K:$P,3,FALSE)&gt;1,0),IFERROR(VLOOKUP('PR Grupo'!W$3&amp;'PR Grupo'!$G9,'Plan CP'!$K:$P,3,FALSE),0),0)))</f>
        <v>1</v>
      </c>
      <c r="X9" s="58">
        <f>IF(W9&gt;1,W9-1,IF(COUNTIFS('Plan CP'!$O:$O,'PR Grupo'!$G9,'Plan CP'!$P:$P,'PR Grupo'!X$3,'Plan CP'!$M:$M,1)=1,1,IF(IFERROR(VLOOKUP('PR Grupo'!X$3&amp;'PR Grupo'!$G9,'Plan CP'!$K:$P,3,FALSE)&gt;1,0),IFERROR(VLOOKUP('PR Grupo'!X$3&amp;'PR Grupo'!$G9,'Plan CP'!$K:$P,3,FALSE),0),0)))</f>
        <v>1</v>
      </c>
      <c r="Y9" s="58">
        <f>IF(X9&gt;1,X9-1,IF(COUNTIFS('Plan CP'!$O:$O,'PR Grupo'!$G9,'Plan CP'!$P:$P,'PR Grupo'!Y$3,'Plan CP'!$M:$M,1)=1,1,IF(IFERROR(VLOOKUP('PR Grupo'!Y$3&amp;'PR Grupo'!$G9,'Plan CP'!$K:$P,3,FALSE)&gt;1,0),IFERROR(VLOOKUP('PR Grupo'!Y$3&amp;'PR Grupo'!$G9,'Plan CP'!$K:$P,3,FALSE),0),0)))</f>
        <v>1</v>
      </c>
      <c r="Z9" s="58">
        <f>IF(Y9&gt;1,Y9-1,IF(COUNTIFS('Plan CP'!$O:$O,'PR Grupo'!$G9,'Plan CP'!$P:$P,'PR Grupo'!Z$3,'Plan CP'!$M:$M,1)=1,1,IF(IFERROR(VLOOKUP('PR Grupo'!Z$3&amp;'PR Grupo'!$G9,'Plan CP'!$K:$P,3,FALSE)&gt;1,0),IFERROR(VLOOKUP('PR Grupo'!Z$3&amp;'PR Grupo'!$G9,'Plan CP'!$K:$P,3,FALSE),0),0)))</f>
        <v>1</v>
      </c>
      <c r="AA9" s="58">
        <f>IF(Z9&gt;1,Z9-1,IF(COUNTIFS('Plan CP'!$O:$O,'PR Grupo'!$G9,'Plan CP'!$P:$P,'PR Grupo'!AA$3,'Plan CP'!$M:$M,1)=1,1,IF(IFERROR(VLOOKUP('PR Grupo'!AA$3&amp;'PR Grupo'!$G9,'Plan CP'!$K:$P,3,FALSE)&gt;1,0),IFERROR(VLOOKUP('PR Grupo'!AA$3&amp;'PR Grupo'!$G9,'Plan CP'!$K:$P,3,FALSE),0),0)))</f>
        <v>1</v>
      </c>
      <c r="AB9" s="58">
        <f>IF(AA9&gt;1,AA9-1,IF(COUNTIFS('Plan CP'!$O:$O,'PR Grupo'!$G9,'Plan CP'!$P:$P,'PR Grupo'!AB$3,'Plan CP'!$M:$M,1)=1,1,IF(IFERROR(VLOOKUP('PR Grupo'!AB$3&amp;'PR Grupo'!$G9,'Plan CP'!$K:$P,3,FALSE)&gt;1,0),IFERROR(VLOOKUP('PR Grupo'!AB$3&amp;'PR Grupo'!$G9,'Plan CP'!$K:$P,3,FALSE),0),0)))</f>
        <v>1</v>
      </c>
      <c r="AC9" s="58">
        <f>IF(AB9&gt;1,AB9-1,IF(COUNTIFS('Plan CP'!$O:$O,'PR Grupo'!$G9,'Plan CP'!$P:$P,'PR Grupo'!AC$3,'Plan CP'!$M:$M,1)=1,1,IF(IFERROR(VLOOKUP('PR Grupo'!AC$3&amp;'PR Grupo'!$G9,'Plan CP'!$K:$P,3,FALSE)&gt;1,0),IFERROR(VLOOKUP('PR Grupo'!AC$3&amp;'PR Grupo'!$G9,'Plan CP'!$K:$P,3,FALSE),0),0)))</f>
        <v>1</v>
      </c>
      <c r="AD9" s="58">
        <f>IF(AC9&gt;1,AC9-1,IF(COUNTIFS('Plan CP'!$O:$O,'PR Grupo'!$G9,'Plan CP'!$P:$P,'PR Grupo'!AD$3,'Plan CP'!$M:$M,1)=1,1,IF(IFERROR(VLOOKUP('PR Grupo'!AD$3&amp;'PR Grupo'!$G9,'Plan CP'!$K:$P,3,FALSE)&gt;1,0),IFERROR(VLOOKUP('PR Grupo'!AD$3&amp;'PR Grupo'!$G9,'Plan CP'!$K:$P,3,FALSE),0),0)))</f>
        <v>0</v>
      </c>
      <c r="AE9" s="58">
        <f>IF(AD9&gt;1,AD9-1,IF(COUNTIFS('Plan CP'!$O:$O,'PR Grupo'!$G9,'Plan CP'!$P:$P,'PR Grupo'!AE$3,'Plan CP'!$M:$M,1)=1,1,IF(IFERROR(VLOOKUP('PR Grupo'!AE$3&amp;'PR Grupo'!$G9,'Plan CP'!$K:$P,3,FALSE)&gt;1,0),IFERROR(VLOOKUP('PR Grupo'!AE$3&amp;'PR Grupo'!$G9,'Plan CP'!$K:$P,3,FALSE),0),0)))</f>
        <v>0</v>
      </c>
      <c r="AF9" s="58">
        <f>IF(AE9&gt;1,AE9-1,IF(COUNTIFS('Plan CP'!$O:$O,'PR Grupo'!$G9,'Plan CP'!$P:$P,'PR Grupo'!AF$3,'Plan CP'!$M:$M,1)=1,1,IF(IFERROR(VLOOKUP('PR Grupo'!AF$3&amp;'PR Grupo'!$G9,'Plan CP'!$K:$P,3,FALSE)&gt;1,0),IFERROR(VLOOKUP('PR Grupo'!AF$3&amp;'PR Grupo'!$G9,'Plan CP'!$K:$P,3,FALSE),0),0)))</f>
        <v>0</v>
      </c>
      <c r="AG9" s="58">
        <f>IF(AF9&gt;1,AF9-1,IF(COUNTIFS('Plan CP'!$O:$O,'PR Grupo'!$G9,'Plan CP'!$P:$P,'PR Grupo'!AG$3,'Plan CP'!$M:$M,1)=1,1,IF(IFERROR(VLOOKUP('PR Grupo'!AG$3&amp;'PR Grupo'!$G9,'Plan CP'!$K:$P,3,FALSE)&gt;1,0),IFERROR(VLOOKUP('PR Grupo'!AG$3&amp;'PR Grupo'!$G9,'Plan CP'!$K:$P,3,FALSE),0),0)))</f>
        <v>0</v>
      </c>
      <c r="AH9" s="58">
        <f>IF(AG9&gt;1,AG9-1,IF(COUNTIFS('Plan CP'!$O:$O,'PR Grupo'!$G9,'Plan CP'!$P:$P,'PR Grupo'!AH$3,'Plan CP'!$M:$M,1)=1,1,IF(IFERROR(VLOOKUP('PR Grupo'!AH$3&amp;'PR Grupo'!$G9,'Plan CP'!$K:$P,3,FALSE)&gt;1,0),IFERROR(VLOOKUP('PR Grupo'!AH$3&amp;'PR Grupo'!$G9,'Plan CP'!$K:$P,3,FALSE),0),0)))</f>
        <v>0</v>
      </c>
      <c r="AI9" s="58">
        <f>IF(AH9&gt;1,AH9-1,IF(COUNTIFS('Plan CP'!$O:$O,'PR Grupo'!$G9,'Plan CP'!$P:$P,'PR Grupo'!AI$3,'Plan CP'!$M:$M,1)=1,1,IF(IFERROR(VLOOKUP('PR Grupo'!AI$3&amp;'PR Grupo'!$G9,'Plan CP'!$K:$P,3,FALSE)&gt;1,0),IFERROR(VLOOKUP('PR Grupo'!AI$3&amp;'PR Grupo'!$G9,'Plan CP'!$K:$P,3,FALSE),0),0)))</f>
        <v>0</v>
      </c>
      <c r="AJ9" s="58">
        <f>IF(AI9&gt;1,AI9-1,IF(COUNTIFS('Plan CP'!$O:$O,'PR Grupo'!$G9,'Plan CP'!$P:$P,'PR Grupo'!AJ$3,'Plan CP'!$M:$M,1)=1,1,IF(IFERROR(VLOOKUP('PR Grupo'!AJ$3&amp;'PR Grupo'!$G9,'Plan CP'!$K:$P,3,FALSE)&gt;1,0),IFERROR(VLOOKUP('PR Grupo'!AJ$3&amp;'PR Grupo'!$G9,'Plan CP'!$K:$P,3,FALSE),0),0)))</f>
        <v>0</v>
      </c>
      <c r="AK9" s="58">
        <f>IF(AJ9&gt;1,AJ9-1,IF(COUNTIFS('Plan CP'!$O:$O,'PR Grupo'!$G9,'Plan CP'!$P:$P,'PR Grupo'!AK$3,'Plan CP'!$M:$M,1)=1,1,IF(IFERROR(VLOOKUP('PR Grupo'!AK$3&amp;'PR Grupo'!$G9,'Plan CP'!$K:$P,3,FALSE)&gt;1,0),IFERROR(VLOOKUP('PR Grupo'!AK$3&amp;'PR Grupo'!$G9,'Plan CP'!$K:$P,3,FALSE),0),0)))</f>
        <v>0</v>
      </c>
      <c r="AL9" s="58">
        <f>IF(AK9&gt;1,AK9-1,IF(COUNTIFS('Plan CP'!$O:$O,'PR Grupo'!$G9,'Plan CP'!$P:$P,'PR Grupo'!AL$3,'Plan CP'!$M:$M,1)=1,1,IF(IFERROR(VLOOKUP('PR Grupo'!AL$3&amp;'PR Grupo'!$G9,'Plan CP'!$K:$P,3,FALSE)&gt;1,0),IFERROR(VLOOKUP('PR Grupo'!AL$3&amp;'PR Grupo'!$G9,'Plan CP'!$K:$P,3,FALSE),0),0)))</f>
        <v>0</v>
      </c>
      <c r="AM9" s="58">
        <f>IF(AL9&gt;1,AL9-1,IF(COUNTIFS('Plan CP'!$O:$O,'PR Grupo'!$G9,'Plan CP'!$P:$P,'PR Grupo'!AM$3,'Plan CP'!$M:$M,1)=1,1,IF(IFERROR(VLOOKUP('PR Grupo'!AM$3&amp;'PR Grupo'!$G9,'Plan CP'!$K:$P,3,FALSE)&gt;1,0),IFERROR(VLOOKUP('PR Grupo'!AM$3&amp;'PR Grupo'!$G9,'Plan CP'!$K:$P,3,FALSE),0),0)))</f>
        <v>0</v>
      </c>
      <c r="AN9" s="58">
        <f>IF(AM9&gt;1,AM9-1,IF(COUNTIFS('Plan CP'!$O:$O,'PR Grupo'!$G9,'Plan CP'!$P:$P,'PR Grupo'!AN$3,'Plan CP'!$M:$M,1)=1,1,IF(IFERROR(VLOOKUP('PR Grupo'!AN$3&amp;'PR Grupo'!$G9,'Plan CP'!$K:$P,3,FALSE)&gt;1,0),IFERROR(VLOOKUP('PR Grupo'!AN$3&amp;'PR Grupo'!$G9,'Plan CP'!$K:$P,3,FALSE),0),0)))</f>
        <v>0</v>
      </c>
      <c r="AO9" s="58">
        <f>IF(AN9&gt;1,AN9-1,IF(COUNTIFS('Plan CP'!$O:$O,'PR Grupo'!$G9,'Plan CP'!$P:$P,'PR Grupo'!AO$3,'Plan CP'!$M:$M,1)=1,1,IF(IFERROR(VLOOKUP('PR Grupo'!AO$3&amp;'PR Grupo'!$G9,'Plan CP'!$K:$P,3,FALSE)&gt;1,0),IFERROR(VLOOKUP('PR Grupo'!AO$3&amp;'PR Grupo'!$G9,'Plan CP'!$K:$P,3,FALSE),0),0)))</f>
        <v>0</v>
      </c>
    </row>
    <row r="10" spans="1:41">
      <c r="A10" s="21" t="s">
        <v>33</v>
      </c>
      <c r="B10" s="21" t="s">
        <v>37</v>
      </c>
      <c r="C10" s="21" t="s">
        <v>202</v>
      </c>
      <c r="D10" s="21" t="s">
        <v>270</v>
      </c>
      <c r="E10" s="24" t="s">
        <v>174</v>
      </c>
      <c r="F10" s="21" t="s">
        <v>270</v>
      </c>
      <c r="G10" s="33" t="s">
        <v>171</v>
      </c>
      <c r="H10" s="24">
        <v>25</v>
      </c>
      <c r="I10" s="33">
        <f t="shared" si="2"/>
        <v>18</v>
      </c>
      <c r="J10" s="33" t="str">
        <f t="shared" si="3"/>
        <v>NO OK</v>
      </c>
      <c r="K10" s="58">
        <f>IF(COUNTIFS('Plan CP'!$O:$O,'PR Grupo'!$G10,'Plan CP'!$P:$P,'PR Grupo'!K$3,'Plan CP'!$M:$M,1)=1,1,IF(IFERROR(VLOOKUP('PR Grupo'!K$3&amp;'PR Grupo'!$G10,'Plan CP'!$K:$P,3,FALSE)&gt;1,0),IFERROR(VLOOKUP('PR Grupo'!K$3&amp;'PR Grupo'!$G10,'Plan CP'!$K:$P,3,FALSE),0),0))</f>
        <v>2</v>
      </c>
      <c r="L10" s="58">
        <f>IF(K10&gt;1,K10-1,IF(COUNTIFS('Plan CP'!$O:$O,'PR Grupo'!$G10,'Plan CP'!$P:$P,'PR Grupo'!L$3,'Plan CP'!$M:$M,1)=1,1,IF(IFERROR(VLOOKUP('PR Grupo'!L$3&amp;'PR Grupo'!$G10,'Plan CP'!$K:$P,3,FALSE)&gt;1,0),IFERROR(VLOOKUP('PR Grupo'!L$3&amp;'PR Grupo'!$G10,'Plan CP'!$K:$P,3,FALSE),0),0)))</f>
        <v>1</v>
      </c>
      <c r="M10" s="58">
        <f>IF(L10&gt;1,L10-1,IF(COUNTIFS('Plan CP'!$O:$O,'PR Grupo'!$G10,'Plan CP'!$P:$P,'PR Grupo'!M$3,'Plan CP'!$M:$M,1)=1,1,IF(IFERROR(VLOOKUP('PR Grupo'!M$3&amp;'PR Grupo'!$G10,'Plan CP'!$K:$P,3,FALSE)&gt;1,0),IFERROR(VLOOKUP('PR Grupo'!M$3&amp;'PR Grupo'!$G10,'Plan CP'!$K:$P,3,FALSE),0),0)))</f>
        <v>0</v>
      </c>
      <c r="N10" s="58">
        <f>IF(M10&gt;1,M10-1,IF(COUNTIFS('Plan CP'!$O:$O,'PR Grupo'!$G10,'Plan CP'!$P:$P,'PR Grupo'!N$3,'Plan CP'!$M:$M,1)=1,1,IF(IFERROR(VLOOKUP('PR Grupo'!N$3&amp;'PR Grupo'!$G10,'Plan CP'!$K:$P,3,FALSE)&gt;1,0),IFERROR(VLOOKUP('PR Grupo'!N$3&amp;'PR Grupo'!$G10,'Plan CP'!$K:$P,3,FALSE),0),0)))</f>
        <v>1</v>
      </c>
      <c r="O10" s="58">
        <f>IF(N10&gt;1,N10-1,IF(COUNTIFS('Plan CP'!$O:$O,'PR Grupo'!$G10,'Plan CP'!$P:$P,'PR Grupo'!O$3,'Plan CP'!$M:$M,1)=1,1,IF(IFERROR(VLOOKUP('PR Grupo'!O$3&amp;'PR Grupo'!$G10,'Plan CP'!$K:$P,3,FALSE)&gt;1,0),IFERROR(VLOOKUP('PR Grupo'!O$3&amp;'PR Grupo'!$G10,'Plan CP'!$K:$P,3,FALSE),0),0)))</f>
        <v>1</v>
      </c>
      <c r="P10" s="58">
        <f>IF(O10&gt;1,O10-1,IF(COUNTIFS('Plan CP'!$O:$O,'PR Grupo'!$G10,'Plan CP'!$P:$P,'PR Grupo'!P$3,'Plan CP'!$M:$M,1)=1,1,IF(IFERROR(VLOOKUP('PR Grupo'!P$3&amp;'PR Grupo'!$G10,'Plan CP'!$K:$P,3,FALSE)&gt;1,0),IFERROR(VLOOKUP('PR Grupo'!P$3&amp;'PR Grupo'!$G10,'Plan CP'!$K:$P,3,FALSE),0),0)))</f>
        <v>1</v>
      </c>
      <c r="Q10" s="58">
        <f>IF(P10&gt;1,P10-1,IF(COUNTIFS('Plan CP'!$O:$O,'PR Grupo'!$G10,'Plan CP'!$P:$P,'PR Grupo'!Q$3,'Plan CP'!$M:$M,1)=1,1,IF(IFERROR(VLOOKUP('PR Grupo'!Q$3&amp;'PR Grupo'!$G10,'Plan CP'!$K:$P,3,FALSE)&gt;1,0),IFERROR(VLOOKUP('PR Grupo'!Q$3&amp;'PR Grupo'!$G10,'Plan CP'!$K:$P,3,FALSE),0),0)))</f>
        <v>1</v>
      </c>
      <c r="R10" s="58">
        <f>IF(Q10&gt;1,Q10-1,IF(COUNTIFS('Plan CP'!$O:$O,'PR Grupo'!$G10,'Plan CP'!$P:$P,'PR Grupo'!R$3,'Plan CP'!$M:$M,1)=1,1,IF(IFERROR(VLOOKUP('PR Grupo'!R$3&amp;'PR Grupo'!$G10,'Plan CP'!$K:$P,3,FALSE)&gt;1,0),IFERROR(VLOOKUP('PR Grupo'!R$3&amp;'PR Grupo'!$G10,'Plan CP'!$K:$P,3,FALSE),0),0)))</f>
        <v>1</v>
      </c>
      <c r="S10" s="58">
        <f>IF(R10&gt;1,R10-1,IF(COUNTIFS('Plan CP'!$O:$O,'PR Grupo'!$G10,'Plan CP'!$P:$P,'PR Grupo'!S$3,'Plan CP'!$M:$M,1)=1,1,IF(IFERROR(VLOOKUP('PR Grupo'!S$3&amp;'PR Grupo'!$G10,'Plan CP'!$K:$P,3,FALSE)&gt;1,0),IFERROR(VLOOKUP('PR Grupo'!S$3&amp;'PR Grupo'!$G10,'Plan CP'!$K:$P,3,FALSE),0),0)))</f>
        <v>1</v>
      </c>
      <c r="T10" s="58">
        <f>IF(S10&gt;1,S10-1,IF(COUNTIFS('Plan CP'!$O:$O,'PR Grupo'!$G10,'Plan CP'!$P:$P,'PR Grupo'!T$3,'Plan CP'!$M:$M,1)=1,1,IF(IFERROR(VLOOKUP('PR Grupo'!T$3&amp;'PR Grupo'!$G10,'Plan CP'!$K:$P,3,FALSE)&gt;1,0),IFERROR(VLOOKUP('PR Grupo'!T$3&amp;'PR Grupo'!$G10,'Plan CP'!$K:$P,3,FALSE),0),0)))</f>
        <v>1</v>
      </c>
      <c r="U10" s="58">
        <f>IF(T10&gt;1,T10-1,IF(COUNTIFS('Plan CP'!$O:$O,'PR Grupo'!$G10,'Plan CP'!$P:$P,'PR Grupo'!U$3,'Plan CP'!$M:$M,1)=1,1,IF(IFERROR(VLOOKUP('PR Grupo'!U$3&amp;'PR Grupo'!$G10,'Plan CP'!$K:$P,3,FALSE)&gt;1,0),IFERROR(VLOOKUP('PR Grupo'!U$3&amp;'PR Grupo'!$G10,'Plan CP'!$K:$P,3,FALSE),0),0)))</f>
        <v>1</v>
      </c>
      <c r="V10" s="58">
        <f>IF(U10&gt;1,U10-1,IF(COUNTIFS('Plan CP'!$O:$O,'PR Grupo'!$G10,'Plan CP'!$P:$P,'PR Grupo'!V$3,'Plan CP'!$M:$M,1)=1,1,IF(IFERROR(VLOOKUP('PR Grupo'!V$3&amp;'PR Grupo'!$G10,'Plan CP'!$K:$P,3,FALSE)&gt;1,0),IFERROR(VLOOKUP('PR Grupo'!V$3&amp;'PR Grupo'!$G10,'Plan CP'!$K:$P,3,FALSE),0),0)))</f>
        <v>1</v>
      </c>
      <c r="W10" s="58">
        <f>IF(V10&gt;1,V10-1,IF(COUNTIFS('Plan CP'!$O:$O,'PR Grupo'!$G10,'Plan CP'!$P:$P,'PR Grupo'!W$3,'Plan CP'!$M:$M,1)=1,1,IF(IFERROR(VLOOKUP('PR Grupo'!W$3&amp;'PR Grupo'!$G10,'Plan CP'!$K:$P,3,FALSE)&gt;1,0),IFERROR(VLOOKUP('PR Grupo'!W$3&amp;'PR Grupo'!$G10,'Plan CP'!$K:$P,3,FALSE),0),0)))</f>
        <v>1</v>
      </c>
      <c r="X10" s="58">
        <f>IF(W10&gt;1,W10-1,IF(COUNTIFS('Plan CP'!$O:$O,'PR Grupo'!$G10,'Plan CP'!$P:$P,'PR Grupo'!X$3,'Plan CP'!$M:$M,1)=1,1,IF(IFERROR(VLOOKUP('PR Grupo'!X$3&amp;'PR Grupo'!$G10,'Plan CP'!$K:$P,3,FALSE)&gt;1,0),IFERROR(VLOOKUP('PR Grupo'!X$3&amp;'PR Grupo'!$G10,'Plan CP'!$K:$P,3,FALSE),0),0)))</f>
        <v>1</v>
      </c>
      <c r="Y10" s="58">
        <f>IF(X10&gt;1,X10-1,IF(COUNTIFS('Plan CP'!$O:$O,'PR Grupo'!$G10,'Plan CP'!$P:$P,'PR Grupo'!Y$3,'Plan CP'!$M:$M,1)=1,1,IF(IFERROR(VLOOKUP('PR Grupo'!Y$3&amp;'PR Grupo'!$G10,'Plan CP'!$K:$P,3,FALSE)&gt;1,0),IFERROR(VLOOKUP('PR Grupo'!Y$3&amp;'PR Grupo'!$G10,'Plan CP'!$K:$P,3,FALSE),0),0)))</f>
        <v>1</v>
      </c>
      <c r="Z10" s="58">
        <f>IF(Y10&gt;1,Y10-1,IF(COUNTIFS('Plan CP'!$O:$O,'PR Grupo'!$G10,'Plan CP'!$P:$P,'PR Grupo'!Z$3,'Plan CP'!$M:$M,1)=1,1,IF(IFERROR(VLOOKUP('PR Grupo'!Z$3&amp;'PR Grupo'!$G10,'Plan CP'!$K:$P,3,FALSE)&gt;1,0),IFERROR(VLOOKUP('PR Grupo'!Z$3&amp;'PR Grupo'!$G10,'Plan CP'!$K:$P,3,FALSE),0),0)))</f>
        <v>1</v>
      </c>
      <c r="AA10" s="58">
        <f>IF(Z10&gt;1,Z10-1,IF(COUNTIFS('Plan CP'!$O:$O,'PR Grupo'!$G10,'Plan CP'!$P:$P,'PR Grupo'!AA$3,'Plan CP'!$M:$M,1)=1,1,IF(IFERROR(VLOOKUP('PR Grupo'!AA$3&amp;'PR Grupo'!$G10,'Plan CP'!$K:$P,3,FALSE)&gt;1,0),IFERROR(VLOOKUP('PR Grupo'!AA$3&amp;'PR Grupo'!$G10,'Plan CP'!$K:$P,3,FALSE),0),0)))</f>
        <v>1</v>
      </c>
      <c r="AB10" s="58">
        <f>IF(AA10&gt;1,AA10-1,IF(COUNTIFS('Plan CP'!$O:$O,'PR Grupo'!$G10,'Plan CP'!$P:$P,'PR Grupo'!AB$3,'Plan CP'!$M:$M,1)=1,1,IF(IFERROR(VLOOKUP('PR Grupo'!AB$3&amp;'PR Grupo'!$G10,'Plan CP'!$K:$P,3,FALSE)&gt;1,0),IFERROR(VLOOKUP('PR Grupo'!AB$3&amp;'PR Grupo'!$G10,'Plan CP'!$K:$P,3,FALSE),0),0)))</f>
        <v>1</v>
      </c>
      <c r="AC10" s="58">
        <f>IF(AB10&gt;1,AB10-1,IF(COUNTIFS('Plan CP'!$O:$O,'PR Grupo'!$G10,'Plan CP'!$P:$P,'PR Grupo'!AC$3,'Plan CP'!$M:$M,1)=1,1,IF(IFERROR(VLOOKUP('PR Grupo'!AC$3&amp;'PR Grupo'!$G10,'Plan CP'!$K:$P,3,FALSE)&gt;1,0),IFERROR(VLOOKUP('PR Grupo'!AC$3&amp;'PR Grupo'!$G10,'Plan CP'!$K:$P,3,FALSE),0),0)))</f>
        <v>1</v>
      </c>
      <c r="AD10" s="58">
        <f>IF(AC10&gt;1,AC10-1,IF(COUNTIFS('Plan CP'!$O:$O,'PR Grupo'!$G10,'Plan CP'!$P:$P,'PR Grupo'!AD$3,'Plan CP'!$M:$M,1)=1,1,IF(IFERROR(VLOOKUP('PR Grupo'!AD$3&amp;'PR Grupo'!$G10,'Plan CP'!$K:$P,3,FALSE)&gt;1,0),IFERROR(VLOOKUP('PR Grupo'!AD$3&amp;'PR Grupo'!$G10,'Plan CP'!$K:$P,3,FALSE),0),0)))</f>
        <v>0</v>
      </c>
      <c r="AE10" s="58">
        <f>IF(AD10&gt;1,AD10-1,IF(COUNTIFS('Plan CP'!$O:$O,'PR Grupo'!$G10,'Plan CP'!$P:$P,'PR Grupo'!AE$3,'Plan CP'!$M:$M,1)=1,1,IF(IFERROR(VLOOKUP('PR Grupo'!AE$3&amp;'PR Grupo'!$G10,'Plan CP'!$K:$P,3,FALSE)&gt;1,0),IFERROR(VLOOKUP('PR Grupo'!AE$3&amp;'PR Grupo'!$G10,'Plan CP'!$K:$P,3,FALSE),0),0)))</f>
        <v>0</v>
      </c>
      <c r="AF10" s="58">
        <f>IF(AE10&gt;1,AE10-1,IF(COUNTIFS('Plan CP'!$O:$O,'PR Grupo'!$G10,'Plan CP'!$P:$P,'PR Grupo'!AF$3,'Plan CP'!$M:$M,1)=1,1,IF(IFERROR(VLOOKUP('PR Grupo'!AF$3&amp;'PR Grupo'!$G10,'Plan CP'!$K:$P,3,FALSE)&gt;1,0),IFERROR(VLOOKUP('PR Grupo'!AF$3&amp;'PR Grupo'!$G10,'Plan CP'!$K:$P,3,FALSE),0),0)))</f>
        <v>0</v>
      </c>
      <c r="AG10" s="58">
        <f>IF(AF10&gt;1,AF10-1,IF(COUNTIFS('Plan CP'!$O:$O,'PR Grupo'!$G10,'Plan CP'!$P:$P,'PR Grupo'!AG$3,'Plan CP'!$M:$M,1)=1,1,IF(IFERROR(VLOOKUP('PR Grupo'!AG$3&amp;'PR Grupo'!$G10,'Plan CP'!$K:$P,3,FALSE)&gt;1,0),IFERROR(VLOOKUP('PR Grupo'!AG$3&amp;'PR Grupo'!$G10,'Plan CP'!$K:$P,3,FALSE),0),0)))</f>
        <v>0</v>
      </c>
      <c r="AH10" s="58">
        <f>IF(AG10&gt;1,AG10-1,IF(COUNTIFS('Plan CP'!$O:$O,'PR Grupo'!$G10,'Plan CP'!$P:$P,'PR Grupo'!AH$3,'Plan CP'!$M:$M,1)=1,1,IF(IFERROR(VLOOKUP('PR Grupo'!AH$3&amp;'PR Grupo'!$G10,'Plan CP'!$K:$P,3,FALSE)&gt;1,0),IFERROR(VLOOKUP('PR Grupo'!AH$3&amp;'PR Grupo'!$G10,'Plan CP'!$K:$P,3,FALSE),0),0)))</f>
        <v>0</v>
      </c>
      <c r="AI10" s="58">
        <f>IF(AH10&gt;1,AH10-1,IF(COUNTIFS('Plan CP'!$O:$O,'PR Grupo'!$G10,'Plan CP'!$P:$P,'PR Grupo'!AI$3,'Plan CP'!$M:$M,1)=1,1,IF(IFERROR(VLOOKUP('PR Grupo'!AI$3&amp;'PR Grupo'!$G10,'Plan CP'!$K:$P,3,FALSE)&gt;1,0),IFERROR(VLOOKUP('PR Grupo'!AI$3&amp;'PR Grupo'!$G10,'Plan CP'!$K:$P,3,FALSE),0),0)))</f>
        <v>0</v>
      </c>
      <c r="AJ10" s="58">
        <f>IF(AI10&gt;1,AI10-1,IF(COUNTIFS('Plan CP'!$O:$O,'PR Grupo'!$G10,'Plan CP'!$P:$P,'PR Grupo'!AJ$3,'Plan CP'!$M:$M,1)=1,1,IF(IFERROR(VLOOKUP('PR Grupo'!AJ$3&amp;'PR Grupo'!$G10,'Plan CP'!$K:$P,3,FALSE)&gt;1,0),IFERROR(VLOOKUP('PR Grupo'!AJ$3&amp;'PR Grupo'!$G10,'Plan CP'!$K:$P,3,FALSE),0),0)))</f>
        <v>0</v>
      </c>
      <c r="AK10" s="58">
        <f>IF(AJ10&gt;1,AJ10-1,IF(COUNTIFS('Plan CP'!$O:$O,'PR Grupo'!$G10,'Plan CP'!$P:$P,'PR Grupo'!AK$3,'Plan CP'!$M:$M,1)=1,1,IF(IFERROR(VLOOKUP('PR Grupo'!AK$3&amp;'PR Grupo'!$G10,'Plan CP'!$K:$P,3,FALSE)&gt;1,0),IFERROR(VLOOKUP('PR Grupo'!AK$3&amp;'PR Grupo'!$G10,'Plan CP'!$K:$P,3,FALSE),0),0)))</f>
        <v>0</v>
      </c>
      <c r="AL10" s="58">
        <f>IF(AK10&gt;1,AK10-1,IF(COUNTIFS('Plan CP'!$O:$O,'PR Grupo'!$G10,'Plan CP'!$P:$P,'PR Grupo'!AL$3,'Plan CP'!$M:$M,1)=1,1,IF(IFERROR(VLOOKUP('PR Grupo'!AL$3&amp;'PR Grupo'!$G10,'Plan CP'!$K:$P,3,FALSE)&gt;1,0),IFERROR(VLOOKUP('PR Grupo'!AL$3&amp;'PR Grupo'!$G10,'Plan CP'!$K:$P,3,FALSE),0),0)))</f>
        <v>0</v>
      </c>
      <c r="AM10" s="58">
        <f>IF(AL10&gt;1,AL10-1,IF(COUNTIFS('Plan CP'!$O:$O,'PR Grupo'!$G10,'Plan CP'!$P:$P,'PR Grupo'!AM$3,'Plan CP'!$M:$M,1)=1,1,IF(IFERROR(VLOOKUP('PR Grupo'!AM$3&amp;'PR Grupo'!$G10,'Plan CP'!$K:$P,3,FALSE)&gt;1,0),IFERROR(VLOOKUP('PR Grupo'!AM$3&amp;'PR Grupo'!$G10,'Plan CP'!$K:$P,3,FALSE),0),0)))</f>
        <v>0</v>
      </c>
      <c r="AN10" s="58">
        <f>IF(AM10&gt;1,AM10-1,IF(COUNTIFS('Plan CP'!$O:$O,'PR Grupo'!$G10,'Plan CP'!$P:$P,'PR Grupo'!AN$3,'Plan CP'!$M:$M,1)=1,1,IF(IFERROR(VLOOKUP('PR Grupo'!AN$3&amp;'PR Grupo'!$G10,'Plan CP'!$K:$P,3,FALSE)&gt;1,0),IFERROR(VLOOKUP('PR Grupo'!AN$3&amp;'PR Grupo'!$G10,'Plan CP'!$K:$P,3,FALSE),0),0)))</f>
        <v>0</v>
      </c>
      <c r="AO10" s="58">
        <f>IF(AN10&gt;1,AN10-1,IF(COUNTIFS('Plan CP'!$O:$O,'PR Grupo'!$G10,'Plan CP'!$P:$P,'PR Grupo'!AO$3,'Plan CP'!$M:$M,1)=1,1,IF(IFERROR(VLOOKUP('PR Grupo'!AO$3&amp;'PR Grupo'!$G10,'Plan CP'!$K:$P,3,FALSE)&gt;1,0),IFERROR(VLOOKUP('PR Grupo'!AO$3&amp;'PR Grupo'!$G10,'Plan CP'!$K:$P,3,FALSE),0),0)))</f>
        <v>0</v>
      </c>
    </row>
    <row r="11" spans="1:41">
      <c r="A11" s="21" t="s">
        <v>33</v>
      </c>
      <c r="B11" s="21" t="s">
        <v>51</v>
      </c>
      <c r="C11" s="21" t="s">
        <v>203</v>
      </c>
      <c r="D11" s="21" t="s">
        <v>271</v>
      </c>
      <c r="E11" s="24" t="s">
        <v>174</v>
      </c>
      <c r="F11" s="21" t="s">
        <v>271</v>
      </c>
      <c r="G11" s="33" t="s">
        <v>171</v>
      </c>
      <c r="H11" s="24">
        <v>25</v>
      </c>
      <c r="I11" s="33">
        <f t="shared" si="2"/>
        <v>18</v>
      </c>
      <c r="J11" s="33" t="str">
        <f t="shared" si="3"/>
        <v>NO OK</v>
      </c>
      <c r="K11" s="58">
        <f>IF(COUNTIFS('Plan CP'!$O:$O,'PR Grupo'!$G11,'Plan CP'!$P:$P,'PR Grupo'!K$3,'Plan CP'!$M:$M,1)=1,1,IF(IFERROR(VLOOKUP('PR Grupo'!K$3&amp;'PR Grupo'!$G11,'Plan CP'!$K:$P,3,FALSE)&gt;1,0),IFERROR(VLOOKUP('PR Grupo'!K$3&amp;'PR Grupo'!$G11,'Plan CP'!$K:$P,3,FALSE),0),0))</f>
        <v>2</v>
      </c>
      <c r="L11" s="58">
        <f>IF(K11&gt;1,K11-1,IF(COUNTIFS('Plan CP'!$O:$O,'PR Grupo'!$G11,'Plan CP'!$P:$P,'PR Grupo'!L$3,'Plan CP'!$M:$M,1)=1,1,IF(IFERROR(VLOOKUP('PR Grupo'!L$3&amp;'PR Grupo'!$G11,'Plan CP'!$K:$P,3,FALSE)&gt;1,0),IFERROR(VLOOKUP('PR Grupo'!L$3&amp;'PR Grupo'!$G11,'Plan CP'!$K:$P,3,FALSE),0),0)))</f>
        <v>1</v>
      </c>
      <c r="M11" s="58">
        <f>IF(L11&gt;1,L11-1,IF(COUNTIFS('Plan CP'!$O:$O,'PR Grupo'!$G11,'Plan CP'!$P:$P,'PR Grupo'!M$3,'Plan CP'!$M:$M,1)=1,1,IF(IFERROR(VLOOKUP('PR Grupo'!M$3&amp;'PR Grupo'!$G11,'Plan CP'!$K:$P,3,FALSE)&gt;1,0),IFERROR(VLOOKUP('PR Grupo'!M$3&amp;'PR Grupo'!$G11,'Plan CP'!$K:$P,3,FALSE),0),0)))</f>
        <v>0</v>
      </c>
      <c r="N11" s="58">
        <f>IF(M11&gt;1,M11-1,IF(COUNTIFS('Plan CP'!$O:$O,'PR Grupo'!$G11,'Plan CP'!$P:$P,'PR Grupo'!N$3,'Plan CP'!$M:$M,1)=1,1,IF(IFERROR(VLOOKUP('PR Grupo'!N$3&amp;'PR Grupo'!$G11,'Plan CP'!$K:$P,3,FALSE)&gt;1,0),IFERROR(VLOOKUP('PR Grupo'!N$3&amp;'PR Grupo'!$G11,'Plan CP'!$K:$P,3,FALSE),0),0)))</f>
        <v>1</v>
      </c>
      <c r="O11" s="58">
        <f>IF(N11&gt;1,N11-1,IF(COUNTIFS('Plan CP'!$O:$O,'PR Grupo'!$G11,'Plan CP'!$P:$P,'PR Grupo'!O$3,'Plan CP'!$M:$M,1)=1,1,IF(IFERROR(VLOOKUP('PR Grupo'!O$3&amp;'PR Grupo'!$G11,'Plan CP'!$K:$P,3,FALSE)&gt;1,0),IFERROR(VLOOKUP('PR Grupo'!O$3&amp;'PR Grupo'!$G11,'Plan CP'!$K:$P,3,FALSE),0),0)))</f>
        <v>1</v>
      </c>
      <c r="P11" s="58">
        <f>IF(O11&gt;1,O11-1,IF(COUNTIFS('Plan CP'!$O:$O,'PR Grupo'!$G11,'Plan CP'!$P:$P,'PR Grupo'!P$3,'Plan CP'!$M:$M,1)=1,1,IF(IFERROR(VLOOKUP('PR Grupo'!P$3&amp;'PR Grupo'!$G11,'Plan CP'!$K:$P,3,FALSE)&gt;1,0),IFERROR(VLOOKUP('PR Grupo'!P$3&amp;'PR Grupo'!$G11,'Plan CP'!$K:$P,3,FALSE),0),0)))</f>
        <v>1</v>
      </c>
      <c r="Q11" s="58">
        <f>IF(P11&gt;1,P11-1,IF(COUNTIFS('Plan CP'!$O:$O,'PR Grupo'!$G11,'Plan CP'!$P:$P,'PR Grupo'!Q$3,'Plan CP'!$M:$M,1)=1,1,IF(IFERROR(VLOOKUP('PR Grupo'!Q$3&amp;'PR Grupo'!$G11,'Plan CP'!$K:$P,3,FALSE)&gt;1,0),IFERROR(VLOOKUP('PR Grupo'!Q$3&amp;'PR Grupo'!$G11,'Plan CP'!$K:$P,3,FALSE),0),0)))</f>
        <v>1</v>
      </c>
      <c r="R11" s="58">
        <f>IF(Q11&gt;1,Q11-1,IF(COUNTIFS('Plan CP'!$O:$O,'PR Grupo'!$G11,'Plan CP'!$P:$P,'PR Grupo'!R$3,'Plan CP'!$M:$M,1)=1,1,IF(IFERROR(VLOOKUP('PR Grupo'!R$3&amp;'PR Grupo'!$G11,'Plan CP'!$K:$P,3,FALSE)&gt;1,0),IFERROR(VLOOKUP('PR Grupo'!R$3&amp;'PR Grupo'!$G11,'Plan CP'!$K:$P,3,FALSE),0),0)))</f>
        <v>1</v>
      </c>
      <c r="S11" s="58">
        <f>IF(R11&gt;1,R11-1,IF(COUNTIFS('Plan CP'!$O:$O,'PR Grupo'!$G11,'Plan CP'!$P:$P,'PR Grupo'!S$3,'Plan CP'!$M:$M,1)=1,1,IF(IFERROR(VLOOKUP('PR Grupo'!S$3&amp;'PR Grupo'!$G11,'Plan CP'!$K:$P,3,FALSE)&gt;1,0),IFERROR(VLOOKUP('PR Grupo'!S$3&amp;'PR Grupo'!$G11,'Plan CP'!$K:$P,3,FALSE),0),0)))</f>
        <v>1</v>
      </c>
      <c r="T11" s="58">
        <f>IF(S11&gt;1,S11-1,IF(COUNTIFS('Plan CP'!$O:$O,'PR Grupo'!$G11,'Plan CP'!$P:$P,'PR Grupo'!T$3,'Plan CP'!$M:$M,1)=1,1,IF(IFERROR(VLOOKUP('PR Grupo'!T$3&amp;'PR Grupo'!$G11,'Plan CP'!$K:$P,3,FALSE)&gt;1,0),IFERROR(VLOOKUP('PR Grupo'!T$3&amp;'PR Grupo'!$G11,'Plan CP'!$K:$P,3,FALSE),0),0)))</f>
        <v>1</v>
      </c>
      <c r="U11" s="58">
        <f>IF(T11&gt;1,T11-1,IF(COUNTIFS('Plan CP'!$O:$O,'PR Grupo'!$G11,'Plan CP'!$P:$P,'PR Grupo'!U$3,'Plan CP'!$M:$M,1)=1,1,IF(IFERROR(VLOOKUP('PR Grupo'!U$3&amp;'PR Grupo'!$G11,'Plan CP'!$K:$P,3,FALSE)&gt;1,0),IFERROR(VLOOKUP('PR Grupo'!U$3&amp;'PR Grupo'!$G11,'Plan CP'!$K:$P,3,FALSE),0),0)))</f>
        <v>1</v>
      </c>
      <c r="V11" s="58">
        <f>IF(U11&gt;1,U11-1,IF(COUNTIFS('Plan CP'!$O:$O,'PR Grupo'!$G11,'Plan CP'!$P:$P,'PR Grupo'!V$3,'Plan CP'!$M:$M,1)=1,1,IF(IFERROR(VLOOKUP('PR Grupo'!V$3&amp;'PR Grupo'!$G11,'Plan CP'!$K:$P,3,FALSE)&gt;1,0),IFERROR(VLOOKUP('PR Grupo'!V$3&amp;'PR Grupo'!$G11,'Plan CP'!$K:$P,3,FALSE),0),0)))</f>
        <v>1</v>
      </c>
      <c r="W11" s="58">
        <f>IF(V11&gt;1,V11-1,IF(COUNTIFS('Plan CP'!$O:$O,'PR Grupo'!$G11,'Plan CP'!$P:$P,'PR Grupo'!W$3,'Plan CP'!$M:$M,1)=1,1,IF(IFERROR(VLOOKUP('PR Grupo'!W$3&amp;'PR Grupo'!$G11,'Plan CP'!$K:$P,3,FALSE)&gt;1,0),IFERROR(VLOOKUP('PR Grupo'!W$3&amp;'PR Grupo'!$G11,'Plan CP'!$K:$P,3,FALSE),0),0)))</f>
        <v>1</v>
      </c>
      <c r="X11" s="58">
        <f>IF(W11&gt;1,W11-1,IF(COUNTIFS('Plan CP'!$O:$O,'PR Grupo'!$G11,'Plan CP'!$P:$P,'PR Grupo'!X$3,'Plan CP'!$M:$M,1)=1,1,IF(IFERROR(VLOOKUP('PR Grupo'!X$3&amp;'PR Grupo'!$G11,'Plan CP'!$K:$P,3,FALSE)&gt;1,0),IFERROR(VLOOKUP('PR Grupo'!X$3&amp;'PR Grupo'!$G11,'Plan CP'!$K:$P,3,FALSE),0),0)))</f>
        <v>1</v>
      </c>
      <c r="Y11" s="58">
        <f>IF(X11&gt;1,X11-1,IF(COUNTIFS('Plan CP'!$O:$O,'PR Grupo'!$G11,'Plan CP'!$P:$P,'PR Grupo'!Y$3,'Plan CP'!$M:$M,1)=1,1,IF(IFERROR(VLOOKUP('PR Grupo'!Y$3&amp;'PR Grupo'!$G11,'Plan CP'!$K:$P,3,FALSE)&gt;1,0),IFERROR(VLOOKUP('PR Grupo'!Y$3&amp;'PR Grupo'!$G11,'Plan CP'!$K:$P,3,FALSE),0),0)))</f>
        <v>1</v>
      </c>
      <c r="Z11" s="58">
        <f>IF(Y11&gt;1,Y11-1,IF(COUNTIFS('Plan CP'!$O:$O,'PR Grupo'!$G11,'Plan CP'!$P:$P,'PR Grupo'!Z$3,'Plan CP'!$M:$M,1)=1,1,IF(IFERROR(VLOOKUP('PR Grupo'!Z$3&amp;'PR Grupo'!$G11,'Plan CP'!$K:$P,3,FALSE)&gt;1,0),IFERROR(VLOOKUP('PR Grupo'!Z$3&amp;'PR Grupo'!$G11,'Plan CP'!$K:$P,3,FALSE),0),0)))</f>
        <v>1</v>
      </c>
      <c r="AA11" s="58">
        <f>IF(Z11&gt;1,Z11-1,IF(COUNTIFS('Plan CP'!$O:$O,'PR Grupo'!$G11,'Plan CP'!$P:$P,'PR Grupo'!AA$3,'Plan CP'!$M:$M,1)=1,1,IF(IFERROR(VLOOKUP('PR Grupo'!AA$3&amp;'PR Grupo'!$G11,'Plan CP'!$K:$P,3,FALSE)&gt;1,0),IFERROR(VLOOKUP('PR Grupo'!AA$3&amp;'PR Grupo'!$G11,'Plan CP'!$K:$P,3,FALSE),0),0)))</f>
        <v>1</v>
      </c>
      <c r="AB11" s="58">
        <f>IF(AA11&gt;1,AA11-1,IF(COUNTIFS('Plan CP'!$O:$O,'PR Grupo'!$G11,'Plan CP'!$P:$P,'PR Grupo'!AB$3,'Plan CP'!$M:$M,1)=1,1,IF(IFERROR(VLOOKUP('PR Grupo'!AB$3&amp;'PR Grupo'!$G11,'Plan CP'!$K:$P,3,FALSE)&gt;1,0),IFERROR(VLOOKUP('PR Grupo'!AB$3&amp;'PR Grupo'!$G11,'Plan CP'!$K:$P,3,FALSE),0),0)))</f>
        <v>1</v>
      </c>
      <c r="AC11" s="58">
        <f>IF(AB11&gt;1,AB11-1,IF(COUNTIFS('Plan CP'!$O:$O,'PR Grupo'!$G11,'Plan CP'!$P:$P,'PR Grupo'!AC$3,'Plan CP'!$M:$M,1)=1,1,IF(IFERROR(VLOOKUP('PR Grupo'!AC$3&amp;'PR Grupo'!$G11,'Plan CP'!$K:$P,3,FALSE)&gt;1,0),IFERROR(VLOOKUP('PR Grupo'!AC$3&amp;'PR Grupo'!$G11,'Plan CP'!$K:$P,3,FALSE),0),0)))</f>
        <v>1</v>
      </c>
      <c r="AD11" s="58">
        <f>IF(AC11&gt;1,AC11-1,IF(COUNTIFS('Plan CP'!$O:$O,'PR Grupo'!$G11,'Plan CP'!$P:$P,'PR Grupo'!AD$3,'Plan CP'!$M:$M,1)=1,1,IF(IFERROR(VLOOKUP('PR Grupo'!AD$3&amp;'PR Grupo'!$G11,'Plan CP'!$K:$P,3,FALSE)&gt;1,0),IFERROR(VLOOKUP('PR Grupo'!AD$3&amp;'PR Grupo'!$G11,'Plan CP'!$K:$P,3,FALSE),0),0)))</f>
        <v>0</v>
      </c>
      <c r="AE11" s="58">
        <f>IF(AD11&gt;1,AD11-1,IF(COUNTIFS('Plan CP'!$O:$O,'PR Grupo'!$G11,'Plan CP'!$P:$P,'PR Grupo'!AE$3,'Plan CP'!$M:$M,1)=1,1,IF(IFERROR(VLOOKUP('PR Grupo'!AE$3&amp;'PR Grupo'!$G11,'Plan CP'!$K:$P,3,FALSE)&gt;1,0),IFERROR(VLOOKUP('PR Grupo'!AE$3&amp;'PR Grupo'!$G11,'Plan CP'!$K:$P,3,FALSE),0),0)))</f>
        <v>0</v>
      </c>
      <c r="AF11" s="58">
        <f>IF(AE11&gt;1,AE11-1,IF(COUNTIFS('Plan CP'!$O:$O,'PR Grupo'!$G11,'Plan CP'!$P:$P,'PR Grupo'!AF$3,'Plan CP'!$M:$M,1)=1,1,IF(IFERROR(VLOOKUP('PR Grupo'!AF$3&amp;'PR Grupo'!$G11,'Plan CP'!$K:$P,3,FALSE)&gt;1,0),IFERROR(VLOOKUP('PR Grupo'!AF$3&amp;'PR Grupo'!$G11,'Plan CP'!$K:$P,3,FALSE),0),0)))</f>
        <v>0</v>
      </c>
      <c r="AG11" s="58">
        <f>IF(AF11&gt;1,AF11-1,IF(COUNTIFS('Plan CP'!$O:$O,'PR Grupo'!$G11,'Plan CP'!$P:$P,'PR Grupo'!AG$3,'Plan CP'!$M:$M,1)=1,1,IF(IFERROR(VLOOKUP('PR Grupo'!AG$3&amp;'PR Grupo'!$G11,'Plan CP'!$K:$P,3,FALSE)&gt;1,0),IFERROR(VLOOKUP('PR Grupo'!AG$3&amp;'PR Grupo'!$G11,'Plan CP'!$K:$P,3,FALSE),0),0)))</f>
        <v>0</v>
      </c>
      <c r="AH11" s="58">
        <f>IF(AG11&gt;1,AG11-1,IF(COUNTIFS('Plan CP'!$O:$O,'PR Grupo'!$G11,'Plan CP'!$P:$P,'PR Grupo'!AH$3,'Plan CP'!$M:$M,1)=1,1,IF(IFERROR(VLOOKUP('PR Grupo'!AH$3&amp;'PR Grupo'!$G11,'Plan CP'!$K:$P,3,FALSE)&gt;1,0),IFERROR(VLOOKUP('PR Grupo'!AH$3&amp;'PR Grupo'!$G11,'Plan CP'!$K:$P,3,FALSE),0),0)))</f>
        <v>0</v>
      </c>
      <c r="AI11" s="58">
        <f>IF(AH11&gt;1,AH11-1,IF(COUNTIFS('Plan CP'!$O:$O,'PR Grupo'!$G11,'Plan CP'!$P:$P,'PR Grupo'!AI$3,'Plan CP'!$M:$M,1)=1,1,IF(IFERROR(VLOOKUP('PR Grupo'!AI$3&amp;'PR Grupo'!$G11,'Plan CP'!$K:$P,3,FALSE)&gt;1,0),IFERROR(VLOOKUP('PR Grupo'!AI$3&amp;'PR Grupo'!$G11,'Plan CP'!$K:$P,3,FALSE),0),0)))</f>
        <v>0</v>
      </c>
      <c r="AJ11" s="58">
        <f>IF(AI11&gt;1,AI11-1,IF(COUNTIFS('Plan CP'!$O:$O,'PR Grupo'!$G11,'Plan CP'!$P:$P,'PR Grupo'!AJ$3,'Plan CP'!$M:$M,1)=1,1,IF(IFERROR(VLOOKUP('PR Grupo'!AJ$3&amp;'PR Grupo'!$G11,'Plan CP'!$K:$P,3,FALSE)&gt;1,0),IFERROR(VLOOKUP('PR Grupo'!AJ$3&amp;'PR Grupo'!$G11,'Plan CP'!$K:$P,3,FALSE),0),0)))</f>
        <v>0</v>
      </c>
      <c r="AK11" s="58">
        <f>IF(AJ11&gt;1,AJ11-1,IF(COUNTIFS('Plan CP'!$O:$O,'PR Grupo'!$G11,'Plan CP'!$P:$P,'PR Grupo'!AK$3,'Plan CP'!$M:$M,1)=1,1,IF(IFERROR(VLOOKUP('PR Grupo'!AK$3&amp;'PR Grupo'!$G11,'Plan CP'!$K:$P,3,FALSE)&gt;1,0),IFERROR(VLOOKUP('PR Grupo'!AK$3&amp;'PR Grupo'!$G11,'Plan CP'!$K:$P,3,FALSE),0),0)))</f>
        <v>0</v>
      </c>
      <c r="AL11" s="58">
        <f>IF(AK11&gt;1,AK11-1,IF(COUNTIFS('Plan CP'!$O:$O,'PR Grupo'!$G11,'Plan CP'!$P:$P,'PR Grupo'!AL$3,'Plan CP'!$M:$M,1)=1,1,IF(IFERROR(VLOOKUP('PR Grupo'!AL$3&amp;'PR Grupo'!$G11,'Plan CP'!$K:$P,3,FALSE)&gt;1,0),IFERROR(VLOOKUP('PR Grupo'!AL$3&amp;'PR Grupo'!$G11,'Plan CP'!$K:$P,3,FALSE),0),0)))</f>
        <v>0</v>
      </c>
      <c r="AM11" s="58">
        <f>IF(AL11&gt;1,AL11-1,IF(COUNTIFS('Plan CP'!$O:$O,'PR Grupo'!$G11,'Plan CP'!$P:$P,'PR Grupo'!AM$3,'Plan CP'!$M:$M,1)=1,1,IF(IFERROR(VLOOKUP('PR Grupo'!AM$3&amp;'PR Grupo'!$G11,'Plan CP'!$K:$P,3,FALSE)&gt;1,0),IFERROR(VLOOKUP('PR Grupo'!AM$3&amp;'PR Grupo'!$G11,'Plan CP'!$K:$P,3,FALSE),0),0)))</f>
        <v>0</v>
      </c>
      <c r="AN11" s="58">
        <f>IF(AM11&gt;1,AM11-1,IF(COUNTIFS('Plan CP'!$O:$O,'PR Grupo'!$G11,'Plan CP'!$P:$P,'PR Grupo'!AN$3,'Plan CP'!$M:$M,1)=1,1,IF(IFERROR(VLOOKUP('PR Grupo'!AN$3&amp;'PR Grupo'!$G11,'Plan CP'!$K:$P,3,FALSE)&gt;1,0),IFERROR(VLOOKUP('PR Grupo'!AN$3&amp;'PR Grupo'!$G11,'Plan CP'!$K:$P,3,FALSE),0),0)))</f>
        <v>0</v>
      </c>
      <c r="AO11" s="58">
        <f>IF(AN11&gt;1,AN11-1,IF(COUNTIFS('Plan CP'!$O:$O,'PR Grupo'!$G11,'Plan CP'!$P:$P,'PR Grupo'!AO$3,'Plan CP'!$M:$M,1)=1,1,IF(IFERROR(VLOOKUP('PR Grupo'!AO$3&amp;'PR Grupo'!$G11,'Plan CP'!$K:$P,3,FALSE)&gt;1,0),IFERROR(VLOOKUP('PR Grupo'!AO$3&amp;'PR Grupo'!$G11,'Plan CP'!$K:$P,3,FALSE),0),0)))</f>
        <v>0</v>
      </c>
    </row>
    <row r="12" spans="1:41">
      <c r="A12" s="21" t="s">
        <v>33</v>
      </c>
      <c r="B12" s="21" t="s">
        <v>37</v>
      </c>
      <c r="C12" s="21" t="s">
        <v>204</v>
      </c>
      <c r="D12" s="21" t="s">
        <v>270</v>
      </c>
      <c r="E12" s="24" t="s">
        <v>174</v>
      </c>
      <c r="F12" s="21" t="s">
        <v>270</v>
      </c>
      <c r="G12" s="33" t="s">
        <v>171</v>
      </c>
      <c r="H12" s="24">
        <v>25</v>
      </c>
      <c r="I12" s="33">
        <f t="shared" si="2"/>
        <v>18</v>
      </c>
      <c r="J12" s="33" t="str">
        <f t="shared" si="3"/>
        <v>NO OK</v>
      </c>
      <c r="K12" s="58">
        <f>IF(COUNTIFS('Plan CP'!$O:$O,'PR Grupo'!$G12,'Plan CP'!$P:$P,'PR Grupo'!K$3,'Plan CP'!$M:$M,1)=1,1,IF(IFERROR(VLOOKUP('PR Grupo'!K$3&amp;'PR Grupo'!$G12,'Plan CP'!$K:$P,3,FALSE)&gt;1,0),IFERROR(VLOOKUP('PR Grupo'!K$3&amp;'PR Grupo'!$G12,'Plan CP'!$K:$P,3,FALSE),0),0))</f>
        <v>2</v>
      </c>
      <c r="L12" s="58">
        <f>IF(K12&gt;1,K12-1,IF(COUNTIFS('Plan CP'!$O:$O,'PR Grupo'!$G12,'Plan CP'!$P:$P,'PR Grupo'!L$3,'Plan CP'!$M:$M,1)=1,1,IF(IFERROR(VLOOKUP('PR Grupo'!L$3&amp;'PR Grupo'!$G12,'Plan CP'!$K:$P,3,FALSE)&gt;1,0),IFERROR(VLOOKUP('PR Grupo'!L$3&amp;'PR Grupo'!$G12,'Plan CP'!$K:$P,3,FALSE),0),0)))</f>
        <v>1</v>
      </c>
      <c r="M12" s="58">
        <f>IF(L12&gt;1,L12-1,IF(COUNTIFS('Plan CP'!$O:$O,'PR Grupo'!$G12,'Plan CP'!$P:$P,'PR Grupo'!M$3,'Plan CP'!$M:$M,1)=1,1,IF(IFERROR(VLOOKUP('PR Grupo'!M$3&amp;'PR Grupo'!$G12,'Plan CP'!$K:$P,3,FALSE)&gt;1,0),IFERROR(VLOOKUP('PR Grupo'!M$3&amp;'PR Grupo'!$G12,'Plan CP'!$K:$P,3,FALSE),0),0)))</f>
        <v>0</v>
      </c>
      <c r="N12" s="58">
        <f>IF(M12&gt;1,M12-1,IF(COUNTIFS('Plan CP'!$O:$O,'PR Grupo'!$G12,'Plan CP'!$P:$P,'PR Grupo'!N$3,'Plan CP'!$M:$M,1)=1,1,IF(IFERROR(VLOOKUP('PR Grupo'!N$3&amp;'PR Grupo'!$G12,'Plan CP'!$K:$P,3,FALSE)&gt;1,0),IFERROR(VLOOKUP('PR Grupo'!N$3&amp;'PR Grupo'!$G12,'Plan CP'!$K:$P,3,FALSE),0),0)))</f>
        <v>1</v>
      </c>
      <c r="O12" s="58">
        <f>IF(N12&gt;1,N12-1,IF(COUNTIFS('Plan CP'!$O:$O,'PR Grupo'!$G12,'Plan CP'!$P:$P,'PR Grupo'!O$3,'Plan CP'!$M:$M,1)=1,1,IF(IFERROR(VLOOKUP('PR Grupo'!O$3&amp;'PR Grupo'!$G12,'Plan CP'!$K:$P,3,FALSE)&gt;1,0),IFERROR(VLOOKUP('PR Grupo'!O$3&amp;'PR Grupo'!$G12,'Plan CP'!$K:$P,3,FALSE),0),0)))</f>
        <v>1</v>
      </c>
      <c r="P12" s="58">
        <f>IF(O12&gt;1,O12-1,IF(COUNTIFS('Plan CP'!$O:$O,'PR Grupo'!$G12,'Plan CP'!$P:$P,'PR Grupo'!P$3,'Plan CP'!$M:$M,1)=1,1,IF(IFERROR(VLOOKUP('PR Grupo'!P$3&amp;'PR Grupo'!$G12,'Plan CP'!$K:$P,3,FALSE)&gt;1,0),IFERROR(VLOOKUP('PR Grupo'!P$3&amp;'PR Grupo'!$G12,'Plan CP'!$K:$P,3,FALSE),0),0)))</f>
        <v>1</v>
      </c>
      <c r="Q12" s="58">
        <f>IF(P12&gt;1,P12-1,IF(COUNTIFS('Plan CP'!$O:$O,'PR Grupo'!$G12,'Plan CP'!$P:$P,'PR Grupo'!Q$3,'Plan CP'!$M:$M,1)=1,1,IF(IFERROR(VLOOKUP('PR Grupo'!Q$3&amp;'PR Grupo'!$G12,'Plan CP'!$K:$P,3,FALSE)&gt;1,0),IFERROR(VLOOKUP('PR Grupo'!Q$3&amp;'PR Grupo'!$G12,'Plan CP'!$K:$P,3,FALSE),0),0)))</f>
        <v>1</v>
      </c>
      <c r="R12" s="58">
        <f>IF(Q12&gt;1,Q12-1,IF(COUNTIFS('Plan CP'!$O:$O,'PR Grupo'!$G12,'Plan CP'!$P:$P,'PR Grupo'!R$3,'Plan CP'!$M:$M,1)=1,1,IF(IFERROR(VLOOKUP('PR Grupo'!R$3&amp;'PR Grupo'!$G12,'Plan CP'!$K:$P,3,FALSE)&gt;1,0),IFERROR(VLOOKUP('PR Grupo'!R$3&amp;'PR Grupo'!$G12,'Plan CP'!$K:$P,3,FALSE),0),0)))</f>
        <v>1</v>
      </c>
      <c r="S12" s="58">
        <f>IF(R12&gt;1,R12-1,IF(COUNTIFS('Plan CP'!$O:$O,'PR Grupo'!$G12,'Plan CP'!$P:$P,'PR Grupo'!S$3,'Plan CP'!$M:$M,1)=1,1,IF(IFERROR(VLOOKUP('PR Grupo'!S$3&amp;'PR Grupo'!$G12,'Plan CP'!$K:$P,3,FALSE)&gt;1,0),IFERROR(VLOOKUP('PR Grupo'!S$3&amp;'PR Grupo'!$G12,'Plan CP'!$K:$P,3,FALSE),0),0)))</f>
        <v>1</v>
      </c>
      <c r="T12" s="58">
        <f>IF(S12&gt;1,S12-1,IF(COUNTIFS('Plan CP'!$O:$O,'PR Grupo'!$G12,'Plan CP'!$P:$P,'PR Grupo'!T$3,'Plan CP'!$M:$M,1)=1,1,IF(IFERROR(VLOOKUP('PR Grupo'!T$3&amp;'PR Grupo'!$G12,'Plan CP'!$K:$P,3,FALSE)&gt;1,0),IFERROR(VLOOKUP('PR Grupo'!T$3&amp;'PR Grupo'!$G12,'Plan CP'!$K:$P,3,FALSE),0),0)))</f>
        <v>1</v>
      </c>
      <c r="U12" s="58">
        <f>IF(T12&gt;1,T12-1,IF(COUNTIFS('Plan CP'!$O:$O,'PR Grupo'!$G12,'Plan CP'!$P:$P,'PR Grupo'!U$3,'Plan CP'!$M:$M,1)=1,1,IF(IFERROR(VLOOKUP('PR Grupo'!U$3&amp;'PR Grupo'!$G12,'Plan CP'!$K:$P,3,FALSE)&gt;1,0),IFERROR(VLOOKUP('PR Grupo'!U$3&amp;'PR Grupo'!$G12,'Plan CP'!$K:$P,3,FALSE),0),0)))</f>
        <v>1</v>
      </c>
      <c r="V12" s="58">
        <f>IF(U12&gt;1,U12-1,IF(COUNTIFS('Plan CP'!$O:$O,'PR Grupo'!$G12,'Plan CP'!$P:$P,'PR Grupo'!V$3,'Plan CP'!$M:$M,1)=1,1,IF(IFERROR(VLOOKUP('PR Grupo'!V$3&amp;'PR Grupo'!$G12,'Plan CP'!$K:$P,3,FALSE)&gt;1,0),IFERROR(VLOOKUP('PR Grupo'!V$3&amp;'PR Grupo'!$G12,'Plan CP'!$K:$P,3,FALSE),0),0)))</f>
        <v>1</v>
      </c>
      <c r="W12" s="58">
        <f>IF(V12&gt;1,V12-1,IF(COUNTIFS('Plan CP'!$O:$O,'PR Grupo'!$G12,'Plan CP'!$P:$P,'PR Grupo'!W$3,'Plan CP'!$M:$M,1)=1,1,IF(IFERROR(VLOOKUP('PR Grupo'!W$3&amp;'PR Grupo'!$G12,'Plan CP'!$K:$P,3,FALSE)&gt;1,0),IFERROR(VLOOKUP('PR Grupo'!W$3&amp;'PR Grupo'!$G12,'Plan CP'!$K:$P,3,FALSE),0),0)))</f>
        <v>1</v>
      </c>
      <c r="X12" s="58">
        <f>IF(W12&gt;1,W12-1,IF(COUNTIFS('Plan CP'!$O:$O,'PR Grupo'!$G12,'Plan CP'!$P:$P,'PR Grupo'!X$3,'Plan CP'!$M:$M,1)=1,1,IF(IFERROR(VLOOKUP('PR Grupo'!X$3&amp;'PR Grupo'!$G12,'Plan CP'!$K:$P,3,FALSE)&gt;1,0),IFERROR(VLOOKUP('PR Grupo'!X$3&amp;'PR Grupo'!$G12,'Plan CP'!$K:$P,3,FALSE),0),0)))</f>
        <v>1</v>
      </c>
      <c r="Y12" s="58">
        <f>IF(X12&gt;1,X12-1,IF(COUNTIFS('Plan CP'!$O:$O,'PR Grupo'!$G12,'Plan CP'!$P:$P,'PR Grupo'!Y$3,'Plan CP'!$M:$M,1)=1,1,IF(IFERROR(VLOOKUP('PR Grupo'!Y$3&amp;'PR Grupo'!$G12,'Plan CP'!$K:$P,3,FALSE)&gt;1,0),IFERROR(VLOOKUP('PR Grupo'!Y$3&amp;'PR Grupo'!$G12,'Plan CP'!$K:$P,3,FALSE),0),0)))</f>
        <v>1</v>
      </c>
      <c r="Z12" s="58">
        <f>IF(Y12&gt;1,Y12-1,IF(COUNTIFS('Plan CP'!$O:$O,'PR Grupo'!$G12,'Plan CP'!$P:$P,'PR Grupo'!Z$3,'Plan CP'!$M:$M,1)=1,1,IF(IFERROR(VLOOKUP('PR Grupo'!Z$3&amp;'PR Grupo'!$G12,'Plan CP'!$K:$P,3,FALSE)&gt;1,0),IFERROR(VLOOKUP('PR Grupo'!Z$3&amp;'PR Grupo'!$G12,'Plan CP'!$K:$P,3,FALSE),0),0)))</f>
        <v>1</v>
      </c>
      <c r="AA12" s="58">
        <f>IF(Z12&gt;1,Z12-1,IF(COUNTIFS('Plan CP'!$O:$O,'PR Grupo'!$G12,'Plan CP'!$P:$P,'PR Grupo'!AA$3,'Plan CP'!$M:$M,1)=1,1,IF(IFERROR(VLOOKUP('PR Grupo'!AA$3&amp;'PR Grupo'!$G12,'Plan CP'!$K:$P,3,FALSE)&gt;1,0),IFERROR(VLOOKUP('PR Grupo'!AA$3&amp;'PR Grupo'!$G12,'Plan CP'!$K:$P,3,FALSE),0),0)))</f>
        <v>1</v>
      </c>
      <c r="AB12" s="58">
        <f>IF(AA12&gt;1,AA12-1,IF(COUNTIFS('Plan CP'!$O:$O,'PR Grupo'!$G12,'Plan CP'!$P:$P,'PR Grupo'!AB$3,'Plan CP'!$M:$M,1)=1,1,IF(IFERROR(VLOOKUP('PR Grupo'!AB$3&amp;'PR Grupo'!$G12,'Plan CP'!$K:$P,3,FALSE)&gt;1,0),IFERROR(VLOOKUP('PR Grupo'!AB$3&amp;'PR Grupo'!$G12,'Plan CP'!$K:$P,3,FALSE),0),0)))</f>
        <v>1</v>
      </c>
      <c r="AC12" s="58">
        <f>IF(AB12&gt;1,AB12-1,IF(COUNTIFS('Plan CP'!$O:$O,'PR Grupo'!$G12,'Plan CP'!$P:$P,'PR Grupo'!AC$3,'Plan CP'!$M:$M,1)=1,1,IF(IFERROR(VLOOKUP('PR Grupo'!AC$3&amp;'PR Grupo'!$G12,'Plan CP'!$K:$P,3,FALSE)&gt;1,0),IFERROR(VLOOKUP('PR Grupo'!AC$3&amp;'PR Grupo'!$G12,'Plan CP'!$K:$P,3,FALSE),0),0)))</f>
        <v>1</v>
      </c>
      <c r="AD12" s="58">
        <f>IF(AC12&gt;1,AC12-1,IF(COUNTIFS('Plan CP'!$O:$O,'PR Grupo'!$G12,'Plan CP'!$P:$P,'PR Grupo'!AD$3,'Plan CP'!$M:$M,1)=1,1,IF(IFERROR(VLOOKUP('PR Grupo'!AD$3&amp;'PR Grupo'!$G12,'Plan CP'!$K:$P,3,FALSE)&gt;1,0),IFERROR(VLOOKUP('PR Grupo'!AD$3&amp;'PR Grupo'!$G12,'Plan CP'!$K:$P,3,FALSE),0),0)))</f>
        <v>0</v>
      </c>
      <c r="AE12" s="58">
        <f>IF(AD12&gt;1,AD12-1,IF(COUNTIFS('Plan CP'!$O:$O,'PR Grupo'!$G12,'Plan CP'!$P:$P,'PR Grupo'!AE$3,'Plan CP'!$M:$M,1)=1,1,IF(IFERROR(VLOOKUP('PR Grupo'!AE$3&amp;'PR Grupo'!$G12,'Plan CP'!$K:$P,3,FALSE)&gt;1,0),IFERROR(VLOOKUP('PR Grupo'!AE$3&amp;'PR Grupo'!$G12,'Plan CP'!$K:$P,3,FALSE),0),0)))</f>
        <v>0</v>
      </c>
      <c r="AF12" s="58">
        <f>IF(AE12&gt;1,AE12-1,IF(COUNTIFS('Plan CP'!$O:$O,'PR Grupo'!$G12,'Plan CP'!$P:$P,'PR Grupo'!AF$3,'Plan CP'!$M:$M,1)=1,1,IF(IFERROR(VLOOKUP('PR Grupo'!AF$3&amp;'PR Grupo'!$G12,'Plan CP'!$K:$P,3,FALSE)&gt;1,0),IFERROR(VLOOKUP('PR Grupo'!AF$3&amp;'PR Grupo'!$G12,'Plan CP'!$K:$P,3,FALSE),0),0)))</f>
        <v>0</v>
      </c>
      <c r="AG12" s="58">
        <f>IF(AF12&gt;1,AF12-1,IF(COUNTIFS('Plan CP'!$O:$O,'PR Grupo'!$G12,'Plan CP'!$P:$P,'PR Grupo'!AG$3,'Plan CP'!$M:$M,1)=1,1,IF(IFERROR(VLOOKUP('PR Grupo'!AG$3&amp;'PR Grupo'!$G12,'Plan CP'!$K:$P,3,FALSE)&gt;1,0),IFERROR(VLOOKUP('PR Grupo'!AG$3&amp;'PR Grupo'!$G12,'Plan CP'!$K:$P,3,FALSE),0),0)))</f>
        <v>0</v>
      </c>
      <c r="AH12" s="58">
        <f>IF(AG12&gt;1,AG12-1,IF(COUNTIFS('Plan CP'!$O:$O,'PR Grupo'!$G12,'Plan CP'!$P:$P,'PR Grupo'!AH$3,'Plan CP'!$M:$M,1)=1,1,IF(IFERROR(VLOOKUP('PR Grupo'!AH$3&amp;'PR Grupo'!$G12,'Plan CP'!$K:$P,3,FALSE)&gt;1,0),IFERROR(VLOOKUP('PR Grupo'!AH$3&amp;'PR Grupo'!$G12,'Plan CP'!$K:$P,3,FALSE),0),0)))</f>
        <v>0</v>
      </c>
      <c r="AI12" s="58">
        <f>IF(AH12&gt;1,AH12-1,IF(COUNTIFS('Plan CP'!$O:$O,'PR Grupo'!$G12,'Plan CP'!$P:$P,'PR Grupo'!AI$3,'Plan CP'!$M:$M,1)=1,1,IF(IFERROR(VLOOKUP('PR Grupo'!AI$3&amp;'PR Grupo'!$G12,'Plan CP'!$K:$P,3,FALSE)&gt;1,0),IFERROR(VLOOKUP('PR Grupo'!AI$3&amp;'PR Grupo'!$G12,'Plan CP'!$K:$P,3,FALSE),0),0)))</f>
        <v>0</v>
      </c>
      <c r="AJ12" s="58">
        <f>IF(AI12&gt;1,AI12-1,IF(COUNTIFS('Plan CP'!$O:$O,'PR Grupo'!$G12,'Plan CP'!$P:$P,'PR Grupo'!AJ$3,'Plan CP'!$M:$M,1)=1,1,IF(IFERROR(VLOOKUP('PR Grupo'!AJ$3&amp;'PR Grupo'!$G12,'Plan CP'!$K:$P,3,FALSE)&gt;1,0),IFERROR(VLOOKUP('PR Grupo'!AJ$3&amp;'PR Grupo'!$G12,'Plan CP'!$K:$P,3,FALSE),0),0)))</f>
        <v>0</v>
      </c>
      <c r="AK12" s="58">
        <f>IF(AJ12&gt;1,AJ12-1,IF(COUNTIFS('Plan CP'!$O:$O,'PR Grupo'!$G12,'Plan CP'!$P:$P,'PR Grupo'!AK$3,'Plan CP'!$M:$M,1)=1,1,IF(IFERROR(VLOOKUP('PR Grupo'!AK$3&amp;'PR Grupo'!$G12,'Plan CP'!$K:$P,3,FALSE)&gt;1,0),IFERROR(VLOOKUP('PR Grupo'!AK$3&amp;'PR Grupo'!$G12,'Plan CP'!$K:$P,3,FALSE),0),0)))</f>
        <v>0</v>
      </c>
      <c r="AL12" s="58">
        <f>IF(AK12&gt;1,AK12-1,IF(COUNTIFS('Plan CP'!$O:$O,'PR Grupo'!$G12,'Plan CP'!$P:$P,'PR Grupo'!AL$3,'Plan CP'!$M:$M,1)=1,1,IF(IFERROR(VLOOKUP('PR Grupo'!AL$3&amp;'PR Grupo'!$G12,'Plan CP'!$K:$P,3,FALSE)&gt;1,0),IFERROR(VLOOKUP('PR Grupo'!AL$3&amp;'PR Grupo'!$G12,'Plan CP'!$K:$P,3,FALSE),0),0)))</f>
        <v>0</v>
      </c>
      <c r="AM12" s="58">
        <f>IF(AL12&gt;1,AL12-1,IF(COUNTIFS('Plan CP'!$O:$O,'PR Grupo'!$G12,'Plan CP'!$P:$P,'PR Grupo'!AM$3,'Plan CP'!$M:$M,1)=1,1,IF(IFERROR(VLOOKUP('PR Grupo'!AM$3&amp;'PR Grupo'!$G12,'Plan CP'!$K:$P,3,FALSE)&gt;1,0),IFERROR(VLOOKUP('PR Grupo'!AM$3&amp;'PR Grupo'!$G12,'Plan CP'!$K:$P,3,FALSE),0),0)))</f>
        <v>0</v>
      </c>
      <c r="AN12" s="58">
        <f>IF(AM12&gt;1,AM12-1,IF(COUNTIFS('Plan CP'!$O:$O,'PR Grupo'!$G12,'Plan CP'!$P:$P,'PR Grupo'!AN$3,'Plan CP'!$M:$M,1)=1,1,IF(IFERROR(VLOOKUP('PR Grupo'!AN$3&amp;'PR Grupo'!$G12,'Plan CP'!$K:$P,3,FALSE)&gt;1,0),IFERROR(VLOOKUP('PR Grupo'!AN$3&amp;'PR Grupo'!$G12,'Plan CP'!$K:$P,3,FALSE),0),0)))</f>
        <v>0</v>
      </c>
      <c r="AO12" s="58">
        <f>IF(AN12&gt;1,AN12-1,IF(COUNTIFS('Plan CP'!$O:$O,'PR Grupo'!$G12,'Plan CP'!$P:$P,'PR Grupo'!AO$3,'Plan CP'!$M:$M,1)=1,1,IF(IFERROR(VLOOKUP('PR Grupo'!AO$3&amp;'PR Grupo'!$G12,'Plan CP'!$K:$P,3,FALSE)&gt;1,0),IFERROR(VLOOKUP('PR Grupo'!AO$3&amp;'PR Grupo'!$G12,'Plan CP'!$K:$P,3,FALSE),0),0)))</f>
        <v>0</v>
      </c>
    </row>
    <row r="13" spans="1:41">
      <c r="A13" s="21" t="s">
        <v>33</v>
      </c>
      <c r="B13" s="21" t="s">
        <v>40</v>
      </c>
      <c r="C13" s="21" t="s">
        <v>205</v>
      </c>
      <c r="D13" s="21" t="s">
        <v>267</v>
      </c>
      <c r="E13" s="24" t="s">
        <v>174</v>
      </c>
      <c r="F13" s="21" t="s">
        <v>267</v>
      </c>
      <c r="G13" s="33" t="s">
        <v>171</v>
      </c>
      <c r="H13" s="24">
        <v>25</v>
      </c>
      <c r="I13" s="33">
        <f t="shared" si="2"/>
        <v>18</v>
      </c>
      <c r="J13" s="33" t="str">
        <f t="shared" si="3"/>
        <v>NO OK</v>
      </c>
      <c r="K13" s="58">
        <f>IF(COUNTIFS('Plan CP'!$O:$O,'PR Grupo'!$G13,'Plan CP'!$P:$P,'PR Grupo'!K$3,'Plan CP'!$M:$M,1)=1,1,IF(IFERROR(VLOOKUP('PR Grupo'!K$3&amp;'PR Grupo'!$G13,'Plan CP'!$K:$P,3,FALSE)&gt;1,0),IFERROR(VLOOKUP('PR Grupo'!K$3&amp;'PR Grupo'!$G13,'Plan CP'!$K:$P,3,FALSE),0),0))</f>
        <v>2</v>
      </c>
      <c r="L13" s="58">
        <f>IF(K13&gt;1,K13-1,IF(COUNTIFS('Plan CP'!$O:$O,'PR Grupo'!$G13,'Plan CP'!$P:$P,'PR Grupo'!L$3,'Plan CP'!$M:$M,1)=1,1,IF(IFERROR(VLOOKUP('PR Grupo'!L$3&amp;'PR Grupo'!$G13,'Plan CP'!$K:$P,3,FALSE)&gt;1,0),IFERROR(VLOOKUP('PR Grupo'!L$3&amp;'PR Grupo'!$G13,'Plan CP'!$K:$P,3,FALSE),0),0)))</f>
        <v>1</v>
      </c>
      <c r="M13" s="58">
        <f>IF(L13&gt;1,L13-1,IF(COUNTIFS('Plan CP'!$O:$O,'PR Grupo'!$G13,'Plan CP'!$P:$P,'PR Grupo'!M$3,'Plan CP'!$M:$M,1)=1,1,IF(IFERROR(VLOOKUP('PR Grupo'!M$3&amp;'PR Grupo'!$G13,'Plan CP'!$K:$P,3,FALSE)&gt;1,0),IFERROR(VLOOKUP('PR Grupo'!M$3&amp;'PR Grupo'!$G13,'Plan CP'!$K:$P,3,FALSE),0),0)))</f>
        <v>0</v>
      </c>
      <c r="N13" s="58">
        <f>IF(M13&gt;1,M13-1,IF(COUNTIFS('Plan CP'!$O:$O,'PR Grupo'!$G13,'Plan CP'!$P:$P,'PR Grupo'!N$3,'Plan CP'!$M:$M,1)=1,1,IF(IFERROR(VLOOKUP('PR Grupo'!N$3&amp;'PR Grupo'!$G13,'Plan CP'!$K:$P,3,FALSE)&gt;1,0),IFERROR(VLOOKUP('PR Grupo'!N$3&amp;'PR Grupo'!$G13,'Plan CP'!$K:$P,3,FALSE),0),0)))</f>
        <v>1</v>
      </c>
      <c r="O13" s="58">
        <f>IF(N13&gt;1,N13-1,IF(COUNTIFS('Plan CP'!$O:$O,'PR Grupo'!$G13,'Plan CP'!$P:$P,'PR Grupo'!O$3,'Plan CP'!$M:$M,1)=1,1,IF(IFERROR(VLOOKUP('PR Grupo'!O$3&amp;'PR Grupo'!$G13,'Plan CP'!$K:$P,3,FALSE)&gt;1,0),IFERROR(VLOOKUP('PR Grupo'!O$3&amp;'PR Grupo'!$G13,'Plan CP'!$K:$P,3,FALSE),0),0)))</f>
        <v>1</v>
      </c>
      <c r="P13" s="58">
        <f>IF(O13&gt;1,O13-1,IF(COUNTIFS('Plan CP'!$O:$O,'PR Grupo'!$G13,'Plan CP'!$P:$P,'PR Grupo'!P$3,'Plan CP'!$M:$M,1)=1,1,IF(IFERROR(VLOOKUP('PR Grupo'!P$3&amp;'PR Grupo'!$G13,'Plan CP'!$K:$P,3,FALSE)&gt;1,0),IFERROR(VLOOKUP('PR Grupo'!P$3&amp;'PR Grupo'!$G13,'Plan CP'!$K:$P,3,FALSE),0),0)))</f>
        <v>1</v>
      </c>
      <c r="Q13" s="58">
        <f>IF(P13&gt;1,P13-1,IF(COUNTIFS('Plan CP'!$O:$O,'PR Grupo'!$G13,'Plan CP'!$P:$P,'PR Grupo'!Q$3,'Plan CP'!$M:$M,1)=1,1,IF(IFERROR(VLOOKUP('PR Grupo'!Q$3&amp;'PR Grupo'!$G13,'Plan CP'!$K:$P,3,FALSE)&gt;1,0),IFERROR(VLOOKUP('PR Grupo'!Q$3&amp;'PR Grupo'!$G13,'Plan CP'!$K:$P,3,FALSE),0),0)))</f>
        <v>1</v>
      </c>
      <c r="R13" s="58">
        <f>IF(Q13&gt;1,Q13-1,IF(COUNTIFS('Plan CP'!$O:$O,'PR Grupo'!$G13,'Plan CP'!$P:$P,'PR Grupo'!R$3,'Plan CP'!$M:$M,1)=1,1,IF(IFERROR(VLOOKUP('PR Grupo'!R$3&amp;'PR Grupo'!$G13,'Plan CP'!$K:$P,3,FALSE)&gt;1,0),IFERROR(VLOOKUP('PR Grupo'!R$3&amp;'PR Grupo'!$G13,'Plan CP'!$K:$P,3,FALSE),0),0)))</f>
        <v>1</v>
      </c>
      <c r="S13" s="58">
        <f>IF(R13&gt;1,R13-1,IF(COUNTIFS('Plan CP'!$O:$O,'PR Grupo'!$G13,'Plan CP'!$P:$P,'PR Grupo'!S$3,'Plan CP'!$M:$M,1)=1,1,IF(IFERROR(VLOOKUP('PR Grupo'!S$3&amp;'PR Grupo'!$G13,'Plan CP'!$K:$P,3,FALSE)&gt;1,0),IFERROR(VLOOKUP('PR Grupo'!S$3&amp;'PR Grupo'!$G13,'Plan CP'!$K:$P,3,FALSE),0),0)))</f>
        <v>1</v>
      </c>
      <c r="T13" s="58">
        <f>IF(S13&gt;1,S13-1,IF(COUNTIFS('Plan CP'!$O:$O,'PR Grupo'!$G13,'Plan CP'!$P:$P,'PR Grupo'!T$3,'Plan CP'!$M:$M,1)=1,1,IF(IFERROR(VLOOKUP('PR Grupo'!T$3&amp;'PR Grupo'!$G13,'Plan CP'!$K:$P,3,FALSE)&gt;1,0),IFERROR(VLOOKUP('PR Grupo'!T$3&amp;'PR Grupo'!$G13,'Plan CP'!$K:$P,3,FALSE),0),0)))</f>
        <v>1</v>
      </c>
      <c r="U13" s="58">
        <f>IF(T13&gt;1,T13-1,IF(COUNTIFS('Plan CP'!$O:$O,'PR Grupo'!$G13,'Plan CP'!$P:$P,'PR Grupo'!U$3,'Plan CP'!$M:$M,1)=1,1,IF(IFERROR(VLOOKUP('PR Grupo'!U$3&amp;'PR Grupo'!$G13,'Plan CP'!$K:$P,3,FALSE)&gt;1,0),IFERROR(VLOOKUP('PR Grupo'!U$3&amp;'PR Grupo'!$G13,'Plan CP'!$K:$P,3,FALSE),0),0)))</f>
        <v>1</v>
      </c>
      <c r="V13" s="58">
        <f>IF(U13&gt;1,U13-1,IF(COUNTIFS('Plan CP'!$O:$O,'PR Grupo'!$G13,'Plan CP'!$P:$P,'PR Grupo'!V$3,'Plan CP'!$M:$M,1)=1,1,IF(IFERROR(VLOOKUP('PR Grupo'!V$3&amp;'PR Grupo'!$G13,'Plan CP'!$K:$P,3,FALSE)&gt;1,0),IFERROR(VLOOKUP('PR Grupo'!V$3&amp;'PR Grupo'!$G13,'Plan CP'!$K:$P,3,FALSE),0),0)))</f>
        <v>1</v>
      </c>
      <c r="W13" s="58">
        <f>IF(V13&gt;1,V13-1,IF(COUNTIFS('Plan CP'!$O:$O,'PR Grupo'!$G13,'Plan CP'!$P:$P,'PR Grupo'!W$3,'Plan CP'!$M:$M,1)=1,1,IF(IFERROR(VLOOKUP('PR Grupo'!W$3&amp;'PR Grupo'!$G13,'Plan CP'!$K:$P,3,FALSE)&gt;1,0),IFERROR(VLOOKUP('PR Grupo'!W$3&amp;'PR Grupo'!$G13,'Plan CP'!$K:$P,3,FALSE),0),0)))</f>
        <v>1</v>
      </c>
      <c r="X13" s="58">
        <f>IF(W13&gt;1,W13-1,IF(COUNTIFS('Plan CP'!$O:$O,'PR Grupo'!$G13,'Plan CP'!$P:$P,'PR Grupo'!X$3,'Plan CP'!$M:$M,1)=1,1,IF(IFERROR(VLOOKUP('PR Grupo'!X$3&amp;'PR Grupo'!$G13,'Plan CP'!$K:$P,3,FALSE)&gt;1,0),IFERROR(VLOOKUP('PR Grupo'!X$3&amp;'PR Grupo'!$G13,'Plan CP'!$K:$P,3,FALSE),0),0)))</f>
        <v>1</v>
      </c>
      <c r="Y13" s="58">
        <f>IF(X13&gt;1,X13-1,IF(COUNTIFS('Plan CP'!$O:$O,'PR Grupo'!$G13,'Plan CP'!$P:$P,'PR Grupo'!Y$3,'Plan CP'!$M:$M,1)=1,1,IF(IFERROR(VLOOKUP('PR Grupo'!Y$3&amp;'PR Grupo'!$G13,'Plan CP'!$K:$P,3,FALSE)&gt;1,0),IFERROR(VLOOKUP('PR Grupo'!Y$3&amp;'PR Grupo'!$G13,'Plan CP'!$K:$P,3,FALSE),0),0)))</f>
        <v>1</v>
      </c>
      <c r="Z13" s="58">
        <f>IF(Y13&gt;1,Y13-1,IF(COUNTIFS('Plan CP'!$O:$O,'PR Grupo'!$G13,'Plan CP'!$P:$P,'PR Grupo'!Z$3,'Plan CP'!$M:$M,1)=1,1,IF(IFERROR(VLOOKUP('PR Grupo'!Z$3&amp;'PR Grupo'!$G13,'Plan CP'!$K:$P,3,FALSE)&gt;1,0),IFERROR(VLOOKUP('PR Grupo'!Z$3&amp;'PR Grupo'!$G13,'Plan CP'!$K:$P,3,FALSE),0),0)))</f>
        <v>1</v>
      </c>
      <c r="AA13" s="58">
        <f>IF(Z13&gt;1,Z13-1,IF(COUNTIFS('Plan CP'!$O:$O,'PR Grupo'!$G13,'Plan CP'!$P:$P,'PR Grupo'!AA$3,'Plan CP'!$M:$M,1)=1,1,IF(IFERROR(VLOOKUP('PR Grupo'!AA$3&amp;'PR Grupo'!$G13,'Plan CP'!$K:$P,3,FALSE)&gt;1,0),IFERROR(VLOOKUP('PR Grupo'!AA$3&amp;'PR Grupo'!$G13,'Plan CP'!$K:$P,3,FALSE),0),0)))</f>
        <v>1</v>
      </c>
      <c r="AB13" s="58">
        <f>IF(AA13&gt;1,AA13-1,IF(COUNTIFS('Plan CP'!$O:$O,'PR Grupo'!$G13,'Plan CP'!$P:$P,'PR Grupo'!AB$3,'Plan CP'!$M:$M,1)=1,1,IF(IFERROR(VLOOKUP('PR Grupo'!AB$3&amp;'PR Grupo'!$G13,'Plan CP'!$K:$P,3,FALSE)&gt;1,0),IFERROR(VLOOKUP('PR Grupo'!AB$3&amp;'PR Grupo'!$G13,'Plan CP'!$K:$P,3,FALSE),0),0)))</f>
        <v>1</v>
      </c>
      <c r="AC13" s="58">
        <f>IF(AB13&gt;1,AB13-1,IF(COUNTIFS('Plan CP'!$O:$O,'PR Grupo'!$G13,'Plan CP'!$P:$P,'PR Grupo'!AC$3,'Plan CP'!$M:$M,1)=1,1,IF(IFERROR(VLOOKUP('PR Grupo'!AC$3&amp;'PR Grupo'!$G13,'Plan CP'!$K:$P,3,FALSE)&gt;1,0),IFERROR(VLOOKUP('PR Grupo'!AC$3&amp;'PR Grupo'!$G13,'Plan CP'!$K:$P,3,FALSE),0),0)))</f>
        <v>1</v>
      </c>
      <c r="AD13" s="58">
        <f>IF(AC13&gt;1,AC13-1,IF(COUNTIFS('Plan CP'!$O:$O,'PR Grupo'!$G13,'Plan CP'!$P:$P,'PR Grupo'!AD$3,'Plan CP'!$M:$M,1)=1,1,IF(IFERROR(VLOOKUP('PR Grupo'!AD$3&amp;'PR Grupo'!$G13,'Plan CP'!$K:$P,3,FALSE)&gt;1,0),IFERROR(VLOOKUP('PR Grupo'!AD$3&amp;'PR Grupo'!$G13,'Plan CP'!$K:$P,3,FALSE),0),0)))</f>
        <v>0</v>
      </c>
      <c r="AE13" s="58">
        <f>IF(AD13&gt;1,AD13-1,IF(COUNTIFS('Plan CP'!$O:$O,'PR Grupo'!$G13,'Plan CP'!$P:$P,'PR Grupo'!AE$3,'Plan CP'!$M:$M,1)=1,1,IF(IFERROR(VLOOKUP('PR Grupo'!AE$3&amp;'PR Grupo'!$G13,'Plan CP'!$K:$P,3,FALSE)&gt;1,0),IFERROR(VLOOKUP('PR Grupo'!AE$3&amp;'PR Grupo'!$G13,'Plan CP'!$K:$P,3,FALSE),0),0)))</f>
        <v>0</v>
      </c>
      <c r="AF13" s="58">
        <f>IF(AE13&gt;1,AE13-1,IF(COUNTIFS('Plan CP'!$O:$O,'PR Grupo'!$G13,'Plan CP'!$P:$P,'PR Grupo'!AF$3,'Plan CP'!$M:$M,1)=1,1,IF(IFERROR(VLOOKUP('PR Grupo'!AF$3&amp;'PR Grupo'!$G13,'Plan CP'!$K:$P,3,FALSE)&gt;1,0),IFERROR(VLOOKUP('PR Grupo'!AF$3&amp;'PR Grupo'!$G13,'Plan CP'!$K:$P,3,FALSE),0),0)))</f>
        <v>0</v>
      </c>
      <c r="AG13" s="58">
        <f>IF(AF13&gt;1,AF13-1,IF(COUNTIFS('Plan CP'!$O:$O,'PR Grupo'!$G13,'Plan CP'!$P:$P,'PR Grupo'!AG$3,'Plan CP'!$M:$M,1)=1,1,IF(IFERROR(VLOOKUP('PR Grupo'!AG$3&amp;'PR Grupo'!$G13,'Plan CP'!$K:$P,3,FALSE)&gt;1,0),IFERROR(VLOOKUP('PR Grupo'!AG$3&amp;'PR Grupo'!$G13,'Plan CP'!$K:$P,3,FALSE),0),0)))</f>
        <v>0</v>
      </c>
      <c r="AH13" s="58">
        <f>IF(AG13&gt;1,AG13-1,IF(COUNTIFS('Plan CP'!$O:$O,'PR Grupo'!$G13,'Plan CP'!$P:$P,'PR Grupo'!AH$3,'Plan CP'!$M:$M,1)=1,1,IF(IFERROR(VLOOKUP('PR Grupo'!AH$3&amp;'PR Grupo'!$G13,'Plan CP'!$K:$P,3,FALSE)&gt;1,0),IFERROR(VLOOKUP('PR Grupo'!AH$3&amp;'PR Grupo'!$G13,'Plan CP'!$K:$P,3,FALSE),0),0)))</f>
        <v>0</v>
      </c>
      <c r="AI13" s="58">
        <f>IF(AH13&gt;1,AH13-1,IF(COUNTIFS('Plan CP'!$O:$O,'PR Grupo'!$G13,'Plan CP'!$P:$P,'PR Grupo'!AI$3,'Plan CP'!$M:$M,1)=1,1,IF(IFERROR(VLOOKUP('PR Grupo'!AI$3&amp;'PR Grupo'!$G13,'Plan CP'!$K:$P,3,FALSE)&gt;1,0),IFERROR(VLOOKUP('PR Grupo'!AI$3&amp;'PR Grupo'!$G13,'Plan CP'!$K:$P,3,FALSE),0),0)))</f>
        <v>0</v>
      </c>
      <c r="AJ13" s="58">
        <f>IF(AI13&gt;1,AI13-1,IF(COUNTIFS('Plan CP'!$O:$O,'PR Grupo'!$G13,'Plan CP'!$P:$P,'PR Grupo'!AJ$3,'Plan CP'!$M:$M,1)=1,1,IF(IFERROR(VLOOKUP('PR Grupo'!AJ$3&amp;'PR Grupo'!$G13,'Plan CP'!$K:$P,3,FALSE)&gt;1,0),IFERROR(VLOOKUP('PR Grupo'!AJ$3&amp;'PR Grupo'!$G13,'Plan CP'!$K:$P,3,FALSE),0),0)))</f>
        <v>0</v>
      </c>
      <c r="AK13" s="58">
        <f>IF(AJ13&gt;1,AJ13-1,IF(COUNTIFS('Plan CP'!$O:$O,'PR Grupo'!$G13,'Plan CP'!$P:$P,'PR Grupo'!AK$3,'Plan CP'!$M:$M,1)=1,1,IF(IFERROR(VLOOKUP('PR Grupo'!AK$3&amp;'PR Grupo'!$G13,'Plan CP'!$K:$P,3,FALSE)&gt;1,0),IFERROR(VLOOKUP('PR Grupo'!AK$3&amp;'PR Grupo'!$G13,'Plan CP'!$K:$P,3,FALSE),0),0)))</f>
        <v>0</v>
      </c>
      <c r="AL13" s="58">
        <f>IF(AK13&gt;1,AK13-1,IF(COUNTIFS('Plan CP'!$O:$O,'PR Grupo'!$G13,'Plan CP'!$P:$P,'PR Grupo'!AL$3,'Plan CP'!$M:$M,1)=1,1,IF(IFERROR(VLOOKUP('PR Grupo'!AL$3&amp;'PR Grupo'!$G13,'Plan CP'!$K:$P,3,FALSE)&gt;1,0),IFERROR(VLOOKUP('PR Grupo'!AL$3&amp;'PR Grupo'!$G13,'Plan CP'!$K:$P,3,FALSE),0),0)))</f>
        <v>0</v>
      </c>
      <c r="AM13" s="58">
        <f>IF(AL13&gt;1,AL13-1,IF(COUNTIFS('Plan CP'!$O:$O,'PR Grupo'!$G13,'Plan CP'!$P:$P,'PR Grupo'!AM$3,'Plan CP'!$M:$M,1)=1,1,IF(IFERROR(VLOOKUP('PR Grupo'!AM$3&amp;'PR Grupo'!$G13,'Plan CP'!$K:$P,3,FALSE)&gt;1,0),IFERROR(VLOOKUP('PR Grupo'!AM$3&amp;'PR Grupo'!$G13,'Plan CP'!$K:$P,3,FALSE),0),0)))</f>
        <v>0</v>
      </c>
      <c r="AN13" s="58">
        <f>IF(AM13&gt;1,AM13-1,IF(COUNTIFS('Plan CP'!$O:$O,'PR Grupo'!$G13,'Plan CP'!$P:$P,'PR Grupo'!AN$3,'Plan CP'!$M:$M,1)=1,1,IF(IFERROR(VLOOKUP('PR Grupo'!AN$3&amp;'PR Grupo'!$G13,'Plan CP'!$K:$P,3,FALSE)&gt;1,0),IFERROR(VLOOKUP('PR Grupo'!AN$3&amp;'PR Grupo'!$G13,'Plan CP'!$K:$P,3,FALSE),0),0)))</f>
        <v>0</v>
      </c>
      <c r="AO13" s="58">
        <f>IF(AN13&gt;1,AN13-1,IF(COUNTIFS('Plan CP'!$O:$O,'PR Grupo'!$G13,'Plan CP'!$P:$P,'PR Grupo'!AO$3,'Plan CP'!$M:$M,1)=1,1,IF(IFERROR(VLOOKUP('PR Grupo'!AO$3&amp;'PR Grupo'!$G13,'Plan CP'!$K:$P,3,FALSE)&gt;1,0),IFERROR(VLOOKUP('PR Grupo'!AO$3&amp;'PR Grupo'!$G13,'Plan CP'!$K:$P,3,FALSE),0),0)))</f>
        <v>0</v>
      </c>
    </row>
    <row r="14" spans="1:41">
      <c r="A14" s="21" t="s">
        <v>33</v>
      </c>
      <c r="B14" s="21" t="s">
        <v>46</v>
      </c>
      <c r="C14" s="21" t="s">
        <v>206</v>
      </c>
      <c r="D14" s="21" t="s">
        <v>272</v>
      </c>
      <c r="E14" s="24" t="s">
        <v>174</v>
      </c>
      <c r="F14" s="21" t="s">
        <v>272</v>
      </c>
      <c r="G14" s="33" t="s">
        <v>171</v>
      </c>
      <c r="H14" s="24">
        <v>25</v>
      </c>
      <c r="I14" s="33">
        <f t="shared" si="2"/>
        <v>18</v>
      </c>
      <c r="J14" s="33" t="str">
        <f t="shared" si="3"/>
        <v>NO OK</v>
      </c>
      <c r="K14" s="58">
        <f>IF(COUNTIFS('Plan CP'!$O:$O,'PR Grupo'!$G14,'Plan CP'!$P:$P,'PR Grupo'!K$3,'Plan CP'!$M:$M,1)=1,1,IF(IFERROR(VLOOKUP('PR Grupo'!K$3&amp;'PR Grupo'!$G14,'Plan CP'!$K:$P,3,FALSE)&gt;1,0),IFERROR(VLOOKUP('PR Grupo'!K$3&amp;'PR Grupo'!$G14,'Plan CP'!$K:$P,3,FALSE),0),0))</f>
        <v>2</v>
      </c>
      <c r="L14" s="58">
        <f>IF(K14&gt;1,K14-1,IF(COUNTIFS('Plan CP'!$O:$O,'PR Grupo'!$G14,'Plan CP'!$P:$P,'PR Grupo'!L$3,'Plan CP'!$M:$M,1)=1,1,IF(IFERROR(VLOOKUP('PR Grupo'!L$3&amp;'PR Grupo'!$G14,'Plan CP'!$K:$P,3,FALSE)&gt;1,0),IFERROR(VLOOKUP('PR Grupo'!L$3&amp;'PR Grupo'!$G14,'Plan CP'!$K:$P,3,FALSE),0),0)))</f>
        <v>1</v>
      </c>
      <c r="M14" s="58">
        <f>IF(L14&gt;1,L14-1,IF(COUNTIFS('Plan CP'!$O:$O,'PR Grupo'!$G14,'Plan CP'!$P:$P,'PR Grupo'!M$3,'Plan CP'!$M:$M,1)=1,1,IF(IFERROR(VLOOKUP('PR Grupo'!M$3&amp;'PR Grupo'!$G14,'Plan CP'!$K:$P,3,FALSE)&gt;1,0),IFERROR(VLOOKUP('PR Grupo'!M$3&amp;'PR Grupo'!$G14,'Plan CP'!$K:$P,3,FALSE),0),0)))</f>
        <v>0</v>
      </c>
      <c r="N14" s="58">
        <f>IF(M14&gt;1,M14-1,IF(COUNTIFS('Plan CP'!$O:$O,'PR Grupo'!$G14,'Plan CP'!$P:$P,'PR Grupo'!N$3,'Plan CP'!$M:$M,1)=1,1,IF(IFERROR(VLOOKUP('PR Grupo'!N$3&amp;'PR Grupo'!$G14,'Plan CP'!$K:$P,3,FALSE)&gt;1,0),IFERROR(VLOOKUP('PR Grupo'!N$3&amp;'PR Grupo'!$G14,'Plan CP'!$K:$P,3,FALSE),0),0)))</f>
        <v>1</v>
      </c>
      <c r="O14" s="58">
        <f>IF(N14&gt;1,N14-1,IF(COUNTIFS('Plan CP'!$O:$O,'PR Grupo'!$G14,'Plan CP'!$P:$P,'PR Grupo'!O$3,'Plan CP'!$M:$M,1)=1,1,IF(IFERROR(VLOOKUP('PR Grupo'!O$3&amp;'PR Grupo'!$G14,'Plan CP'!$K:$P,3,FALSE)&gt;1,0),IFERROR(VLOOKUP('PR Grupo'!O$3&amp;'PR Grupo'!$G14,'Plan CP'!$K:$P,3,FALSE),0),0)))</f>
        <v>1</v>
      </c>
      <c r="P14" s="58">
        <f>IF(O14&gt;1,O14-1,IF(COUNTIFS('Plan CP'!$O:$O,'PR Grupo'!$G14,'Plan CP'!$P:$P,'PR Grupo'!P$3,'Plan CP'!$M:$M,1)=1,1,IF(IFERROR(VLOOKUP('PR Grupo'!P$3&amp;'PR Grupo'!$G14,'Plan CP'!$K:$P,3,FALSE)&gt;1,0),IFERROR(VLOOKUP('PR Grupo'!P$3&amp;'PR Grupo'!$G14,'Plan CP'!$K:$P,3,FALSE),0),0)))</f>
        <v>1</v>
      </c>
      <c r="Q14" s="58">
        <f>IF(P14&gt;1,P14-1,IF(COUNTIFS('Plan CP'!$O:$O,'PR Grupo'!$G14,'Plan CP'!$P:$P,'PR Grupo'!Q$3,'Plan CP'!$M:$M,1)=1,1,IF(IFERROR(VLOOKUP('PR Grupo'!Q$3&amp;'PR Grupo'!$G14,'Plan CP'!$K:$P,3,FALSE)&gt;1,0),IFERROR(VLOOKUP('PR Grupo'!Q$3&amp;'PR Grupo'!$G14,'Plan CP'!$K:$P,3,FALSE),0),0)))</f>
        <v>1</v>
      </c>
      <c r="R14" s="58">
        <f>IF(Q14&gt;1,Q14-1,IF(COUNTIFS('Plan CP'!$O:$O,'PR Grupo'!$G14,'Plan CP'!$P:$P,'PR Grupo'!R$3,'Plan CP'!$M:$M,1)=1,1,IF(IFERROR(VLOOKUP('PR Grupo'!R$3&amp;'PR Grupo'!$G14,'Plan CP'!$K:$P,3,FALSE)&gt;1,0),IFERROR(VLOOKUP('PR Grupo'!R$3&amp;'PR Grupo'!$G14,'Plan CP'!$K:$P,3,FALSE),0),0)))</f>
        <v>1</v>
      </c>
      <c r="S14" s="58">
        <f>IF(R14&gt;1,R14-1,IF(COUNTIFS('Plan CP'!$O:$O,'PR Grupo'!$G14,'Plan CP'!$P:$P,'PR Grupo'!S$3,'Plan CP'!$M:$M,1)=1,1,IF(IFERROR(VLOOKUP('PR Grupo'!S$3&amp;'PR Grupo'!$G14,'Plan CP'!$K:$P,3,FALSE)&gt;1,0),IFERROR(VLOOKUP('PR Grupo'!S$3&amp;'PR Grupo'!$G14,'Plan CP'!$K:$P,3,FALSE),0),0)))</f>
        <v>1</v>
      </c>
      <c r="T14" s="58">
        <f>IF(S14&gt;1,S14-1,IF(COUNTIFS('Plan CP'!$O:$O,'PR Grupo'!$G14,'Plan CP'!$P:$P,'PR Grupo'!T$3,'Plan CP'!$M:$M,1)=1,1,IF(IFERROR(VLOOKUP('PR Grupo'!T$3&amp;'PR Grupo'!$G14,'Plan CP'!$K:$P,3,FALSE)&gt;1,0),IFERROR(VLOOKUP('PR Grupo'!T$3&amp;'PR Grupo'!$G14,'Plan CP'!$K:$P,3,FALSE),0),0)))</f>
        <v>1</v>
      </c>
      <c r="U14" s="58">
        <f>IF(T14&gt;1,T14-1,IF(COUNTIFS('Plan CP'!$O:$O,'PR Grupo'!$G14,'Plan CP'!$P:$P,'PR Grupo'!U$3,'Plan CP'!$M:$M,1)=1,1,IF(IFERROR(VLOOKUP('PR Grupo'!U$3&amp;'PR Grupo'!$G14,'Plan CP'!$K:$P,3,FALSE)&gt;1,0),IFERROR(VLOOKUP('PR Grupo'!U$3&amp;'PR Grupo'!$G14,'Plan CP'!$K:$P,3,FALSE),0),0)))</f>
        <v>1</v>
      </c>
      <c r="V14" s="58">
        <f>IF(U14&gt;1,U14-1,IF(COUNTIFS('Plan CP'!$O:$O,'PR Grupo'!$G14,'Plan CP'!$P:$P,'PR Grupo'!V$3,'Plan CP'!$M:$M,1)=1,1,IF(IFERROR(VLOOKUP('PR Grupo'!V$3&amp;'PR Grupo'!$G14,'Plan CP'!$K:$P,3,FALSE)&gt;1,0),IFERROR(VLOOKUP('PR Grupo'!V$3&amp;'PR Grupo'!$G14,'Plan CP'!$K:$P,3,FALSE),0),0)))</f>
        <v>1</v>
      </c>
      <c r="W14" s="58">
        <f>IF(V14&gt;1,V14-1,IF(COUNTIFS('Plan CP'!$O:$O,'PR Grupo'!$G14,'Plan CP'!$P:$P,'PR Grupo'!W$3,'Plan CP'!$M:$M,1)=1,1,IF(IFERROR(VLOOKUP('PR Grupo'!W$3&amp;'PR Grupo'!$G14,'Plan CP'!$K:$P,3,FALSE)&gt;1,0),IFERROR(VLOOKUP('PR Grupo'!W$3&amp;'PR Grupo'!$G14,'Plan CP'!$K:$P,3,FALSE),0),0)))</f>
        <v>1</v>
      </c>
      <c r="X14" s="58">
        <f>IF(W14&gt;1,W14-1,IF(COUNTIFS('Plan CP'!$O:$O,'PR Grupo'!$G14,'Plan CP'!$P:$P,'PR Grupo'!X$3,'Plan CP'!$M:$M,1)=1,1,IF(IFERROR(VLOOKUP('PR Grupo'!X$3&amp;'PR Grupo'!$G14,'Plan CP'!$K:$P,3,FALSE)&gt;1,0),IFERROR(VLOOKUP('PR Grupo'!X$3&amp;'PR Grupo'!$G14,'Plan CP'!$K:$P,3,FALSE),0),0)))</f>
        <v>1</v>
      </c>
      <c r="Y14" s="58">
        <f>IF(X14&gt;1,X14-1,IF(COUNTIFS('Plan CP'!$O:$O,'PR Grupo'!$G14,'Plan CP'!$P:$P,'PR Grupo'!Y$3,'Plan CP'!$M:$M,1)=1,1,IF(IFERROR(VLOOKUP('PR Grupo'!Y$3&amp;'PR Grupo'!$G14,'Plan CP'!$K:$P,3,FALSE)&gt;1,0),IFERROR(VLOOKUP('PR Grupo'!Y$3&amp;'PR Grupo'!$G14,'Plan CP'!$K:$P,3,FALSE),0),0)))</f>
        <v>1</v>
      </c>
      <c r="Z14" s="58">
        <f>IF(Y14&gt;1,Y14-1,IF(COUNTIFS('Plan CP'!$O:$O,'PR Grupo'!$G14,'Plan CP'!$P:$P,'PR Grupo'!Z$3,'Plan CP'!$M:$M,1)=1,1,IF(IFERROR(VLOOKUP('PR Grupo'!Z$3&amp;'PR Grupo'!$G14,'Plan CP'!$K:$P,3,FALSE)&gt;1,0),IFERROR(VLOOKUP('PR Grupo'!Z$3&amp;'PR Grupo'!$G14,'Plan CP'!$K:$P,3,FALSE),0),0)))</f>
        <v>1</v>
      </c>
      <c r="AA14" s="58">
        <f>IF(Z14&gt;1,Z14-1,IF(COUNTIFS('Plan CP'!$O:$O,'PR Grupo'!$G14,'Plan CP'!$P:$P,'PR Grupo'!AA$3,'Plan CP'!$M:$M,1)=1,1,IF(IFERROR(VLOOKUP('PR Grupo'!AA$3&amp;'PR Grupo'!$G14,'Plan CP'!$K:$P,3,FALSE)&gt;1,0),IFERROR(VLOOKUP('PR Grupo'!AA$3&amp;'PR Grupo'!$G14,'Plan CP'!$K:$P,3,FALSE),0),0)))</f>
        <v>1</v>
      </c>
      <c r="AB14" s="58">
        <f>IF(AA14&gt;1,AA14-1,IF(COUNTIFS('Plan CP'!$O:$O,'PR Grupo'!$G14,'Plan CP'!$P:$P,'PR Grupo'!AB$3,'Plan CP'!$M:$M,1)=1,1,IF(IFERROR(VLOOKUP('PR Grupo'!AB$3&amp;'PR Grupo'!$G14,'Plan CP'!$K:$P,3,FALSE)&gt;1,0),IFERROR(VLOOKUP('PR Grupo'!AB$3&amp;'PR Grupo'!$G14,'Plan CP'!$K:$P,3,FALSE),0),0)))</f>
        <v>1</v>
      </c>
      <c r="AC14" s="58">
        <f>IF(AB14&gt;1,AB14-1,IF(COUNTIFS('Plan CP'!$O:$O,'PR Grupo'!$G14,'Plan CP'!$P:$P,'PR Grupo'!AC$3,'Plan CP'!$M:$M,1)=1,1,IF(IFERROR(VLOOKUP('PR Grupo'!AC$3&amp;'PR Grupo'!$G14,'Plan CP'!$K:$P,3,FALSE)&gt;1,0),IFERROR(VLOOKUP('PR Grupo'!AC$3&amp;'PR Grupo'!$G14,'Plan CP'!$K:$P,3,FALSE),0),0)))</f>
        <v>1</v>
      </c>
      <c r="AD14" s="58">
        <f>IF(AC14&gt;1,AC14-1,IF(COUNTIFS('Plan CP'!$O:$O,'PR Grupo'!$G14,'Plan CP'!$P:$P,'PR Grupo'!AD$3,'Plan CP'!$M:$M,1)=1,1,IF(IFERROR(VLOOKUP('PR Grupo'!AD$3&amp;'PR Grupo'!$G14,'Plan CP'!$K:$P,3,FALSE)&gt;1,0),IFERROR(VLOOKUP('PR Grupo'!AD$3&amp;'PR Grupo'!$G14,'Plan CP'!$K:$P,3,FALSE),0),0)))</f>
        <v>0</v>
      </c>
      <c r="AE14" s="58">
        <f>IF(AD14&gt;1,AD14-1,IF(COUNTIFS('Plan CP'!$O:$O,'PR Grupo'!$G14,'Plan CP'!$P:$P,'PR Grupo'!AE$3,'Plan CP'!$M:$M,1)=1,1,IF(IFERROR(VLOOKUP('PR Grupo'!AE$3&amp;'PR Grupo'!$G14,'Plan CP'!$K:$P,3,FALSE)&gt;1,0),IFERROR(VLOOKUP('PR Grupo'!AE$3&amp;'PR Grupo'!$G14,'Plan CP'!$K:$P,3,FALSE),0),0)))</f>
        <v>0</v>
      </c>
      <c r="AF14" s="58">
        <f>IF(AE14&gt;1,AE14-1,IF(COUNTIFS('Plan CP'!$O:$O,'PR Grupo'!$G14,'Plan CP'!$P:$P,'PR Grupo'!AF$3,'Plan CP'!$M:$M,1)=1,1,IF(IFERROR(VLOOKUP('PR Grupo'!AF$3&amp;'PR Grupo'!$G14,'Plan CP'!$K:$P,3,FALSE)&gt;1,0),IFERROR(VLOOKUP('PR Grupo'!AF$3&amp;'PR Grupo'!$G14,'Plan CP'!$K:$P,3,FALSE),0),0)))</f>
        <v>0</v>
      </c>
      <c r="AG14" s="58">
        <f>IF(AF14&gt;1,AF14-1,IF(COUNTIFS('Plan CP'!$O:$O,'PR Grupo'!$G14,'Plan CP'!$P:$P,'PR Grupo'!AG$3,'Plan CP'!$M:$M,1)=1,1,IF(IFERROR(VLOOKUP('PR Grupo'!AG$3&amp;'PR Grupo'!$G14,'Plan CP'!$K:$P,3,FALSE)&gt;1,0),IFERROR(VLOOKUP('PR Grupo'!AG$3&amp;'PR Grupo'!$G14,'Plan CP'!$K:$P,3,FALSE),0),0)))</f>
        <v>0</v>
      </c>
      <c r="AH14" s="58">
        <f>IF(AG14&gt;1,AG14-1,IF(COUNTIFS('Plan CP'!$O:$O,'PR Grupo'!$G14,'Plan CP'!$P:$P,'PR Grupo'!AH$3,'Plan CP'!$M:$M,1)=1,1,IF(IFERROR(VLOOKUP('PR Grupo'!AH$3&amp;'PR Grupo'!$G14,'Plan CP'!$K:$P,3,FALSE)&gt;1,0),IFERROR(VLOOKUP('PR Grupo'!AH$3&amp;'PR Grupo'!$G14,'Plan CP'!$K:$P,3,FALSE),0),0)))</f>
        <v>0</v>
      </c>
      <c r="AI14" s="58">
        <f>IF(AH14&gt;1,AH14-1,IF(COUNTIFS('Plan CP'!$O:$O,'PR Grupo'!$G14,'Plan CP'!$P:$P,'PR Grupo'!AI$3,'Plan CP'!$M:$M,1)=1,1,IF(IFERROR(VLOOKUP('PR Grupo'!AI$3&amp;'PR Grupo'!$G14,'Plan CP'!$K:$P,3,FALSE)&gt;1,0),IFERROR(VLOOKUP('PR Grupo'!AI$3&amp;'PR Grupo'!$G14,'Plan CP'!$K:$P,3,FALSE),0),0)))</f>
        <v>0</v>
      </c>
      <c r="AJ14" s="58">
        <f>IF(AI14&gt;1,AI14-1,IF(COUNTIFS('Plan CP'!$O:$O,'PR Grupo'!$G14,'Plan CP'!$P:$P,'PR Grupo'!AJ$3,'Plan CP'!$M:$M,1)=1,1,IF(IFERROR(VLOOKUP('PR Grupo'!AJ$3&amp;'PR Grupo'!$G14,'Plan CP'!$K:$P,3,FALSE)&gt;1,0),IFERROR(VLOOKUP('PR Grupo'!AJ$3&amp;'PR Grupo'!$G14,'Plan CP'!$K:$P,3,FALSE),0),0)))</f>
        <v>0</v>
      </c>
      <c r="AK14" s="58">
        <f>IF(AJ14&gt;1,AJ14-1,IF(COUNTIFS('Plan CP'!$O:$O,'PR Grupo'!$G14,'Plan CP'!$P:$P,'PR Grupo'!AK$3,'Plan CP'!$M:$M,1)=1,1,IF(IFERROR(VLOOKUP('PR Grupo'!AK$3&amp;'PR Grupo'!$G14,'Plan CP'!$K:$P,3,FALSE)&gt;1,0),IFERROR(VLOOKUP('PR Grupo'!AK$3&amp;'PR Grupo'!$G14,'Plan CP'!$K:$P,3,FALSE),0),0)))</f>
        <v>0</v>
      </c>
      <c r="AL14" s="58">
        <f>IF(AK14&gt;1,AK14-1,IF(COUNTIFS('Plan CP'!$O:$O,'PR Grupo'!$G14,'Plan CP'!$P:$P,'PR Grupo'!AL$3,'Plan CP'!$M:$M,1)=1,1,IF(IFERROR(VLOOKUP('PR Grupo'!AL$3&amp;'PR Grupo'!$G14,'Plan CP'!$K:$P,3,FALSE)&gt;1,0),IFERROR(VLOOKUP('PR Grupo'!AL$3&amp;'PR Grupo'!$G14,'Plan CP'!$K:$P,3,FALSE),0),0)))</f>
        <v>0</v>
      </c>
      <c r="AM14" s="58">
        <f>IF(AL14&gt;1,AL14-1,IF(COUNTIFS('Plan CP'!$O:$O,'PR Grupo'!$G14,'Plan CP'!$P:$P,'PR Grupo'!AM$3,'Plan CP'!$M:$M,1)=1,1,IF(IFERROR(VLOOKUP('PR Grupo'!AM$3&amp;'PR Grupo'!$G14,'Plan CP'!$K:$P,3,FALSE)&gt;1,0),IFERROR(VLOOKUP('PR Grupo'!AM$3&amp;'PR Grupo'!$G14,'Plan CP'!$K:$P,3,FALSE),0),0)))</f>
        <v>0</v>
      </c>
      <c r="AN14" s="58">
        <f>IF(AM14&gt;1,AM14-1,IF(COUNTIFS('Plan CP'!$O:$O,'PR Grupo'!$G14,'Plan CP'!$P:$P,'PR Grupo'!AN$3,'Plan CP'!$M:$M,1)=1,1,IF(IFERROR(VLOOKUP('PR Grupo'!AN$3&amp;'PR Grupo'!$G14,'Plan CP'!$K:$P,3,FALSE)&gt;1,0),IFERROR(VLOOKUP('PR Grupo'!AN$3&amp;'PR Grupo'!$G14,'Plan CP'!$K:$P,3,FALSE),0),0)))</f>
        <v>0</v>
      </c>
      <c r="AO14" s="58">
        <f>IF(AN14&gt;1,AN14-1,IF(COUNTIFS('Plan CP'!$O:$O,'PR Grupo'!$G14,'Plan CP'!$P:$P,'PR Grupo'!AO$3,'Plan CP'!$M:$M,1)=1,1,IF(IFERROR(VLOOKUP('PR Grupo'!AO$3&amp;'PR Grupo'!$G14,'Plan CP'!$K:$P,3,FALSE)&gt;1,0),IFERROR(VLOOKUP('PR Grupo'!AO$3&amp;'PR Grupo'!$G14,'Plan CP'!$K:$P,3,FALSE),0),0)))</f>
        <v>0</v>
      </c>
    </row>
    <row r="15" spans="1:41">
      <c r="A15" s="21" t="s">
        <v>33</v>
      </c>
      <c r="B15" s="21" t="s">
        <v>37</v>
      </c>
      <c r="C15" s="21" t="s">
        <v>207</v>
      </c>
      <c r="D15" s="21" t="s">
        <v>269</v>
      </c>
      <c r="E15" s="24" t="s">
        <v>174</v>
      </c>
      <c r="F15" s="21" t="s">
        <v>269</v>
      </c>
      <c r="G15" s="33" t="s">
        <v>171</v>
      </c>
      <c r="H15" s="24">
        <v>25</v>
      </c>
      <c r="I15" s="33">
        <f t="shared" si="2"/>
        <v>18</v>
      </c>
      <c r="J15" s="33" t="str">
        <f t="shared" si="3"/>
        <v>NO OK</v>
      </c>
      <c r="K15" s="58">
        <f>IF(COUNTIFS('Plan CP'!$O:$O,'PR Grupo'!$G15,'Plan CP'!$P:$P,'PR Grupo'!K$3,'Plan CP'!$M:$M,1)=1,1,IF(IFERROR(VLOOKUP('PR Grupo'!K$3&amp;'PR Grupo'!$G15,'Plan CP'!$K:$P,3,FALSE)&gt;1,0),IFERROR(VLOOKUP('PR Grupo'!K$3&amp;'PR Grupo'!$G15,'Plan CP'!$K:$P,3,FALSE),0),0))</f>
        <v>2</v>
      </c>
      <c r="L15" s="58">
        <f>IF(K15&gt;1,K15-1,IF(COUNTIFS('Plan CP'!$O:$O,'PR Grupo'!$G15,'Plan CP'!$P:$P,'PR Grupo'!L$3,'Plan CP'!$M:$M,1)=1,1,IF(IFERROR(VLOOKUP('PR Grupo'!L$3&amp;'PR Grupo'!$G15,'Plan CP'!$K:$P,3,FALSE)&gt;1,0),IFERROR(VLOOKUP('PR Grupo'!L$3&amp;'PR Grupo'!$G15,'Plan CP'!$K:$P,3,FALSE),0),0)))</f>
        <v>1</v>
      </c>
      <c r="M15" s="58">
        <f>IF(L15&gt;1,L15-1,IF(COUNTIFS('Plan CP'!$O:$O,'PR Grupo'!$G15,'Plan CP'!$P:$P,'PR Grupo'!M$3,'Plan CP'!$M:$M,1)=1,1,IF(IFERROR(VLOOKUP('PR Grupo'!M$3&amp;'PR Grupo'!$G15,'Plan CP'!$K:$P,3,FALSE)&gt;1,0),IFERROR(VLOOKUP('PR Grupo'!M$3&amp;'PR Grupo'!$G15,'Plan CP'!$K:$P,3,FALSE),0),0)))</f>
        <v>0</v>
      </c>
      <c r="N15" s="58">
        <f>IF(M15&gt;1,M15-1,IF(COUNTIFS('Plan CP'!$O:$O,'PR Grupo'!$G15,'Plan CP'!$P:$P,'PR Grupo'!N$3,'Plan CP'!$M:$M,1)=1,1,IF(IFERROR(VLOOKUP('PR Grupo'!N$3&amp;'PR Grupo'!$G15,'Plan CP'!$K:$P,3,FALSE)&gt;1,0),IFERROR(VLOOKUP('PR Grupo'!N$3&amp;'PR Grupo'!$G15,'Plan CP'!$K:$P,3,FALSE),0),0)))</f>
        <v>1</v>
      </c>
      <c r="O15" s="58">
        <f>IF(N15&gt;1,N15-1,IF(COUNTIFS('Plan CP'!$O:$O,'PR Grupo'!$G15,'Plan CP'!$P:$P,'PR Grupo'!O$3,'Plan CP'!$M:$M,1)=1,1,IF(IFERROR(VLOOKUP('PR Grupo'!O$3&amp;'PR Grupo'!$G15,'Plan CP'!$K:$P,3,FALSE)&gt;1,0),IFERROR(VLOOKUP('PR Grupo'!O$3&amp;'PR Grupo'!$G15,'Plan CP'!$K:$P,3,FALSE),0),0)))</f>
        <v>1</v>
      </c>
      <c r="P15" s="58">
        <f>IF(O15&gt;1,O15-1,IF(COUNTIFS('Plan CP'!$O:$O,'PR Grupo'!$G15,'Plan CP'!$P:$P,'PR Grupo'!P$3,'Plan CP'!$M:$M,1)=1,1,IF(IFERROR(VLOOKUP('PR Grupo'!P$3&amp;'PR Grupo'!$G15,'Plan CP'!$K:$P,3,FALSE)&gt;1,0),IFERROR(VLOOKUP('PR Grupo'!P$3&amp;'PR Grupo'!$G15,'Plan CP'!$K:$P,3,FALSE),0),0)))</f>
        <v>1</v>
      </c>
      <c r="Q15" s="58">
        <f>IF(P15&gt;1,P15-1,IF(COUNTIFS('Plan CP'!$O:$O,'PR Grupo'!$G15,'Plan CP'!$P:$P,'PR Grupo'!Q$3,'Plan CP'!$M:$M,1)=1,1,IF(IFERROR(VLOOKUP('PR Grupo'!Q$3&amp;'PR Grupo'!$G15,'Plan CP'!$K:$P,3,FALSE)&gt;1,0),IFERROR(VLOOKUP('PR Grupo'!Q$3&amp;'PR Grupo'!$G15,'Plan CP'!$K:$P,3,FALSE),0),0)))</f>
        <v>1</v>
      </c>
      <c r="R15" s="58">
        <f>IF(Q15&gt;1,Q15-1,IF(COUNTIFS('Plan CP'!$O:$O,'PR Grupo'!$G15,'Plan CP'!$P:$P,'PR Grupo'!R$3,'Plan CP'!$M:$M,1)=1,1,IF(IFERROR(VLOOKUP('PR Grupo'!R$3&amp;'PR Grupo'!$G15,'Plan CP'!$K:$P,3,FALSE)&gt;1,0),IFERROR(VLOOKUP('PR Grupo'!R$3&amp;'PR Grupo'!$G15,'Plan CP'!$K:$P,3,FALSE),0),0)))</f>
        <v>1</v>
      </c>
      <c r="S15" s="58">
        <f>IF(R15&gt;1,R15-1,IF(COUNTIFS('Plan CP'!$O:$O,'PR Grupo'!$G15,'Plan CP'!$P:$P,'PR Grupo'!S$3,'Plan CP'!$M:$M,1)=1,1,IF(IFERROR(VLOOKUP('PR Grupo'!S$3&amp;'PR Grupo'!$G15,'Plan CP'!$K:$P,3,FALSE)&gt;1,0),IFERROR(VLOOKUP('PR Grupo'!S$3&amp;'PR Grupo'!$G15,'Plan CP'!$K:$P,3,FALSE),0),0)))</f>
        <v>1</v>
      </c>
      <c r="T15" s="58">
        <f>IF(S15&gt;1,S15-1,IF(COUNTIFS('Plan CP'!$O:$O,'PR Grupo'!$G15,'Plan CP'!$P:$P,'PR Grupo'!T$3,'Plan CP'!$M:$M,1)=1,1,IF(IFERROR(VLOOKUP('PR Grupo'!T$3&amp;'PR Grupo'!$G15,'Plan CP'!$K:$P,3,FALSE)&gt;1,0),IFERROR(VLOOKUP('PR Grupo'!T$3&amp;'PR Grupo'!$G15,'Plan CP'!$K:$P,3,FALSE),0),0)))</f>
        <v>1</v>
      </c>
      <c r="U15" s="58">
        <f>IF(T15&gt;1,T15-1,IF(COUNTIFS('Plan CP'!$O:$O,'PR Grupo'!$G15,'Plan CP'!$P:$P,'PR Grupo'!U$3,'Plan CP'!$M:$M,1)=1,1,IF(IFERROR(VLOOKUP('PR Grupo'!U$3&amp;'PR Grupo'!$G15,'Plan CP'!$K:$P,3,FALSE)&gt;1,0),IFERROR(VLOOKUP('PR Grupo'!U$3&amp;'PR Grupo'!$G15,'Plan CP'!$K:$P,3,FALSE),0),0)))</f>
        <v>1</v>
      </c>
      <c r="V15" s="58">
        <f>IF(U15&gt;1,U15-1,IF(COUNTIFS('Plan CP'!$O:$O,'PR Grupo'!$G15,'Plan CP'!$P:$P,'PR Grupo'!V$3,'Plan CP'!$M:$M,1)=1,1,IF(IFERROR(VLOOKUP('PR Grupo'!V$3&amp;'PR Grupo'!$G15,'Plan CP'!$K:$P,3,FALSE)&gt;1,0),IFERROR(VLOOKUP('PR Grupo'!V$3&amp;'PR Grupo'!$G15,'Plan CP'!$K:$P,3,FALSE),0),0)))</f>
        <v>1</v>
      </c>
      <c r="W15" s="58">
        <f>IF(V15&gt;1,V15-1,IF(COUNTIFS('Plan CP'!$O:$O,'PR Grupo'!$G15,'Plan CP'!$P:$P,'PR Grupo'!W$3,'Plan CP'!$M:$M,1)=1,1,IF(IFERROR(VLOOKUP('PR Grupo'!W$3&amp;'PR Grupo'!$G15,'Plan CP'!$K:$P,3,FALSE)&gt;1,0),IFERROR(VLOOKUP('PR Grupo'!W$3&amp;'PR Grupo'!$G15,'Plan CP'!$K:$P,3,FALSE),0),0)))</f>
        <v>1</v>
      </c>
      <c r="X15" s="58">
        <f>IF(W15&gt;1,W15-1,IF(COUNTIFS('Plan CP'!$O:$O,'PR Grupo'!$G15,'Plan CP'!$P:$P,'PR Grupo'!X$3,'Plan CP'!$M:$M,1)=1,1,IF(IFERROR(VLOOKUP('PR Grupo'!X$3&amp;'PR Grupo'!$G15,'Plan CP'!$K:$P,3,FALSE)&gt;1,0),IFERROR(VLOOKUP('PR Grupo'!X$3&amp;'PR Grupo'!$G15,'Plan CP'!$K:$P,3,FALSE),0),0)))</f>
        <v>1</v>
      </c>
      <c r="Y15" s="58">
        <f>IF(X15&gt;1,X15-1,IF(COUNTIFS('Plan CP'!$O:$O,'PR Grupo'!$G15,'Plan CP'!$P:$P,'PR Grupo'!Y$3,'Plan CP'!$M:$M,1)=1,1,IF(IFERROR(VLOOKUP('PR Grupo'!Y$3&amp;'PR Grupo'!$G15,'Plan CP'!$K:$P,3,FALSE)&gt;1,0),IFERROR(VLOOKUP('PR Grupo'!Y$3&amp;'PR Grupo'!$G15,'Plan CP'!$K:$P,3,FALSE),0),0)))</f>
        <v>1</v>
      </c>
      <c r="Z15" s="58">
        <f>IF(Y15&gt;1,Y15-1,IF(COUNTIFS('Plan CP'!$O:$O,'PR Grupo'!$G15,'Plan CP'!$P:$P,'PR Grupo'!Z$3,'Plan CP'!$M:$M,1)=1,1,IF(IFERROR(VLOOKUP('PR Grupo'!Z$3&amp;'PR Grupo'!$G15,'Plan CP'!$K:$P,3,FALSE)&gt;1,0),IFERROR(VLOOKUP('PR Grupo'!Z$3&amp;'PR Grupo'!$G15,'Plan CP'!$K:$P,3,FALSE),0),0)))</f>
        <v>1</v>
      </c>
      <c r="AA15" s="58">
        <f>IF(Z15&gt;1,Z15-1,IF(COUNTIFS('Plan CP'!$O:$O,'PR Grupo'!$G15,'Plan CP'!$P:$P,'PR Grupo'!AA$3,'Plan CP'!$M:$M,1)=1,1,IF(IFERROR(VLOOKUP('PR Grupo'!AA$3&amp;'PR Grupo'!$G15,'Plan CP'!$K:$P,3,FALSE)&gt;1,0),IFERROR(VLOOKUP('PR Grupo'!AA$3&amp;'PR Grupo'!$G15,'Plan CP'!$K:$P,3,FALSE),0),0)))</f>
        <v>1</v>
      </c>
      <c r="AB15" s="58">
        <f>IF(AA15&gt;1,AA15-1,IF(COUNTIFS('Plan CP'!$O:$O,'PR Grupo'!$G15,'Plan CP'!$P:$P,'PR Grupo'!AB$3,'Plan CP'!$M:$M,1)=1,1,IF(IFERROR(VLOOKUP('PR Grupo'!AB$3&amp;'PR Grupo'!$G15,'Plan CP'!$K:$P,3,FALSE)&gt;1,0),IFERROR(VLOOKUP('PR Grupo'!AB$3&amp;'PR Grupo'!$G15,'Plan CP'!$K:$P,3,FALSE),0),0)))</f>
        <v>1</v>
      </c>
      <c r="AC15" s="58">
        <f>IF(AB15&gt;1,AB15-1,IF(COUNTIFS('Plan CP'!$O:$O,'PR Grupo'!$G15,'Plan CP'!$P:$P,'PR Grupo'!AC$3,'Plan CP'!$M:$M,1)=1,1,IF(IFERROR(VLOOKUP('PR Grupo'!AC$3&amp;'PR Grupo'!$G15,'Plan CP'!$K:$P,3,FALSE)&gt;1,0),IFERROR(VLOOKUP('PR Grupo'!AC$3&amp;'PR Grupo'!$G15,'Plan CP'!$K:$P,3,FALSE),0),0)))</f>
        <v>1</v>
      </c>
      <c r="AD15" s="58">
        <f>IF(AC15&gt;1,AC15-1,IF(COUNTIFS('Plan CP'!$O:$O,'PR Grupo'!$G15,'Plan CP'!$P:$P,'PR Grupo'!AD$3,'Plan CP'!$M:$M,1)=1,1,IF(IFERROR(VLOOKUP('PR Grupo'!AD$3&amp;'PR Grupo'!$G15,'Plan CP'!$K:$P,3,FALSE)&gt;1,0),IFERROR(VLOOKUP('PR Grupo'!AD$3&amp;'PR Grupo'!$G15,'Plan CP'!$K:$P,3,FALSE),0),0)))</f>
        <v>0</v>
      </c>
      <c r="AE15" s="58">
        <f>IF(AD15&gt;1,AD15-1,IF(COUNTIFS('Plan CP'!$O:$O,'PR Grupo'!$G15,'Plan CP'!$P:$P,'PR Grupo'!AE$3,'Plan CP'!$M:$M,1)=1,1,IF(IFERROR(VLOOKUP('PR Grupo'!AE$3&amp;'PR Grupo'!$G15,'Plan CP'!$K:$P,3,FALSE)&gt;1,0),IFERROR(VLOOKUP('PR Grupo'!AE$3&amp;'PR Grupo'!$G15,'Plan CP'!$K:$P,3,FALSE),0),0)))</f>
        <v>0</v>
      </c>
      <c r="AF15" s="58">
        <f>IF(AE15&gt;1,AE15-1,IF(COUNTIFS('Plan CP'!$O:$O,'PR Grupo'!$G15,'Plan CP'!$P:$P,'PR Grupo'!AF$3,'Plan CP'!$M:$M,1)=1,1,IF(IFERROR(VLOOKUP('PR Grupo'!AF$3&amp;'PR Grupo'!$G15,'Plan CP'!$K:$P,3,FALSE)&gt;1,0),IFERROR(VLOOKUP('PR Grupo'!AF$3&amp;'PR Grupo'!$G15,'Plan CP'!$K:$P,3,FALSE),0),0)))</f>
        <v>0</v>
      </c>
      <c r="AG15" s="58">
        <f>IF(AF15&gt;1,AF15-1,IF(COUNTIFS('Plan CP'!$O:$O,'PR Grupo'!$G15,'Plan CP'!$P:$P,'PR Grupo'!AG$3,'Plan CP'!$M:$M,1)=1,1,IF(IFERROR(VLOOKUP('PR Grupo'!AG$3&amp;'PR Grupo'!$G15,'Plan CP'!$K:$P,3,FALSE)&gt;1,0),IFERROR(VLOOKUP('PR Grupo'!AG$3&amp;'PR Grupo'!$G15,'Plan CP'!$K:$P,3,FALSE),0),0)))</f>
        <v>0</v>
      </c>
      <c r="AH15" s="58">
        <f>IF(AG15&gt;1,AG15-1,IF(COUNTIFS('Plan CP'!$O:$O,'PR Grupo'!$G15,'Plan CP'!$P:$P,'PR Grupo'!AH$3,'Plan CP'!$M:$M,1)=1,1,IF(IFERROR(VLOOKUP('PR Grupo'!AH$3&amp;'PR Grupo'!$G15,'Plan CP'!$K:$P,3,FALSE)&gt;1,0),IFERROR(VLOOKUP('PR Grupo'!AH$3&amp;'PR Grupo'!$G15,'Plan CP'!$K:$P,3,FALSE),0),0)))</f>
        <v>0</v>
      </c>
      <c r="AI15" s="58">
        <f>IF(AH15&gt;1,AH15-1,IF(COUNTIFS('Plan CP'!$O:$O,'PR Grupo'!$G15,'Plan CP'!$P:$P,'PR Grupo'!AI$3,'Plan CP'!$M:$M,1)=1,1,IF(IFERROR(VLOOKUP('PR Grupo'!AI$3&amp;'PR Grupo'!$G15,'Plan CP'!$K:$P,3,FALSE)&gt;1,0),IFERROR(VLOOKUP('PR Grupo'!AI$3&amp;'PR Grupo'!$G15,'Plan CP'!$K:$P,3,FALSE),0),0)))</f>
        <v>0</v>
      </c>
      <c r="AJ15" s="58">
        <f>IF(AI15&gt;1,AI15-1,IF(COUNTIFS('Plan CP'!$O:$O,'PR Grupo'!$G15,'Plan CP'!$P:$P,'PR Grupo'!AJ$3,'Plan CP'!$M:$M,1)=1,1,IF(IFERROR(VLOOKUP('PR Grupo'!AJ$3&amp;'PR Grupo'!$G15,'Plan CP'!$K:$P,3,FALSE)&gt;1,0),IFERROR(VLOOKUP('PR Grupo'!AJ$3&amp;'PR Grupo'!$G15,'Plan CP'!$K:$P,3,FALSE),0),0)))</f>
        <v>0</v>
      </c>
      <c r="AK15" s="58">
        <f>IF(AJ15&gt;1,AJ15-1,IF(COUNTIFS('Plan CP'!$O:$O,'PR Grupo'!$G15,'Plan CP'!$P:$P,'PR Grupo'!AK$3,'Plan CP'!$M:$M,1)=1,1,IF(IFERROR(VLOOKUP('PR Grupo'!AK$3&amp;'PR Grupo'!$G15,'Plan CP'!$K:$P,3,FALSE)&gt;1,0),IFERROR(VLOOKUP('PR Grupo'!AK$3&amp;'PR Grupo'!$G15,'Plan CP'!$K:$P,3,FALSE),0),0)))</f>
        <v>0</v>
      </c>
      <c r="AL15" s="58">
        <f>IF(AK15&gt;1,AK15-1,IF(COUNTIFS('Plan CP'!$O:$O,'PR Grupo'!$G15,'Plan CP'!$P:$P,'PR Grupo'!AL$3,'Plan CP'!$M:$M,1)=1,1,IF(IFERROR(VLOOKUP('PR Grupo'!AL$3&amp;'PR Grupo'!$G15,'Plan CP'!$K:$P,3,FALSE)&gt;1,0),IFERROR(VLOOKUP('PR Grupo'!AL$3&amp;'PR Grupo'!$G15,'Plan CP'!$K:$P,3,FALSE),0),0)))</f>
        <v>0</v>
      </c>
      <c r="AM15" s="58">
        <f>IF(AL15&gt;1,AL15-1,IF(COUNTIFS('Plan CP'!$O:$O,'PR Grupo'!$G15,'Plan CP'!$P:$P,'PR Grupo'!AM$3,'Plan CP'!$M:$M,1)=1,1,IF(IFERROR(VLOOKUP('PR Grupo'!AM$3&amp;'PR Grupo'!$G15,'Plan CP'!$K:$P,3,FALSE)&gt;1,0),IFERROR(VLOOKUP('PR Grupo'!AM$3&amp;'PR Grupo'!$G15,'Plan CP'!$K:$P,3,FALSE),0),0)))</f>
        <v>0</v>
      </c>
      <c r="AN15" s="58">
        <f>IF(AM15&gt;1,AM15-1,IF(COUNTIFS('Plan CP'!$O:$O,'PR Grupo'!$G15,'Plan CP'!$P:$P,'PR Grupo'!AN$3,'Plan CP'!$M:$M,1)=1,1,IF(IFERROR(VLOOKUP('PR Grupo'!AN$3&amp;'PR Grupo'!$G15,'Plan CP'!$K:$P,3,FALSE)&gt;1,0),IFERROR(VLOOKUP('PR Grupo'!AN$3&amp;'PR Grupo'!$G15,'Plan CP'!$K:$P,3,FALSE),0),0)))</f>
        <v>0</v>
      </c>
      <c r="AO15" s="58">
        <f>IF(AN15&gt;1,AN15-1,IF(COUNTIFS('Plan CP'!$O:$O,'PR Grupo'!$G15,'Plan CP'!$P:$P,'PR Grupo'!AO$3,'Plan CP'!$M:$M,1)=1,1,IF(IFERROR(VLOOKUP('PR Grupo'!AO$3&amp;'PR Grupo'!$G15,'Plan CP'!$K:$P,3,FALSE)&gt;1,0),IFERROR(VLOOKUP('PR Grupo'!AO$3&amp;'PR Grupo'!$G15,'Plan CP'!$K:$P,3,FALSE),0),0)))</f>
        <v>0</v>
      </c>
    </row>
    <row r="16" spans="1:41">
      <c r="A16" s="21" t="s">
        <v>33</v>
      </c>
      <c r="B16" s="21" t="s">
        <v>37</v>
      </c>
      <c r="C16" s="21" t="s">
        <v>208</v>
      </c>
      <c r="D16" s="21" t="s">
        <v>269</v>
      </c>
      <c r="E16" s="24" t="s">
        <v>174</v>
      </c>
      <c r="F16" s="21" t="s">
        <v>269</v>
      </c>
      <c r="G16" s="33" t="s">
        <v>171</v>
      </c>
      <c r="H16" s="24">
        <v>25</v>
      </c>
      <c r="I16" s="33">
        <f t="shared" si="2"/>
        <v>18</v>
      </c>
      <c r="J16" s="33" t="str">
        <f t="shared" si="3"/>
        <v>NO OK</v>
      </c>
      <c r="K16" s="58">
        <f>IF(COUNTIFS('Plan CP'!$O:$O,'PR Grupo'!$G16,'Plan CP'!$P:$P,'PR Grupo'!K$3,'Plan CP'!$M:$M,1)=1,1,IF(IFERROR(VLOOKUP('PR Grupo'!K$3&amp;'PR Grupo'!$G16,'Plan CP'!$K:$P,3,FALSE)&gt;1,0),IFERROR(VLOOKUP('PR Grupo'!K$3&amp;'PR Grupo'!$G16,'Plan CP'!$K:$P,3,FALSE),0),0))</f>
        <v>2</v>
      </c>
      <c r="L16" s="58">
        <f>IF(K16&gt;1,K16-1,IF(COUNTIFS('Plan CP'!$O:$O,'PR Grupo'!$G16,'Plan CP'!$P:$P,'PR Grupo'!L$3,'Plan CP'!$M:$M,1)=1,1,IF(IFERROR(VLOOKUP('PR Grupo'!L$3&amp;'PR Grupo'!$G16,'Plan CP'!$K:$P,3,FALSE)&gt;1,0),IFERROR(VLOOKUP('PR Grupo'!L$3&amp;'PR Grupo'!$G16,'Plan CP'!$K:$P,3,FALSE),0),0)))</f>
        <v>1</v>
      </c>
      <c r="M16" s="58">
        <f>IF(L16&gt;1,L16-1,IF(COUNTIFS('Plan CP'!$O:$O,'PR Grupo'!$G16,'Plan CP'!$P:$P,'PR Grupo'!M$3,'Plan CP'!$M:$M,1)=1,1,IF(IFERROR(VLOOKUP('PR Grupo'!M$3&amp;'PR Grupo'!$G16,'Plan CP'!$K:$P,3,FALSE)&gt;1,0),IFERROR(VLOOKUP('PR Grupo'!M$3&amp;'PR Grupo'!$G16,'Plan CP'!$K:$P,3,FALSE),0),0)))</f>
        <v>0</v>
      </c>
      <c r="N16" s="58">
        <f>IF(M16&gt;1,M16-1,IF(COUNTIFS('Plan CP'!$O:$O,'PR Grupo'!$G16,'Plan CP'!$P:$P,'PR Grupo'!N$3,'Plan CP'!$M:$M,1)=1,1,IF(IFERROR(VLOOKUP('PR Grupo'!N$3&amp;'PR Grupo'!$G16,'Plan CP'!$K:$P,3,FALSE)&gt;1,0),IFERROR(VLOOKUP('PR Grupo'!N$3&amp;'PR Grupo'!$G16,'Plan CP'!$K:$P,3,FALSE),0),0)))</f>
        <v>1</v>
      </c>
      <c r="O16" s="58">
        <f>IF(N16&gt;1,N16-1,IF(COUNTIFS('Plan CP'!$O:$O,'PR Grupo'!$G16,'Plan CP'!$P:$P,'PR Grupo'!O$3,'Plan CP'!$M:$M,1)=1,1,IF(IFERROR(VLOOKUP('PR Grupo'!O$3&amp;'PR Grupo'!$G16,'Plan CP'!$K:$P,3,FALSE)&gt;1,0),IFERROR(VLOOKUP('PR Grupo'!O$3&amp;'PR Grupo'!$G16,'Plan CP'!$K:$P,3,FALSE),0),0)))</f>
        <v>1</v>
      </c>
      <c r="P16" s="58">
        <f>IF(O16&gt;1,O16-1,IF(COUNTIFS('Plan CP'!$O:$O,'PR Grupo'!$G16,'Plan CP'!$P:$P,'PR Grupo'!P$3,'Plan CP'!$M:$M,1)=1,1,IF(IFERROR(VLOOKUP('PR Grupo'!P$3&amp;'PR Grupo'!$G16,'Plan CP'!$K:$P,3,FALSE)&gt;1,0),IFERROR(VLOOKUP('PR Grupo'!P$3&amp;'PR Grupo'!$G16,'Plan CP'!$K:$P,3,FALSE),0),0)))</f>
        <v>1</v>
      </c>
      <c r="Q16" s="58">
        <f>IF(P16&gt;1,P16-1,IF(COUNTIFS('Plan CP'!$O:$O,'PR Grupo'!$G16,'Plan CP'!$P:$P,'PR Grupo'!Q$3,'Plan CP'!$M:$M,1)=1,1,IF(IFERROR(VLOOKUP('PR Grupo'!Q$3&amp;'PR Grupo'!$G16,'Plan CP'!$K:$P,3,FALSE)&gt;1,0),IFERROR(VLOOKUP('PR Grupo'!Q$3&amp;'PR Grupo'!$G16,'Plan CP'!$K:$P,3,FALSE),0),0)))</f>
        <v>1</v>
      </c>
      <c r="R16" s="58">
        <f>IF(Q16&gt;1,Q16-1,IF(COUNTIFS('Plan CP'!$O:$O,'PR Grupo'!$G16,'Plan CP'!$P:$P,'PR Grupo'!R$3,'Plan CP'!$M:$M,1)=1,1,IF(IFERROR(VLOOKUP('PR Grupo'!R$3&amp;'PR Grupo'!$G16,'Plan CP'!$K:$P,3,FALSE)&gt;1,0),IFERROR(VLOOKUP('PR Grupo'!R$3&amp;'PR Grupo'!$G16,'Plan CP'!$K:$P,3,FALSE),0),0)))</f>
        <v>1</v>
      </c>
      <c r="S16" s="58">
        <f>IF(R16&gt;1,R16-1,IF(COUNTIFS('Plan CP'!$O:$O,'PR Grupo'!$G16,'Plan CP'!$P:$P,'PR Grupo'!S$3,'Plan CP'!$M:$M,1)=1,1,IF(IFERROR(VLOOKUP('PR Grupo'!S$3&amp;'PR Grupo'!$G16,'Plan CP'!$K:$P,3,FALSE)&gt;1,0),IFERROR(VLOOKUP('PR Grupo'!S$3&amp;'PR Grupo'!$G16,'Plan CP'!$K:$P,3,FALSE),0),0)))</f>
        <v>1</v>
      </c>
      <c r="T16" s="58">
        <f>IF(S16&gt;1,S16-1,IF(COUNTIFS('Plan CP'!$O:$O,'PR Grupo'!$G16,'Plan CP'!$P:$P,'PR Grupo'!T$3,'Plan CP'!$M:$M,1)=1,1,IF(IFERROR(VLOOKUP('PR Grupo'!T$3&amp;'PR Grupo'!$G16,'Plan CP'!$K:$P,3,FALSE)&gt;1,0),IFERROR(VLOOKUP('PR Grupo'!T$3&amp;'PR Grupo'!$G16,'Plan CP'!$K:$P,3,FALSE),0),0)))</f>
        <v>1</v>
      </c>
      <c r="U16" s="58">
        <f>IF(T16&gt;1,T16-1,IF(COUNTIFS('Plan CP'!$O:$O,'PR Grupo'!$G16,'Plan CP'!$P:$P,'PR Grupo'!U$3,'Plan CP'!$M:$M,1)=1,1,IF(IFERROR(VLOOKUP('PR Grupo'!U$3&amp;'PR Grupo'!$G16,'Plan CP'!$K:$P,3,FALSE)&gt;1,0),IFERROR(VLOOKUP('PR Grupo'!U$3&amp;'PR Grupo'!$G16,'Plan CP'!$K:$P,3,FALSE),0),0)))</f>
        <v>1</v>
      </c>
      <c r="V16" s="58">
        <f>IF(U16&gt;1,U16-1,IF(COUNTIFS('Plan CP'!$O:$O,'PR Grupo'!$G16,'Plan CP'!$P:$P,'PR Grupo'!V$3,'Plan CP'!$M:$M,1)=1,1,IF(IFERROR(VLOOKUP('PR Grupo'!V$3&amp;'PR Grupo'!$G16,'Plan CP'!$K:$P,3,FALSE)&gt;1,0),IFERROR(VLOOKUP('PR Grupo'!V$3&amp;'PR Grupo'!$G16,'Plan CP'!$K:$P,3,FALSE),0),0)))</f>
        <v>1</v>
      </c>
      <c r="W16" s="58">
        <f>IF(V16&gt;1,V16-1,IF(COUNTIFS('Plan CP'!$O:$O,'PR Grupo'!$G16,'Plan CP'!$P:$P,'PR Grupo'!W$3,'Plan CP'!$M:$M,1)=1,1,IF(IFERROR(VLOOKUP('PR Grupo'!W$3&amp;'PR Grupo'!$G16,'Plan CP'!$K:$P,3,FALSE)&gt;1,0),IFERROR(VLOOKUP('PR Grupo'!W$3&amp;'PR Grupo'!$G16,'Plan CP'!$K:$P,3,FALSE),0),0)))</f>
        <v>1</v>
      </c>
      <c r="X16" s="58">
        <f>IF(W16&gt;1,W16-1,IF(COUNTIFS('Plan CP'!$O:$O,'PR Grupo'!$G16,'Plan CP'!$P:$P,'PR Grupo'!X$3,'Plan CP'!$M:$M,1)=1,1,IF(IFERROR(VLOOKUP('PR Grupo'!X$3&amp;'PR Grupo'!$G16,'Plan CP'!$K:$P,3,FALSE)&gt;1,0),IFERROR(VLOOKUP('PR Grupo'!X$3&amp;'PR Grupo'!$G16,'Plan CP'!$K:$P,3,FALSE),0),0)))</f>
        <v>1</v>
      </c>
      <c r="Y16" s="58">
        <f>IF(X16&gt;1,X16-1,IF(COUNTIFS('Plan CP'!$O:$O,'PR Grupo'!$G16,'Plan CP'!$P:$P,'PR Grupo'!Y$3,'Plan CP'!$M:$M,1)=1,1,IF(IFERROR(VLOOKUP('PR Grupo'!Y$3&amp;'PR Grupo'!$G16,'Plan CP'!$K:$P,3,FALSE)&gt;1,0),IFERROR(VLOOKUP('PR Grupo'!Y$3&amp;'PR Grupo'!$G16,'Plan CP'!$K:$P,3,FALSE),0),0)))</f>
        <v>1</v>
      </c>
      <c r="Z16" s="58">
        <f>IF(Y16&gt;1,Y16-1,IF(COUNTIFS('Plan CP'!$O:$O,'PR Grupo'!$G16,'Plan CP'!$P:$P,'PR Grupo'!Z$3,'Plan CP'!$M:$M,1)=1,1,IF(IFERROR(VLOOKUP('PR Grupo'!Z$3&amp;'PR Grupo'!$G16,'Plan CP'!$K:$P,3,FALSE)&gt;1,0),IFERROR(VLOOKUP('PR Grupo'!Z$3&amp;'PR Grupo'!$G16,'Plan CP'!$K:$P,3,FALSE),0),0)))</f>
        <v>1</v>
      </c>
      <c r="AA16" s="58">
        <f>IF(Z16&gt;1,Z16-1,IF(COUNTIFS('Plan CP'!$O:$O,'PR Grupo'!$G16,'Plan CP'!$P:$P,'PR Grupo'!AA$3,'Plan CP'!$M:$M,1)=1,1,IF(IFERROR(VLOOKUP('PR Grupo'!AA$3&amp;'PR Grupo'!$G16,'Plan CP'!$K:$P,3,FALSE)&gt;1,0),IFERROR(VLOOKUP('PR Grupo'!AA$3&amp;'PR Grupo'!$G16,'Plan CP'!$K:$P,3,FALSE),0),0)))</f>
        <v>1</v>
      </c>
      <c r="AB16" s="58">
        <f>IF(AA16&gt;1,AA16-1,IF(COUNTIFS('Plan CP'!$O:$O,'PR Grupo'!$G16,'Plan CP'!$P:$P,'PR Grupo'!AB$3,'Plan CP'!$M:$M,1)=1,1,IF(IFERROR(VLOOKUP('PR Grupo'!AB$3&amp;'PR Grupo'!$G16,'Plan CP'!$K:$P,3,FALSE)&gt;1,0),IFERROR(VLOOKUP('PR Grupo'!AB$3&amp;'PR Grupo'!$G16,'Plan CP'!$K:$P,3,FALSE),0),0)))</f>
        <v>1</v>
      </c>
      <c r="AC16" s="58">
        <f>IF(AB16&gt;1,AB16-1,IF(COUNTIFS('Plan CP'!$O:$O,'PR Grupo'!$G16,'Plan CP'!$P:$P,'PR Grupo'!AC$3,'Plan CP'!$M:$M,1)=1,1,IF(IFERROR(VLOOKUP('PR Grupo'!AC$3&amp;'PR Grupo'!$G16,'Plan CP'!$K:$P,3,FALSE)&gt;1,0),IFERROR(VLOOKUP('PR Grupo'!AC$3&amp;'PR Grupo'!$G16,'Plan CP'!$K:$P,3,FALSE),0),0)))</f>
        <v>1</v>
      </c>
      <c r="AD16" s="58">
        <f>IF(AC16&gt;1,AC16-1,IF(COUNTIFS('Plan CP'!$O:$O,'PR Grupo'!$G16,'Plan CP'!$P:$P,'PR Grupo'!AD$3,'Plan CP'!$M:$M,1)=1,1,IF(IFERROR(VLOOKUP('PR Grupo'!AD$3&amp;'PR Grupo'!$G16,'Plan CP'!$K:$P,3,FALSE)&gt;1,0),IFERROR(VLOOKUP('PR Grupo'!AD$3&amp;'PR Grupo'!$G16,'Plan CP'!$K:$P,3,FALSE),0),0)))</f>
        <v>0</v>
      </c>
      <c r="AE16" s="58">
        <f>IF(AD16&gt;1,AD16-1,IF(COUNTIFS('Plan CP'!$O:$O,'PR Grupo'!$G16,'Plan CP'!$P:$P,'PR Grupo'!AE$3,'Plan CP'!$M:$M,1)=1,1,IF(IFERROR(VLOOKUP('PR Grupo'!AE$3&amp;'PR Grupo'!$G16,'Plan CP'!$K:$P,3,FALSE)&gt;1,0),IFERROR(VLOOKUP('PR Grupo'!AE$3&amp;'PR Grupo'!$G16,'Plan CP'!$K:$P,3,FALSE),0),0)))</f>
        <v>0</v>
      </c>
      <c r="AF16" s="58">
        <f>IF(AE16&gt;1,AE16-1,IF(COUNTIFS('Plan CP'!$O:$O,'PR Grupo'!$G16,'Plan CP'!$P:$P,'PR Grupo'!AF$3,'Plan CP'!$M:$M,1)=1,1,IF(IFERROR(VLOOKUP('PR Grupo'!AF$3&amp;'PR Grupo'!$G16,'Plan CP'!$K:$P,3,FALSE)&gt;1,0),IFERROR(VLOOKUP('PR Grupo'!AF$3&amp;'PR Grupo'!$G16,'Plan CP'!$K:$P,3,FALSE),0),0)))</f>
        <v>0</v>
      </c>
      <c r="AG16" s="58">
        <f>IF(AF16&gt;1,AF16-1,IF(COUNTIFS('Plan CP'!$O:$O,'PR Grupo'!$G16,'Plan CP'!$P:$P,'PR Grupo'!AG$3,'Plan CP'!$M:$M,1)=1,1,IF(IFERROR(VLOOKUP('PR Grupo'!AG$3&amp;'PR Grupo'!$G16,'Plan CP'!$K:$P,3,FALSE)&gt;1,0),IFERROR(VLOOKUP('PR Grupo'!AG$3&amp;'PR Grupo'!$G16,'Plan CP'!$K:$P,3,FALSE),0),0)))</f>
        <v>0</v>
      </c>
      <c r="AH16" s="58">
        <f>IF(AG16&gt;1,AG16-1,IF(COUNTIFS('Plan CP'!$O:$O,'PR Grupo'!$G16,'Plan CP'!$P:$P,'PR Grupo'!AH$3,'Plan CP'!$M:$M,1)=1,1,IF(IFERROR(VLOOKUP('PR Grupo'!AH$3&amp;'PR Grupo'!$G16,'Plan CP'!$K:$P,3,FALSE)&gt;1,0),IFERROR(VLOOKUP('PR Grupo'!AH$3&amp;'PR Grupo'!$G16,'Plan CP'!$K:$P,3,FALSE),0),0)))</f>
        <v>0</v>
      </c>
      <c r="AI16" s="58">
        <f>IF(AH16&gt;1,AH16-1,IF(COUNTIFS('Plan CP'!$O:$O,'PR Grupo'!$G16,'Plan CP'!$P:$P,'PR Grupo'!AI$3,'Plan CP'!$M:$M,1)=1,1,IF(IFERROR(VLOOKUP('PR Grupo'!AI$3&amp;'PR Grupo'!$G16,'Plan CP'!$K:$P,3,FALSE)&gt;1,0),IFERROR(VLOOKUP('PR Grupo'!AI$3&amp;'PR Grupo'!$G16,'Plan CP'!$K:$P,3,FALSE),0),0)))</f>
        <v>0</v>
      </c>
      <c r="AJ16" s="58">
        <f>IF(AI16&gt;1,AI16-1,IF(COUNTIFS('Plan CP'!$O:$O,'PR Grupo'!$G16,'Plan CP'!$P:$P,'PR Grupo'!AJ$3,'Plan CP'!$M:$M,1)=1,1,IF(IFERROR(VLOOKUP('PR Grupo'!AJ$3&amp;'PR Grupo'!$G16,'Plan CP'!$K:$P,3,FALSE)&gt;1,0),IFERROR(VLOOKUP('PR Grupo'!AJ$3&amp;'PR Grupo'!$G16,'Plan CP'!$K:$P,3,FALSE),0),0)))</f>
        <v>0</v>
      </c>
      <c r="AK16" s="58">
        <f>IF(AJ16&gt;1,AJ16-1,IF(COUNTIFS('Plan CP'!$O:$O,'PR Grupo'!$G16,'Plan CP'!$P:$P,'PR Grupo'!AK$3,'Plan CP'!$M:$M,1)=1,1,IF(IFERROR(VLOOKUP('PR Grupo'!AK$3&amp;'PR Grupo'!$G16,'Plan CP'!$K:$P,3,FALSE)&gt;1,0),IFERROR(VLOOKUP('PR Grupo'!AK$3&amp;'PR Grupo'!$G16,'Plan CP'!$K:$P,3,FALSE),0),0)))</f>
        <v>0</v>
      </c>
      <c r="AL16" s="58">
        <f>IF(AK16&gt;1,AK16-1,IF(COUNTIFS('Plan CP'!$O:$O,'PR Grupo'!$G16,'Plan CP'!$P:$P,'PR Grupo'!AL$3,'Plan CP'!$M:$M,1)=1,1,IF(IFERROR(VLOOKUP('PR Grupo'!AL$3&amp;'PR Grupo'!$G16,'Plan CP'!$K:$P,3,FALSE)&gt;1,0),IFERROR(VLOOKUP('PR Grupo'!AL$3&amp;'PR Grupo'!$G16,'Plan CP'!$K:$P,3,FALSE),0),0)))</f>
        <v>0</v>
      </c>
      <c r="AM16" s="58">
        <f>IF(AL16&gt;1,AL16-1,IF(COUNTIFS('Plan CP'!$O:$O,'PR Grupo'!$G16,'Plan CP'!$P:$P,'PR Grupo'!AM$3,'Plan CP'!$M:$M,1)=1,1,IF(IFERROR(VLOOKUP('PR Grupo'!AM$3&amp;'PR Grupo'!$G16,'Plan CP'!$K:$P,3,FALSE)&gt;1,0),IFERROR(VLOOKUP('PR Grupo'!AM$3&amp;'PR Grupo'!$G16,'Plan CP'!$K:$P,3,FALSE),0),0)))</f>
        <v>0</v>
      </c>
      <c r="AN16" s="58">
        <f>IF(AM16&gt;1,AM16-1,IF(COUNTIFS('Plan CP'!$O:$O,'PR Grupo'!$G16,'Plan CP'!$P:$P,'PR Grupo'!AN$3,'Plan CP'!$M:$M,1)=1,1,IF(IFERROR(VLOOKUP('PR Grupo'!AN$3&amp;'PR Grupo'!$G16,'Plan CP'!$K:$P,3,FALSE)&gt;1,0),IFERROR(VLOOKUP('PR Grupo'!AN$3&amp;'PR Grupo'!$G16,'Plan CP'!$K:$P,3,FALSE),0),0)))</f>
        <v>0</v>
      </c>
      <c r="AO16" s="58">
        <f>IF(AN16&gt;1,AN16-1,IF(COUNTIFS('Plan CP'!$O:$O,'PR Grupo'!$G16,'Plan CP'!$P:$P,'PR Grupo'!AO$3,'Plan CP'!$M:$M,1)=1,1,IF(IFERROR(VLOOKUP('PR Grupo'!AO$3&amp;'PR Grupo'!$G16,'Plan CP'!$K:$P,3,FALSE)&gt;1,0),IFERROR(VLOOKUP('PR Grupo'!AO$3&amp;'PR Grupo'!$G16,'Plan CP'!$K:$P,3,FALSE),0),0)))</f>
        <v>0</v>
      </c>
    </row>
    <row r="17" spans="1:41">
      <c r="A17" s="21" t="s">
        <v>33</v>
      </c>
      <c r="B17" s="21" t="s">
        <v>51</v>
      </c>
      <c r="C17" s="21" t="s">
        <v>209</v>
      </c>
      <c r="D17" s="21" t="s">
        <v>273</v>
      </c>
      <c r="E17" s="24" t="s">
        <v>174</v>
      </c>
      <c r="F17" s="21" t="s">
        <v>273</v>
      </c>
      <c r="G17" s="33" t="s">
        <v>171</v>
      </c>
      <c r="H17" s="24">
        <v>25</v>
      </c>
      <c r="I17" s="33">
        <f t="shared" si="2"/>
        <v>18</v>
      </c>
      <c r="J17" s="33" t="str">
        <f t="shared" si="3"/>
        <v>NO OK</v>
      </c>
      <c r="K17" s="58">
        <f>IF(COUNTIFS('Plan CP'!$O:$O,'PR Grupo'!$G17,'Plan CP'!$P:$P,'PR Grupo'!K$3,'Plan CP'!$M:$M,1)=1,1,IF(IFERROR(VLOOKUP('PR Grupo'!K$3&amp;'PR Grupo'!$G17,'Plan CP'!$K:$P,3,FALSE)&gt;1,0),IFERROR(VLOOKUP('PR Grupo'!K$3&amp;'PR Grupo'!$G17,'Plan CP'!$K:$P,3,FALSE),0),0))</f>
        <v>2</v>
      </c>
      <c r="L17" s="58">
        <f>IF(K17&gt;1,K17-1,IF(COUNTIFS('Plan CP'!$O:$O,'PR Grupo'!$G17,'Plan CP'!$P:$P,'PR Grupo'!L$3,'Plan CP'!$M:$M,1)=1,1,IF(IFERROR(VLOOKUP('PR Grupo'!L$3&amp;'PR Grupo'!$G17,'Plan CP'!$K:$P,3,FALSE)&gt;1,0),IFERROR(VLOOKUP('PR Grupo'!L$3&amp;'PR Grupo'!$G17,'Plan CP'!$K:$P,3,FALSE),0),0)))</f>
        <v>1</v>
      </c>
      <c r="M17" s="58">
        <f>IF(L17&gt;1,L17-1,IF(COUNTIFS('Plan CP'!$O:$O,'PR Grupo'!$G17,'Plan CP'!$P:$P,'PR Grupo'!M$3,'Plan CP'!$M:$M,1)=1,1,IF(IFERROR(VLOOKUP('PR Grupo'!M$3&amp;'PR Grupo'!$G17,'Plan CP'!$K:$P,3,FALSE)&gt;1,0),IFERROR(VLOOKUP('PR Grupo'!M$3&amp;'PR Grupo'!$G17,'Plan CP'!$K:$P,3,FALSE),0),0)))</f>
        <v>0</v>
      </c>
      <c r="N17" s="58">
        <f>IF(M17&gt;1,M17-1,IF(COUNTIFS('Plan CP'!$O:$O,'PR Grupo'!$G17,'Plan CP'!$P:$P,'PR Grupo'!N$3,'Plan CP'!$M:$M,1)=1,1,IF(IFERROR(VLOOKUP('PR Grupo'!N$3&amp;'PR Grupo'!$G17,'Plan CP'!$K:$P,3,FALSE)&gt;1,0),IFERROR(VLOOKUP('PR Grupo'!N$3&amp;'PR Grupo'!$G17,'Plan CP'!$K:$P,3,FALSE),0),0)))</f>
        <v>1</v>
      </c>
      <c r="O17" s="58">
        <f>IF(N17&gt;1,N17-1,IF(COUNTIFS('Plan CP'!$O:$O,'PR Grupo'!$G17,'Plan CP'!$P:$P,'PR Grupo'!O$3,'Plan CP'!$M:$M,1)=1,1,IF(IFERROR(VLOOKUP('PR Grupo'!O$3&amp;'PR Grupo'!$G17,'Plan CP'!$K:$P,3,FALSE)&gt;1,0),IFERROR(VLOOKUP('PR Grupo'!O$3&amp;'PR Grupo'!$G17,'Plan CP'!$K:$P,3,FALSE),0),0)))</f>
        <v>1</v>
      </c>
      <c r="P17" s="58">
        <f>IF(O17&gt;1,O17-1,IF(COUNTIFS('Plan CP'!$O:$O,'PR Grupo'!$G17,'Plan CP'!$P:$P,'PR Grupo'!P$3,'Plan CP'!$M:$M,1)=1,1,IF(IFERROR(VLOOKUP('PR Grupo'!P$3&amp;'PR Grupo'!$G17,'Plan CP'!$K:$P,3,FALSE)&gt;1,0),IFERROR(VLOOKUP('PR Grupo'!P$3&amp;'PR Grupo'!$G17,'Plan CP'!$K:$P,3,FALSE),0),0)))</f>
        <v>1</v>
      </c>
      <c r="Q17" s="58">
        <f>IF(P17&gt;1,P17-1,IF(COUNTIFS('Plan CP'!$O:$O,'PR Grupo'!$G17,'Plan CP'!$P:$P,'PR Grupo'!Q$3,'Plan CP'!$M:$M,1)=1,1,IF(IFERROR(VLOOKUP('PR Grupo'!Q$3&amp;'PR Grupo'!$G17,'Plan CP'!$K:$P,3,FALSE)&gt;1,0),IFERROR(VLOOKUP('PR Grupo'!Q$3&amp;'PR Grupo'!$G17,'Plan CP'!$K:$P,3,FALSE),0),0)))</f>
        <v>1</v>
      </c>
      <c r="R17" s="58">
        <f>IF(Q17&gt;1,Q17-1,IF(COUNTIFS('Plan CP'!$O:$O,'PR Grupo'!$G17,'Plan CP'!$P:$P,'PR Grupo'!R$3,'Plan CP'!$M:$M,1)=1,1,IF(IFERROR(VLOOKUP('PR Grupo'!R$3&amp;'PR Grupo'!$G17,'Plan CP'!$K:$P,3,FALSE)&gt;1,0),IFERROR(VLOOKUP('PR Grupo'!R$3&amp;'PR Grupo'!$G17,'Plan CP'!$K:$P,3,FALSE),0),0)))</f>
        <v>1</v>
      </c>
      <c r="S17" s="58">
        <f>IF(R17&gt;1,R17-1,IF(COUNTIFS('Plan CP'!$O:$O,'PR Grupo'!$G17,'Plan CP'!$P:$P,'PR Grupo'!S$3,'Plan CP'!$M:$M,1)=1,1,IF(IFERROR(VLOOKUP('PR Grupo'!S$3&amp;'PR Grupo'!$G17,'Plan CP'!$K:$P,3,FALSE)&gt;1,0),IFERROR(VLOOKUP('PR Grupo'!S$3&amp;'PR Grupo'!$G17,'Plan CP'!$K:$P,3,FALSE),0),0)))</f>
        <v>1</v>
      </c>
      <c r="T17" s="58">
        <f>IF(S17&gt;1,S17-1,IF(COUNTIFS('Plan CP'!$O:$O,'PR Grupo'!$G17,'Plan CP'!$P:$P,'PR Grupo'!T$3,'Plan CP'!$M:$M,1)=1,1,IF(IFERROR(VLOOKUP('PR Grupo'!T$3&amp;'PR Grupo'!$G17,'Plan CP'!$K:$P,3,FALSE)&gt;1,0),IFERROR(VLOOKUP('PR Grupo'!T$3&amp;'PR Grupo'!$G17,'Plan CP'!$K:$P,3,FALSE),0),0)))</f>
        <v>1</v>
      </c>
      <c r="U17" s="58">
        <f>IF(T17&gt;1,T17-1,IF(COUNTIFS('Plan CP'!$O:$O,'PR Grupo'!$G17,'Plan CP'!$P:$P,'PR Grupo'!U$3,'Plan CP'!$M:$M,1)=1,1,IF(IFERROR(VLOOKUP('PR Grupo'!U$3&amp;'PR Grupo'!$G17,'Plan CP'!$K:$P,3,FALSE)&gt;1,0),IFERROR(VLOOKUP('PR Grupo'!U$3&amp;'PR Grupo'!$G17,'Plan CP'!$K:$P,3,FALSE),0),0)))</f>
        <v>1</v>
      </c>
      <c r="V17" s="58">
        <f>IF(U17&gt;1,U17-1,IF(COUNTIFS('Plan CP'!$O:$O,'PR Grupo'!$G17,'Plan CP'!$P:$P,'PR Grupo'!V$3,'Plan CP'!$M:$M,1)=1,1,IF(IFERROR(VLOOKUP('PR Grupo'!V$3&amp;'PR Grupo'!$G17,'Plan CP'!$K:$P,3,FALSE)&gt;1,0),IFERROR(VLOOKUP('PR Grupo'!V$3&amp;'PR Grupo'!$G17,'Plan CP'!$K:$P,3,FALSE),0),0)))</f>
        <v>1</v>
      </c>
      <c r="W17" s="58">
        <f>IF(V17&gt;1,V17-1,IF(COUNTIFS('Plan CP'!$O:$O,'PR Grupo'!$G17,'Plan CP'!$P:$P,'PR Grupo'!W$3,'Plan CP'!$M:$M,1)=1,1,IF(IFERROR(VLOOKUP('PR Grupo'!W$3&amp;'PR Grupo'!$G17,'Plan CP'!$K:$P,3,FALSE)&gt;1,0),IFERROR(VLOOKUP('PR Grupo'!W$3&amp;'PR Grupo'!$G17,'Plan CP'!$K:$P,3,FALSE),0),0)))</f>
        <v>1</v>
      </c>
      <c r="X17" s="58">
        <f>IF(W17&gt;1,W17-1,IF(COUNTIFS('Plan CP'!$O:$O,'PR Grupo'!$G17,'Plan CP'!$P:$P,'PR Grupo'!X$3,'Plan CP'!$M:$M,1)=1,1,IF(IFERROR(VLOOKUP('PR Grupo'!X$3&amp;'PR Grupo'!$G17,'Plan CP'!$K:$P,3,FALSE)&gt;1,0),IFERROR(VLOOKUP('PR Grupo'!X$3&amp;'PR Grupo'!$G17,'Plan CP'!$K:$P,3,FALSE),0),0)))</f>
        <v>1</v>
      </c>
      <c r="Y17" s="58">
        <f>IF(X17&gt;1,X17-1,IF(COUNTIFS('Plan CP'!$O:$O,'PR Grupo'!$G17,'Plan CP'!$P:$P,'PR Grupo'!Y$3,'Plan CP'!$M:$M,1)=1,1,IF(IFERROR(VLOOKUP('PR Grupo'!Y$3&amp;'PR Grupo'!$G17,'Plan CP'!$K:$P,3,FALSE)&gt;1,0),IFERROR(VLOOKUP('PR Grupo'!Y$3&amp;'PR Grupo'!$G17,'Plan CP'!$K:$P,3,FALSE),0),0)))</f>
        <v>1</v>
      </c>
      <c r="Z17" s="58">
        <f>IF(Y17&gt;1,Y17-1,IF(COUNTIFS('Plan CP'!$O:$O,'PR Grupo'!$G17,'Plan CP'!$P:$P,'PR Grupo'!Z$3,'Plan CP'!$M:$M,1)=1,1,IF(IFERROR(VLOOKUP('PR Grupo'!Z$3&amp;'PR Grupo'!$G17,'Plan CP'!$K:$P,3,FALSE)&gt;1,0),IFERROR(VLOOKUP('PR Grupo'!Z$3&amp;'PR Grupo'!$G17,'Plan CP'!$K:$P,3,FALSE),0),0)))</f>
        <v>1</v>
      </c>
      <c r="AA17" s="58">
        <f>IF(Z17&gt;1,Z17-1,IF(COUNTIFS('Plan CP'!$O:$O,'PR Grupo'!$G17,'Plan CP'!$P:$P,'PR Grupo'!AA$3,'Plan CP'!$M:$M,1)=1,1,IF(IFERROR(VLOOKUP('PR Grupo'!AA$3&amp;'PR Grupo'!$G17,'Plan CP'!$K:$P,3,FALSE)&gt;1,0),IFERROR(VLOOKUP('PR Grupo'!AA$3&amp;'PR Grupo'!$G17,'Plan CP'!$K:$P,3,FALSE),0),0)))</f>
        <v>1</v>
      </c>
      <c r="AB17" s="58">
        <f>IF(AA17&gt;1,AA17-1,IF(COUNTIFS('Plan CP'!$O:$O,'PR Grupo'!$G17,'Plan CP'!$P:$P,'PR Grupo'!AB$3,'Plan CP'!$M:$M,1)=1,1,IF(IFERROR(VLOOKUP('PR Grupo'!AB$3&amp;'PR Grupo'!$G17,'Plan CP'!$K:$P,3,FALSE)&gt;1,0),IFERROR(VLOOKUP('PR Grupo'!AB$3&amp;'PR Grupo'!$G17,'Plan CP'!$K:$P,3,FALSE),0),0)))</f>
        <v>1</v>
      </c>
      <c r="AC17" s="58">
        <f>IF(AB17&gt;1,AB17-1,IF(COUNTIFS('Plan CP'!$O:$O,'PR Grupo'!$G17,'Plan CP'!$P:$P,'PR Grupo'!AC$3,'Plan CP'!$M:$M,1)=1,1,IF(IFERROR(VLOOKUP('PR Grupo'!AC$3&amp;'PR Grupo'!$G17,'Plan CP'!$K:$P,3,FALSE)&gt;1,0),IFERROR(VLOOKUP('PR Grupo'!AC$3&amp;'PR Grupo'!$G17,'Plan CP'!$K:$P,3,FALSE),0),0)))</f>
        <v>1</v>
      </c>
      <c r="AD17" s="58">
        <f>IF(AC17&gt;1,AC17-1,IF(COUNTIFS('Plan CP'!$O:$O,'PR Grupo'!$G17,'Plan CP'!$P:$P,'PR Grupo'!AD$3,'Plan CP'!$M:$M,1)=1,1,IF(IFERROR(VLOOKUP('PR Grupo'!AD$3&amp;'PR Grupo'!$G17,'Plan CP'!$K:$P,3,FALSE)&gt;1,0),IFERROR(VLOOKUP('PR Grupo'!AD$3&amp;'PR Grupo'!$G17,'Plan CP'!$K:$P,3,FALSE),0),0)))</f>
        <v>0</v>
      </c>
      <c r="AE17" s="58">
        <f>IF(AD17&gt;1,AD17-1,IF(COUNTIFS('Plan CP'!$O:$O,'PR Grupo'!$G17,'Plan CP'!$P:$P,'PR Grupo'!AE$3,'Plan CP'!$M:$M,1)=1,1,IF(IFERROR(VLOOKUP('PR Grupo'!AE$3&amp;'PR Grupo'!$G17,'Plan CP'!$K:$P,3,FALSE)&gt;1,0),IFERROR(VLOOKUP('PR Grupo'!AE$3&amp;'PR Grupo'!$G17,'Plan CP'!$K:$P,3,FALSE),0),0)))</f>
        <v>0</v>
      </c>
      <c r="AF17" s="58">
        <f>IF(AE17&gt;1,AE17-1,IF(COUNTIFS('Plan CP'!$O:$O,'PR Grupo'!$G17,'Plan CP'!$P:$P,'PR Grupo'!AF$3,'Plan CP'!$M:$M,1)=1,1,IF(IFERROR(VLOOKUP('PR Grupo'!AF$3&amp;'PR Grupo'!$G17,'Plan CP'!$K:$P,3,FALSE)&gt;1,0),IFERROR(VLOOKUP('PR Grupo'!AF$3&amp;'PR Grupo'!$G17,'Plan CP'!$K:$P,3,FALSE),0),0)))</f>
        <v>0</v>
      </c>
      <c r="AG17" s="58">
        <f>IF(AF17&gt;1,AF17-1,IF(COUNTIFS('Plan CP'!$O:$O,'PR Grupo'!$G17,'Plan CP'!$P:$P,'PR Grupo'!AG$3,'Plan CP'!$M:$M,1)=1,1,IF(IFERROR(VLOOKUP('PR Grupo'!AG$3&amp;'PR Grupo'!$G17,'Plan CP'!$K:$P,3,FALSE)&gt;1,0),IFERROR(VLOOKUP('PR Grupo'!AG$3&amp;'PR Grupo'!$G17,'Plan CP'!$K:$P,3,FALSE),0),0)))</f>
        <v>0</v>
      </c>
      <c r="AH17" s="58">
        <f>IF(AG17&gt;1,AG17-1,IF(COUNTIFS('Plan CP'!$O:$O,'PR Grupo'!$G17,'Plan CP'!$P:$P,'PR Grupo'!AH$3,'Plan CP'!$M:$M,1)=1,1,IF(IFERROR(VLOOKUP('PR Grupo'!AH$3&amp;'PR Grupo'!$G17,'Plan CP'!$K:$P,3,FALSE)&gt;1,0),IFERROR(VLOOKUP('PR Grupo'!AH$3&amp;'PR Grupo'!$G17,'Plan CP'!$K:$P,3,FALSE),0),0)))</f>
        <v>0</v>
      </c>
      <c r="AI17" s="58">
        <f>IF(AH17&gt;1,AH17-1,IF(COUNTIFS('Plan CP'!$O:$O,'PR Grupo'!$G17,'Plan CP'!$P:$P,'PR Grupo'!AI$3,'Plan CP'!$M:$M,1)=1,1,IF(IFERROR(VLOOKUP('PR Grupo'!AI$3&amp;'PR Grupo'!$G17,'Plan CP'!$K:$P,3,FALSE)&gt;1,0),IFERROR(VLOOKUP('PR Grupo'!AI$3&amp;'PR Grupo'!$G17,'Plan CP'!$K:$P,3,FALSE),0),0)))</f>
        <v>0</v>
      </c>
      <c r="AJ17" s="58">
        <f>IF(AI17&gt;1,AI17-1,IF(COUNTIFS('Plan CP'!$O:$O,'PR Grupo'!$G17,'Plan CP'!$P:$P,'PR Grupo'!AJ$3,'Plan CP'!$M:$M,1)=1,1,IF(IFERROR(VLOOKUP('PR Grupo'!AJ$3&amp;'PR Grupo'!$G17,'Plan CP'!$K:$P,3,FALSE)&gt;1,0),IFERROR(VLOOKUP('PR Grupo'!AJ$3&amp;'PR Grupo'!$G17,'Plan CP'!$K:$P,3,FALSE),0),0)))</f>
        <v>0</v>
      </c>
      <c r="AK17" s="58">
        <f>IF(AJ17&gt;1,AJ17-1,IF(COUNTIFS('Plan CP'!$O:$O,'PR Grupo'!$G17,'Plan CP'!$P:$P,'PR Grupo'!AK$3,'Plan CP'!$M:$M,1)=1,1,IF(IFERROR(VLOOKUP('PR Grupo'!AK$3&amp;'PR Grupo'!$G17,'Plan CP'!$K:$P,3,FALSE)&gt;1,0),IFERROR(VLOOKUP('PR Grupo'!AK$3&amp;'PR Grupo'!$G17,'Plan CP'!$K:$P,3,FALSE),0),0)))</f>
        <v>0</v>
      </c>
      <c r="AL17" s="58">
        <f>IF(AK17&gt;1,AK17-1,IF(COUNTIFS('Plan CP'!$O:$O,'PR Grupo'!$G17,'Plan CP'!$P:$P,'PR Grupo'!AL$3,'Plan CP'!$M:$M,1)=1,1,IF(IFERROR(VLOOKUP('PR Grupo'!AL$3&amp;'PR Grupo'!$G17,'Plan CP'!$K:$P,3,FALSE)&gt;1,0),IFERROR(VLOOKUP('PR Grupo'!AL$3&amp;'PR Grupo'!$G17,'Plan CP'!$K:$P,3,FALSE),0),0)))</f>
        <v>0</v>
      </c>
      <c r="AM17" s="58">
        <f>IF(AL17&gt;1,AL17-1,IF(COUNTIFS('Plan CP'!$O:$O,'PR Grupo'!$G17,'Plan CP'!$P:$P,'PR Grupo'!AM$3,'Plan CP'!$M:$M,1)=1,1,IF(IFERROR(VLOOKUP('PR Grupo'!AM$3&amp;'PR Grupo'!$G17,'Plan CP'!$K:$P,3,FALSE)&gt;1,0),IFERROR(VLOOKUP('PR Grupo'!AM$3&amp;'PR Grupo'!$G17,'Plan CP'!$K:$P,3,FALSE),0),0)))</f>
        <v>0</v>
      </c>
      <c r="AN17" s="58">
        <f>IF(AM17&gt;1,AM17-1,IF(COUNTIFS('Plan CP'!$O:$O,'PR Grupo'!$G17,'Plan CP'!$P:$P,'PR Grupo'!AN$3,'Plan CP'!$M:$M,1)=1,1,IF(IFERROR(VLOOKUP('PR Grupo'!AN$3&amp;'PR Grupo'!$G17,'Plan CP'!$K:$P,3,FALSE)&gt;1,0),IFERROR(VLOOKUP('PR Grupo'!AN$3&amp;'PR Grupo'!$G17,'Plan CP'!$K:$P,3,FALSE),0),0)))</f>
        <v>0</v>
      </c>
      <c r="AO17" s="58">
        <f>IF(AN17&gt;1,AN17-1,IF(COUNTIFS('Plan CP'!$O:$O,'PR Grupo'!$G17,'Plan CP'!$P:$P,'PR Grupo'!AO$3,'Plan CP'!$M:$M,1)=1,1,IF(IFERROR(VLOOKUP('PR Grupo'!AO$3&amp;'PR Grupo'!$G17,'Plan CP'!$K:$P,3,FALSE)&gt;1,0),IFERROR(VLOOKUP('PR Grupo'!AO$3&amp;'PR Grupo'!$G17,'Plan CP'!$K:$P,3,FALSE),0),0)))</f>
        <v>0</v>
      </c>
    </row>
    <row r="18" spans="1:41">
      <c r="A18" s="21" t="s">
        <v>33</v>
      </c>
      <c r="B18" s="21" t="s">
        <v>39</v>
      </c>
      <c r="C18" s="21" t="s">
        <v>210</v>
      </c>
      <c r="D18" s="21" t="s">
        <v>268</v>
      </c>
      <c r="E18" s="24" t="s">
        <v>174</v>
      </c>
      <c r="F18" s="21" t="s">
        <v>268</v>
      </c>
      <c r="G18" s="33" t="s">
        <v>171</v>
      </c>
      <c r="H18" s="24">
        <v>25</v>
      </c>
      <c r="I18" s="33">
        <f t="shared" si="2"/>
        <v>18</v>
      </c>
      <c r="J18" s="33" t="str">
        <f t="shared" si="3"/>
        <v>NO OK</v>
      </c>
      <c r="K18" s="58">
        <f>IF(COUNTIFS('Plan CP'!$O:$O,'PR Grupo'!$G18,'Plan CP'!$P:$P,'PR Grupo'!K$3,'Plan CP'!$M:$M,1)=1,1,IF(IFERROR(VLOOKUP('PR Grupo'!K$3&amp;'PR Grupo'!$G18,'Plan CP'!$K:$P,3,FALSE)&gt;1,0),IFERROR(VLOOKUP('PR Grupo'!K$3&amp;'PR Grupo'!$G18,'Plan CP'!$K:$P,3,FALSE),0),0))</f>
        <v>2</v>
      </c>
      <c r="L18" s="58">
        <f>IF(K18&gt;1,K18-1,IF(COUNTIFS('Plan CP'!$O:$O,'PR Grupo'!$G18,'Plan CP'!$P:$P,'PR Grupo'!L$3,'Plan CP'!$M:$M,1)=1,1,IF(IFERROR(VLOOKUP('PR Grupo'!L$3&amp;'PR Grupo'!$G18,'Plan CP'!$K:$P,3,FALSE)&gt;1,0),IFERROR(VLOOKUP('PR Grupo'!L$3&amp;'PR Grupo'!$G18,'Plan CP'!$K:$P,3,FALSE),0),0)))</f>
        <v>1</v>
      </c>
      <c r="M18" s="58">
        <f>IF(L18&gt;1,L18-1,IF(COUNTIFS('Plan CP'!$O:$O,'PR Grupo'!$G18,'Plan CP'!$P:$P,'PR Grupo'!M$3,'Plan CP'!$M:$M,1)=1,1,IF(IFERROR(VLOOKUP('PR Grupo'!M$3&amp;'PR Grupo'!$G18,'Plan CP'!$K:$P,3,FALSE)&gt;1,0),IFERROR(VLOOKUP('PR Grupo'!M$3&amp;'PR Grupo'!$G18,'Plan CP'!$K:$P,3,FALSE),0),0)))</f>
        <v>0</v>
      </c>
      <c r="N18" s="58">
        <f>IF(M18&gt;1,M18-1,IF(COUNTIFS('Plan CP'!$O:$O,'PR Grupo'!$G18,'Plan CP'!$P:$P,'PR Grupo'!N$3,'Plan CP'!$M:$M,1)=1,1,IF(IFERROR(VLOOKUP('PR Grupo'!N$3&amp;'PR Grupo'!$G18,'Plan CP'!$K:$P,3,FALSE)&gt;1,0),IFERROR(VLOOKUP('PR Grupo'!N$3&amp;'PR Grupo'!$G18,'Plan CP'!$K:$P,3,FALSE),0),0)))</f>
        <v>1</v>
      </c>
      <c r="O18" s="58">
        <f>IF(N18&gt;1,N18-1,IF(COUNTIFS('Plan CP'!$O:$O,'PR Grupo'!$G18,'Plan CP'!$P:$P,'PR Grupo'!O$3,'Plan CP'!$M:$M,1)=1,1,IF(IFERROR(VLOOKUP('PR Grupo'!O$3&amp;'PR Grupo'!$G18,'Plan CP'!$K:$P,3,FALSE)&gt;1,0),IFERROR(VLOOKUP('PR Grupo'!O$3&amp;'PR Grupo'!$G18,'Plan CP'!$K:$P,3,FALSE),0),0)))</f>
        <v>1</v>
      </c>
      <c r="P18" s="58">
        <f>IF(O18&gt;1,O18-1,IF(COUNTIFS('Plan CP'!$O:$O,'PR Grupo'!$G18,'Plan CP'!$P:$P,'PR Grupo'!P$3,'Plan CP'!$M:$M,1)=1,1,IF(IFERROR(VLOOKUP('PR Grupo'!P$3&amp;'PR Grupo'!$G18,'Plan CP'!$K:$P,3,FALSE)&gt;1,0),IFERROR(VLOOKUP('PR Grupo'!P$3&amp;'PR Grupo'!$G18,'Plan CP'!$K:$P,3,FALSE),0),0)))</f>
        <v>1</v>
      </c>
      <c r="Q18" s="58">
        <f>IF(P18&gt;1,P18-1,IF(COUNTIFS('Plan CP'!$O:$O,'PR Grupo'!$G18,'Plan CP'!$P:$P,'PR Grupo'!Q$3,'Plan CP'!$M:$M,1)=1,1,IF(IFERROR(VLOOKUP('PR Grupo'!Q$3&amp;'PR Grupo'!$G18,'Plan CP'!$K:$P,3,FALSE)&gt;1,0),IFERROR(VLOOKUP('PR Grupo'!Q$3&amp;'PR Grupo'!$G18,'Plan CP'!$K:$P,3,FALSE),0),0)))</f>
        <v>1</v>
      </c>
      <c r="R18" s="58">
        <f>IF(Q18&gt;1,Q18-1,IF(COUNTIFS('Plan CP'!$O:$O,'PR Grupo'!$G18,'Plan CP'!$P:$P,'PR Grupo'!R$3,'Plan CP'!$M:$M,1)=1,1,IF(IFERROR(VLOOKUP('PR Grupo'!R$3&amp;'PR Grupo'!$G18,'Plan CP'!$K:$P,3,FALSE)&gt;1,0),IFERROR(VLOOKUP('PR Grupo'!R$3&amp;'PR Grupo'!$G18,'Plan CP'!$K:$P,3,FALSE),0),0)))</f>
        <v>1</v>
      </c>
      <c r="S18" s="58">
        <f>IF(R18&gt;1,R18-1,IF(COUNTIFS('Plan CP'!$O:$O,'PR Grupo'!$G18,'Plan CP'!$P:$P,'PR Grupo'!S$3,'Plan CP'!$M:$M,1)=1,1,IF(IFERROR(VLOOKUP('PR Grupo'!S$3&amp;'PR Grupo'!$G18,'Plan CP'!$K:$P,3,FALSE)&gt;1,0),IFERROR(VLOOKUP('PR Grupo'!S$3&amp;'PR Grupo'!$G18,'Plan CP'!$K:$P,3,FALSE),0),0)))</f>
        <v>1</v>
      </c>
      <c r="T18" s="58">
        <f>IF(S18&gt;1,S18-1,IF(COUNTIFS('Plan CP'!$O:$O,'PR Grupo'!$G18,'Plan CP'!$P:$P,'PR Grupo'!T$3,'Plan CP'!$M:$M,1)=1,1,IF(IFERROR(VLOOKUP('PR Grupo'!T$3&amp;'PR Grupo'!$G18,'Plan CP'!$K:$P,3,FALSE)&gt;1,0),IFERROR(VLOOKUP('PR Grupo'!T$3&amp;'PR Grupo'!$G18,'Plan CP'!$K:$P,3,FALSE),0),0)))</f>
        <v>1</v>
      </c>
      <c r="U18" s="58">
        <f>IF(T18&gt;1,T18-1,IF(COUNTIFS('Plan CP'!$O:$O,'PR Grupo'!$G18,'Plan CP'!$P:$P,'PR Grupo'!U$3,'Plan CP'!$M:$M,1)=1,1,IF(IFERROR(VLOOKUP('PR Grupo'!U$3&amp;'PR Grupo'!$G18,'Plan CP'!$K:$P,3,FALSE)&gt;1,0),IFERROR(VLOOKUP('PR Grupo'!U$3&amp;'PR Grupo'!$G18,'Plan CP'!$K:$P,3,FALSE),0),0)))</f>
        <v>1</v>
      </c>
      <c r="V18" s="58">
        <f>IF(U18&gt;1,U18-1,IF(COUNTIFS('Plan CP'!$O:$O,'PR Grupo'!$G18,'Plan CP'!$P:$P,'PR Grupo'!V$3,'Plan CP'!$M:$M,1)=1,1,IF(IFERROR(VLOOKUP('PR Grupo'!V$3&amp;'PR Grupo'!$G18,'Plan CP'!$K:$P,3,FALSE)&gt;1,0),IFERROR(VLOOKUP('PR Grupo'!V$3&amp;'PR Grupo'!$G18,'Plan CP'!$K:$P,3,FALSE),0),0)))</f>
        <v>1</v>
      </c>
      <c r="W18" s="58">
        <f>IF(V18&gt;1,V18-1,IF(COUNTIFS('Plan CP'!$O:$O,'PR Grupo'!$G18,'Plan CP'!$P:$P,'PR Grupo'!W$3,'Plan CP'!$M:$M,1)=1,1,IF(IFERROR(VLOOKUP('PR Grupo'!W$3&amp;'PR Grupo'!$G18,'Plan CP'!$K:$P,3,FALSE)&gt;1,0),IFERROR(VLOOKUP('PR Grupo'!W$3&amp;'PR Grupo'!$G18,'Plan CP'!$K:$P,3,FALSE),0),0)))</f>
        <v>1</v>
      </c>
      <c r="X18" s="58">
        <f>IF(W18&gt;1,W18-1,IF(COUNTIFS('Plan CP'!$O:$O,'PR Grupo'!$G18,'Plan CP'!$P:$P,'PR Grupo'!X$3,'Plan CP'!$M:$M,1)=1,1,IF(IFERROR(VLOOKUP('PR Grupo'!X$3&amp;'PR Grupo'!$G18,'Plan CP'!$K:$P,3,FALSE)&gt;1,0),IFERROR(VLOOKUP('PR Grupo'!X$3&amp;'PR Grupo'!$G18,'Plan CP'!$K:$P,3,FALSE),0),0)))</f>
        <v>1</v>
      </c>
      <c r="Y18" s="58">
        <f>IF(X18&gt;1,X18-1,IF(COUNTIFS('Plan CP'!$O:$O,'PR Grupo'!$G18,'Plan CP'!$P:$P,'PR Grupo'!Y$3,'Plan CP'!$M:$M,1)=1,1,IF(IFERROR(VLOOKUP('PR Grupo'!Y$3&amp;'PR Grupo'!$G18,'Plan CP'!$K:$P,3,FALSE)&gt;1,0),IFERROR(VLOOKUP('PR Grupo'!Y$3&amp;'PR Grupo'!$G18,'Plan CP'!$K:$P,3,FALSE),0),0)))</f>
        <v>1</v>
      </c>
      <c r="Z18" s="58">
        <f>IF(Y18&gt;1,Y18-1,IF(COUNTIFS('Plan CP'!$O:$O,'PR Grupo'!$G18,'Plan CP'!$P:$P,'PR Grupo'!Z$3,'Plan CP'!$M:$M,1)=1,1,IF(IFERROR(VLOOKUP('PR Grupo'!Z$3&amp;'PR Grupo'!$G18,'Plan CP'!$K:$P,3,FALSE)&gt;1,0),IFERROR(VLOOKUP('PR Grupo'!Z$3&amp;'PR Grupo'!$G18,'Plan CP'!$K:$P,3,FALSE),0),0)))</f>
        <v>1</v>
      </c>
      <c r="AA18" s="58">
        <f>IF(Z18&gt;1,Z18-1,IF(COUNTIFS('Plan CP'!$O:$O,'PR Grupo'!$G18,'Plan CP'!$P:$P,'PR Grupo'!AA$3,'Plan CP'!$M:$M,1)=1,1,IF(IFERROR(VLOOKUP('PR Grupo'!AA$3&amp;'PR Grupo'!$G18,'Plan CP'!$K:$P,3,FALSE)&gt;1,0),IFERROR(VLOOKUP('PR Grupo'!AA$3&amp;'PR Grupo'!$G18,'Plan CP'!$K:$P,3,FALSE),0),0)))</f>
        <v>1</v>
      </c>
      <c r="AB18" s="58">
        <f>IF(AA18&gt;1,AA18-1,IF(COUNTIFS('Plan CP'!$O:$O,'PR Grupo'!$G18,'Plan CP'!$P:$P,'PR Grupo'!AB$3,'Plan CP'!$M:$M,1)=1,1,IF(IFERROR(VLOOKUP('PR Grupo'!AB$3&amp;'PR Grupo'!$G18,'Plan CP'!$K:$P,3,FALSE)&gt;1,0),IFERROR(VLOOKUP('PR Grupo'!AB$3&amp;'PR Grupo'!$G18,'Plan CP'!$K:$P,3,FALSE),0),0)))</f>
        <v>1</v>
      </c>
      <c r="AC18" s="58">
        <f>IF(AB18&gt;1,AB18-1,IF(COUNTIFS('Plan CP'!$O:$O,'PR Grupo'!$G18,'Plan CP'!$P:$P,'PR Grupo'!AC$3,'Plan CP'!$M:$M,1)=1,1,IF(IFERROR(VLOOKUP('PR Grupo'!AC$3&amp;'PR Grupo'!$G18,'Plan CP'!$K:$P,3,FALSE)&gt;1,0),IFERROR(VLOOKUP('PR Grupo'!AC$3&amp;'PR Grupo'!$G18,'Plan CP'!$K:$P,3,FALSE),0),0)))</f>
        <v>1</v>
      </c>
      <c r="AD18" s="58">
        <f>IF(AC18&gt;1,AC18-1,IF(COUNTIFS('Plan CP'!$O:$O,'PR Grupo'!$G18,'Plan CP'!$P:$P,'PR Grupo'!AD$3,'Plan CP'!$M:$M,1)=1,1,IF(IFERROR(VLOOKUP('PR Grupo'!AD$3&amp;'PR Grupo'!$G18,'Plan CP'!$K:$P,3,FALSE)&gt;1,0),IFERROR(VLOOKUP('PR Grupo'!AD$3&amp;'PR Grupo'!$G18,'Plan CP'!$K:$P,3,FALSE),0),0)))</f>
        <v>0</v>
      </c>
      <c r="AE18" s="58">
        <f>IF(AD18&gt;1,AD18-1,IF(COUNTIFS('Plan CP'!$O:$O,'PR Grupo'!$G18,'Plan CP'!$P:$P,'PR Grupo'!AE$3,'Plan CP'!$M:$M,1)=1,1,IF(IFERROR(VLOOKUP('PR Grupo'!AE$3&amp;'PR Grupo'!$G18,'Plan CP'!$K:$P,3,FALSE)&gt;1,0),IFERROR(VLOOKUP('PR Grupo'!AE$3&amp;'PR Grupo'!$G18,'Plan CP'!$K:$P,3,FALSE),0),0)))</f>
        <v>0</v>
      </c>
      <c r="AF18" s="58">
        <f>IF(AE18&gt;1,AE18-1,IF(COUNTIFS('Plan CP'!$O:$O,'PR Grupo'!$G18,'Plan CP'!$P:$P,'PR Grupo'!AF$3,'Plan CP'!$M:$M,1)=1,1,IF(IFERROR(VLOOKUP('PR Grupo'!AF$3&amp;'PR Grupo'!$G18,'Plan CP'!$K:$P,3,FALSE)&gt;1,0),IFERROR(VLOOKUP('PR Grupo'!AF$3&amp;'PR Grupo'!$G18,'Plan CP'!$K:$P,3,FALSE),0),0)))</f>
        <v>0</v>
      </c>
      <c r="AG18" s="58">
        <f>IF(AF18&gt;1,AF18-1,IF(COUNTIFS('Plan CP'!$O:$O,'PR Grupo'!$G18,'Plan CP'!$P:$P,'PR Grupo'!AG$3,'Plan CP'!$M:$M,1)=1,1,IF(IFERROR(VLOOKUP('PR Grupo'!AG$3&amp;'PR Grupo'!$G18,'Plan CP'!$K:$P,3,FALSE)&gt;1,0),IFERROR(VLOOKUP('PR Grupo'!AG$3&amp;'PR Grupo'!$G18,'Plan CP'!$K:$P,3,FALSE),0),0)))</f>
        <v>0</v>
      </c>
      <c r="AH18" s="58">
        <f>IF(AG18&gt;1,AG18-1,IF(COUNTIFS('Plan CP'!$O:$O,'PR Grupo'!$G18,'Plan CP'!$P:$P,'PR Grupo'!AH$3,'Plan CP'!$M:$M,1)=1,1,IF(IFERROR(VLOOKUP('PR Grupo'!AH$3&amp;'PR Grupo'!$G18,'Plan CP'!$K:$P,3,FALSE)&gt;1,0),IFERROR(VLOOKUP('PR Grupo'!AH$3&amp;'PR Grupo'!$G18,'Plan CP'!$K:$P,3,FALSE),0),0)))</f>
        <v>0</v>
      </c>
      <c r="AI18" s="58">
        <f>IF(AH18&gt;1,AH18-1,IF(COUNTIFS('Plan CP'!$O:$O,'PR Grupo'!$G18,'Plan CP'!$P:$P,'PR Grupo'!AI$3,'Plan CP'!$M:$M,1)=1,1,IF(IFERROR(VLOOKUP('PR Grupo'!AI$3&amp;'PR Grupo'!$G18,'Plan CP'!$K:$P,3,FALSE)&gt;1,0),IFERROR(VLOOKUP('PR Grupo'!AI$3&amp;'PR Grupo'!$G18,'Plan CP'!$K:$P,3,FALSE),0),0)))</f>
        <v>0</v>
      </c>
      <c r="AJ18" s="58">
        <f>IF(AI18&gt;1,AI18-1,IF(COUNTIFS('Plan CP'!$O:$O,'PR Grupo'!$G18,'Plan CP'!$P:$P,'PR Grupo'!AJ$3,'Plan CP'!$M:$M,1)=1,1,IF(IFERROR(VLOOKUP('PR Grupo'!AJ$3&amp;'PR Grupo'!$G18,'Plan CP'!$K:$P,3,FALSE)&gt;1,0),IFERROR(VLOOKUP('PR Grupo'!AJ$3&amp;'PR Grupo'!$G18,'Plan CP'!$K:$P,3,FALSE),0),0)))</f>
        <v>0</v>
      </c>
      <c r="AK18" s="58">
        <f>IF(AJ18&gt;1,AJ18-1,IF(COUNTIFS('Plan CP'!$O:$O,'PR Grupo'!$G18,'Plan CP'!$P:$P,'PR Grupo'!AK$3,'Plan CP'!$M:$M,1)=1,1,IF(IFERROR(VLOOKUP('PR Grupo'!AK$3&amp;'PR Grupo'!$G18,'Plan CP'!$K:$P,3,FALSE)&gt;1,0),IFERROR(VLOOKUP('PR Grupo'!AK$3&amp;'PR Grupo'!$G18,'Plan CP'!$K:$P,3,FALSE),0),0)))</f>
        <v>0</v>
      </c>
      <c r="AL18" s="58">
        <f>IF(AK18&gt;1,AK18-1,IF(COUNTIFS('Plan CP'!$O:$O,'PR Grupo'!$G18,'Plan CP'!$P:$P,'PR Grupo'!AL$3,'Plan CP'!$M:$M,1)=1,1,IF(IFERROR(VLOOKUP('PR Grupo'!AL$3&amp;'PR Grupo'!$G18,'Plan CP'!$K:$P,3,FALSE)&gt;1,0),IFERROR(VLOOKUP('PR Grupo'!AL$3&amp;'PR Grupo'!$G18,'Plan CP'!$K:$P,3,FALSE),0),0)))</f>
        <v>0</v>
      </c>
      <c r="AM18" s="58">
        <f>IF(AL18&gt;1,AL18-1,IF(COUNTIFS('Plan CP'!$O:$O,'PR Grupo'!$G18,'Plan CP'!$P:$P,'PR Grupo'!AM$3,'Plan CP'!$M:$M,1)=1,1,IF(IFERROR(VLOOKUP('PR Grupo'!AM$3&amp;'PR Grupo'!$G18,'Plan CP'!$K:$P,3,FALSE)&gt;1,0),IFERROR(VLOOKUP('PR Grupo'!AM$3&amp;'PR Grupo'!$G18,'Plan CP'!$K:$P,3,FALSE),0),0)))</f>
        <v>0</v>
      </c>
      <c r="AN18" s="58">
        <f>IF(AM18&gt;1,AM18-1,IF(COUNTIFS('Plan CP'!$O:$O,'PR Grupo'!$G18,'Plan CP'!$P:$P,'PR Grupo'!AN$3,'Plan CP'!$M:$M,1)=1,1,IF(IFERROR(VLOOKUP('PR Grupo'!AN$3&amp;'PR Grupo'!$G18,'Plan CP'!$K:$P,3,FALSE)&gt;1,0),IFERROR(VLOOKUP('PR Grupo'!AN$3&amp;'PR Grupo'!$G18,'Plan CP'!$K:$P,3,FALSE),0),0)))</f>
        <v>0</v>
      </c>
      <c r="AO18" s="58">
        <f>IF(AN18&gt;1,AN18-1,IF(COUNTIFS('Plan CP'!$O:$O,'PR Grupo'!$G18,'Plan CP'!$P:$P,'PR Grupo'!AO$3,'Plan CP'!$M:$M,1)=1,1,IF(IFERROR(VLOOKUP('PR Grupo'!AO$3&amp;'PR Grupo'!$G18,'Plan CP'!$K:$P,3,FALSE)&gt;1,0),IFERROR(VLOOKUP('PR Grupo'!AO$3&amp;'PR Grupo'!$G18,'Plan CP'!$K:$P,3,FALSE),0),0)))</f>
        <v>0</v>
      </c>
    </row>
    <row r="19" spans="1:41">
      <c r="A19" s="21" t="s">
        <v>33</v>
      </c>
      <c r="B19" s="21" t="s">
        <v>51</v>
      </c>
      <c r="C19" s="21" t="s">
        <v>211</v>
      </c>
      <c r="D19" s="21" t="s">
        <v>273</v>
      </c>
      <c r="E19" s="24" t="s">
        <v>174</v>
      </c>
      <c r="F19" s="21" t="s">
        <v>273</v>
      </c>
      <c r="G19" s="33" t="s">
        <v>171</v>
      </c>
      <c r="H19" s="24">
        <v>25</v>
      </c>
      <c r="I19" s="33">
        <f t="shared" si="2"/>
        <v>18</v>
      </c>
      <c r="J19" s="33" t="str">
        <f t="shared" si="3"/>
        <v>NO OK</v>
      </c>
      <c r="K19" s="58">
        <f>IF(COUNTIFS('Plan CP'!$O:$O,'PR Grupo'!$G19,'Plan CP'!$P:$P,'PR Grupo'!K$3,'Plan CP'!$M:$M,1)=1,1,IF(IFERROR(VLOOKUP('PR Grupo'!K$3&amp;'PR Grupo'!$G19,'Plan CP'!$K:$P,3,FALSE)&gt;1,0),IFERROR(VLOOKUP('PR Grupo'!K$3&amp;'PR Grupo'!$G19,'Plan CP'!$K:$P,3,FALSE),0),0))</f>
        <v>2</v>
      </c>
      <c r="L19" s="58">
        <f>IF(K19&gt;1,K19-1,IF(COUNTIFS('Plan CP'!$O:$O,'PR Grupo'!$G19,'Plan CP'!$P:$P,'PR Grupo'!L$3,'Plan CP'!$M:$M,1)=1,1,IF(IFERROR(VLOOKUP('PR Grupo'!L$3&amp;'PR Grupo'!$G19,'Plan CP'!$K:$P,3,FALSE)&gt;1,0),IFERROR(VLOOKUP('PR Grupo'!L$3&amp;'PR Grupo'!$G19,'Plan CP'!$K:$P,3,FALSE),0),0)))</f>
        <v>1</v>
      </c>
      <c r="M19" s="58">
        <f>IF(L19&gt;1,L19-1,IF(COUNTIFS('Plan CP'!$O:$O,'PR Grupo'!$G19,'Plan CP'!$P:$P,'PR Grupo'!M$3,'Plan CP'!$M:$M,1)=1,1,IF(IFERROR(VLOOKUP('PR Grupo'!M$3&amp;'PR Grupo'!$G19,'Plan CP'!$K:$P,3,FALSE)&gt;1,0),IFERROR(VLOOKUP('PR Grupo'!M$3&amp;'PR Grupo'!$G19,'Plan CP'!$K:$P,3,FALSE),0),0)))</f>
        <v>0</v>
      </c>
      <c r="N19" s="58">
        <f>IF(M19&gt;1,M19-1,IF(COUNTIFS('Plan CP'!$O:$O,'PR Grupo'!$G19,'Plan CP'!$P:$P,'PR Grupo'!N$3,'Plan CP'!$M:$M,1)=1,1,IF(IFERROR(VLOOKUP('PR Grupo'!N$3&amp;'PR Grupo'!$G19,'Plan CP'!$K:$P,3,FALSE)&gt;1,0),IFERROR(VLOOKUP('PR Grupo'!N$3&amp;'PR Grupo'!$G19,'Plan CP'!$K:$P,3,FALSE),0),0)))</f>
        <v>1</v>
      </c>
      <c r="O19" s="58">
        <f>IF(N19&gt;1,N19-1,IF(COUNTIFS('Plan CP'!$O:$O,'PR Grupo'!$G19,'Plan CP'!$P:$P,'PR Grupo'!O$3,'Plan CP'!$M:$M,1)=1,1,IF(IFERROR(VLOOKUP('PR Grupo'!O$3&amp;'PR Grupo'!$G19,'Plan CP'!$K:$P,3,FALSE)&gt;1,0),IFERROR(VLOOKUP('PR Grupo'!O$3&amp;'PR Grupo'!$G19,'Plan CP'!$K:$P,3,FALSE),0),0)))</f>
        <v>1</v>
      </c>
      <c r="P19" s="58">
        <f>IF(O19&gt;1,O19-1,IF(COUNTIFS('Plan CP'!$O:$O,'PR Grupo'!$G19,'Plan CP'!$P:$P,'PR Grupo'!P$3,'Plan CP'!$M:$M,1)=1,1,IF(IFERROR(VLOOKUP('PR Grupo'!P$3&amp;'PR Grupo'!$G19,'Plan CP'!$K:$P,3,FALSE)&gt;1,0),IFERROR(VLOOKUP('PR Grupo'!P$3&amp;'PR Grupo'!$G19,'Plan CP'!$K:$P,3,FALSE),0),0)))</f>
        <v>1</v>
      </c>
      <c r="Q19" s="58">
        <f>IF(P19&gt;1,P19-1,IF(COUNTIFS('Plan CP'!$O:$O,'PR Grupo'!$G19,'Plan CP'!$P:$P,'PR Grupo'!Q$3,'Plan CP'!$M:$M,1)=1,1,IF(IFERROR(VLOOKUP('PR Grupo'!Q$3&amp;'PR Grupo'!$G19,'Plan CP'!$K:$P,3,FALSE)&gt;1,0),IFERROR(VLOOKUP('PR Grupo'!Q$3&amp;'PR Grupo'!$G19,'Plan CP'!$K:$P,3,FALSE),0),0)))</f>
        <v>1</v>
      </c>
      <c r="R19" s="58">
        <f>IF(Q19&gt;1,Q19-1,IF(COUNTIFS('Plan CP'!$O:$O,'PR Grupo'!$G19,'Plan CP'!$P:$P,'PR Grupo'!R$3,'Plan CP'!$M:$M,1)=1,1,IF(IFERROR(VLOOKUP('PR Grupo'!R$3&amp;'PR Grupo'!$G19,'Plan CP'!$K:$P,3,FALSE)&gt;1,0),IFERROR(VLOOKUP('PR Grupo'!R$3&amp;'PR Grupo'!$G19,'Plan CP'!$K:$P,3,FALSE),0),0)))</f>
        <v>1</v>
      </c>
      <c r="S19" s="58">
        <f>IF(R19&gt;1,R19-1,IF(COUNTIFS('Plan CP'!$O:$O,'PR Grupo'!$G19,'Plan CP'!$P:$P,'PR Grupo'!S$3,'Plan CP'!$M:$M,1)=1,1,IF(IFERROR(VLOOKUP('PR Grupo'!S$3&amp;'PR Grupo'!$G19,'Plan CP'!$K:$P,3,FALSE)&gt;1,0),IFERROR(VLOOKUP('PR Grupo'!S$3&amp;'PR Grupo'!$G19,'Plan CP'!$K:$P,3,FALSE),0),0)))</f>
        <v>1</v>
      </c>
      <c r="T19" s="58">
        <f>IF(S19&gt;1,S19-1,IF(COUNTIFS('Plan CP'!$O:$O,'PR Grupo'!$G19,'Plan CP'!$P:$P,'PR Grupo'!T$3,'Plan CP'!$M:$M,1)=1,1,IF(IFERROR(VLOOKUP('PR Grupo'!T$3&amp;'PR Grupo'!$G19,'Plan CP'!$K:$P,3,FALSE)&gt;1,0),IFERROR(VLOOKUP('PR Grupo'!T$3&amp;'PR Grupo'!$G19,'Plan CP'!$K:$P,3,FALSE),0),0)))</f>
        <v>1</v>
      </c>
      <c r="U19" s="58">
        <f>IF(T19&gt;1,T19-1,IF(COUNTIFS('Plan CP'!$O:$O,'PR Grupo'!$G19,'Plan CP'!$P:$P,'PR Grupo'!U$3,'Plan CP'!$M:$M,1)=1,1,IF(IFERROR(VLOOKUP('PR Grupo'!U$3&amp;'PR Grupo'!$G19,'Plan CP'!$K:$P,3,FALSE)&gt;1,0),IFERROR(VLOOKUP('PR Grupo'!U$3&amp;'PR Grupo'!$G19,'Plan CP'!$K:$P,3,FALSE),0),0)))</f>
        <v>1</v>
      </c>
      <c r="V19" s="58">
        <f>IF(U19&gt;1,U19-1,IF(COUNTIFS('Plan CP'!$O:$O,'PR Grupo'!$G19,'Plan CP'!$P:$P,'PR Grupo'!V$3,'Plan CP'!$M:$M,1)=1,1,IF(IFERROR(VLOOKUP('PR Grupo'!V$3&amp;'PR Grupo'!$G19,'Plan CP'!$K:$P,3,FALSE)&gt;1,0),IFERROR(VLOOKUP('PR Grupo'!V$3&amp;'PR Grupo'!$G19,'Plan CP'!$K:$P,3,FALSE),0),0)))</f>
        <v>1</v>
      </c>
      <c r="W19" s="58">
        <f>IF(V19&gt;1,V19-1,IF(COUNTIFS('Plan CP'!$O:$O,'PR Grupo'!$G19,'Plan CP'!$P:$P,'PR Grupo'!W$3,'Plan CP'!$M:$M,1)=1,1,IF(IFERROR(VLOOKUP('PR Grupo'!W$3&amp;'PR Grupo'!$G19,'Plan CP'!$K:$P,3,FALSE)&gt;1,0),IFERROR(VLOOKUP('PR Grupo'!W$3&amp;'PR Grupo'!$G19,'Plan CP'!$K:$P,3,FALSE),0),0)))</f>
        <v>1</v>
      </c>
      <c r="X19" s="58">
        <f>IF(W19&gt;1,W19-1,IF(COUNTIFS('Plan CP'!$O:$O,'PR Grupo'!$G19,'Plan CP'!$P:$P,'PR Grupo'!X$3,'Plan CP'!$M:$M,1)=1,1,IF(IFERROR(VLOOKUP('PR Grupo'!X$3&amp;'PR Grupo'!$G19,'Plan CP'!$K:$P,3,FALSE)&gt;1,0),IFERROR(VLOOKUP('PR Grupo'!X$3&amp;'PR Grupo'!$G19,'Plan CP'!$K:$P,3,FALSE),0),0)))</f>
        <v>1</v>
      </c>
      <c r="Y19" s="58">
        <f>IF(X19&gt;1,X19-1,IF(COUNTIFS('Plan CP'!$O:$O,'PR Grupo'!$G19,'Plan CP'!$P:$P,'PR Grupo'!Y$3,'Plan CP'!$M:$M,1)=1,1,IF(IFERROR(VLOOKUP('PR Grupo'!Y$3&amp;'PR Grupo'!$G19,'Plan CP'!$K:$P,3,FALSE)&gt;1,0),IFERROR(VLOOKUP('PR Grupo'!Y$3&amp;'PR Grupo'!$G19,'Plan CP'!$K:$P,3,FALSE),0),0)))</f>
        <v>1</v>
      </c>
      <c r="Z19" s="58">
        <f>IF(Y19&gt;1,Y19-1,IF(COUNTIFS('Plan CP'!$O:$O,'PR Grupo'!$G19,'Plan CP'!$P:$P,'PR Grupo'!Z$3,'Plan CP'!$M:$M,1)=1,1,IF(IFERROR(VLOOKUP('PR Grupo'!Z$3&amp;'PR Grupo'!$G19,'Plan CP'!$K:$P,3,FALSE)&gt;1,0),IFERROR(VLOOKUP('PR Grupo'!Z$3&amp;'PR Grupo'!$G19,'Plan CP'!$K:$P,3,FALSE),0),0)))</f>
        <v>1</v>
      </c>
      <c r="AA19" s="58">
        <f>IF(Z19&gt;1,Z19-1,IF(COUNTIFS('Plan CP'!$O:$O,'PR Grupo'!$G19,'Plan CP'!$P:$P,'PR Grupo'!AA$3,'Plan CP'!$M:$M,1)=1,1,IF(IFERROR(VLOOKUP('PR Grupo'!AA$3&amp;'PR Grupo'!$G19,'Plan CP'!$K:$P,3,FALSE)&gt;1,0),IFERROR(VLOOKUP('PR Grupo'!AA$3&amp;'PR Grupo'!$G19,'Plan CP'!$K:$P,3,FALSE),0),0)))</f>
        <v>1</v>
      </c>
      <c r="AB19" s="58">
        <f>IF(AA19&gt;1,AA19-1,IF(COUNTIFS('Plan CP'!$O:$O,'PR Grupo'!$G19,'Plan CP'!$P:$P,'PR Grupo'!AB$3,'Plan CP'!$M:$M,1)=1,1,IF(IFERROR(VLOOKUP('PR Grupo'!AB$3&amp;'PR Grupo'!$G19,'Plan CP'!$K:$P,3,FALSE)&gt;1,0),IFERROR(VLOOKUP('PR Grupo'!AB$3&amp;'PR Grupo'!$G19,'Plan CP'!$K:$P,3,FALSE),0),0)))</f>
        <v>1</v>
      </c>
      <c r="AC19" s="58">
        <f>IF(AB19&gt;1,AB19-1,IF(COUNTIFS('Plan CP'!$O:$O,'PR Grupo'!$G19,'Plan CP'!$P:$P,'PR Grupo'!AC$3,'Plan CP'!$M:$M,1)=1,1,IF(IFERROR(VLOOKUP('PR Grupo'!AC$3&amp;'PR Grupo'!$G19,'Plan CP'!$K:$P,3,FALSE)&gt;1,0),IFERROR(VLOOKUP('PR Grupo'!AC$3&amp;'PR Grupo'!$G19,'Plan CP'!$K:$P,3,FALSE),0),0)))</f>
        <v>1</v>
      </c>
      <c r="AD19" s="58">
        <f>IF(AC19&gt;1,AC19-1,IF(COUNTIFS('Plan CP'!$O:$O,'PR Grupo'!$G19,'Plan CP'!$P:$P,'PR Grupo'!AD$3,'Plan CP'!$M:$M,1)=1,1,IF(IFERROR(VLOOKUP('PR Grupo'!AD$3&amp;'PR Grupo'!$G19,'Plan CP'!$K:$P,3,FALSE)&gt;1,0),IFERROR(VLOOKUP('PR Grupo'!AD$3&amp;'PR Grupo'!$G19,'Plan CP'!$K:$P,3,FALSE),0),0)))</f>
        <v>0</v>
      </c>
      <c r="AE19" s="58">
        <f>IF(AD19&gt;1,AD19-1,IF(COUNTIFS('Plan CP'!$O:$O,'PR Grupo'!$G19,'Plan CP'!$P:$P,'PR Grupo'!AE$3,'Plan CP'!$M:$M,1)=1,1,IF(IFERROR(VLOOKUP('PR Grupo'!AE$3&amp;'PR Grupo'!$G19,'Plan CP'!$K:$P,3,FALSE)&gt;1,0),IFERROR(VLOOKUP('PR Grupo'!AE$3&amp;'PR Grupo'!$G19,'Plan CP'!$K:$P,3,FALSE),0),0)))</f>
        <v>0</v>
      </c>
      <c r="AF19" s="58">
        <f>IF(AE19&gt;1,AE19-1,IF(COUNTIFS('Plan CP'!$O:$O,'PR Grupo'!$G19,'Plan CP'!$P:$P,'PR Grupo'!AF$3,'Plan CP'!$M:$M,1)=1,1,IF(IFERROR(VLOOKUP('PR Grupo'!AF$3&amp;'PR Grupo'!$G19,'Plan CP'!$K:$P,3,FALSE)&gt;1,0),IFERROR(VLOOKUP('PR Grupo'!AF$3&amp;'PR Grupo'!$G19,'Plan CP'!$K:$P,3,FALSE),0),0)))</f>
        <v>0</v>
      </c>
      <c r="AG19" s="58">
        <f>IF(AF19&gt;1,AF19-1,IF(COUNTIFS('Plan CP'!$O:$O,'PR Grupo'!$G19,'Plan CP'!$P:$P,'PR Grupo'!AG$3,'Plan CP'!$M:$M,1)=1,1,IF(IFERROR(VLOOKUP('PR Grupo'!AG$3&amp;'PR Grupo'!$G19,'Plan CP'!$K:$P,3,FALSE)&gt;1,0),IFERROR(VLOOKUP('PR Grupo'!AG$3&amp;'PR Grupo'!$G19,'Plan CP'!$K:$P,3,FALSE),0),0)))</f>
        <v>0</v>
      </c>
      <c r="AH19" s="58">
        <f>IF(AG19&gt;1,AG19-1,IF(COUNTIFS('Plan CP'!$O:$O,'PR Grupo'!$G19,'Plan CP'!$P:$P,'PR Grupo'!AH$3,'Plan CP'!$M:$M,1)=1,1,IF(IFERROR(VLOOKUP('PR Grupo'!AH$3&amp;'PR Grupo'!$G19,'Plan CP'!$K:$P,3,FALSE)&gt;1,0),IFERROR(VLOOKUP('PR Grupo'!AH$3&amp;'PR Grupo'!$G19,'Plan CP'!$K:$P,3,FALSE),0),0)))</f>
        <v>0</v>
      </c>
      <c r="AI19" s="58">
        <f>IF(AH19&gt;1,AH19-1,IF(COUNTIFS('Plan CP'!$O:$O,'PR Grupo'!$G19,'Plan CP'!$P:$P,'PR Grupo'!AI$3,'Plan CP'!$M:$M,1)=1,1,IF(IFERROR(VLOOKUP('PR Grupo'!AI$3&amp;'PR Grupo'!$G19,'Plan CP'!$K:$P,3,FALSE)&gt;1,0),IFERROR(VLOOKUP('PR Grupo'!AI$3&amp;'PR Grupo'!$G19,'Plan CP'!$K:$P,3,FALSE),0),0)))</f>
        <v>0</v>
      </c>
      <c r="AJ19" s="58">
        <f>IF(AI19&gt;1,AI19-1,IF(COUNTIFS('Plan CP'!$O:$O,'PR Grupo'!$G19,'Plan CP'!$P:$P,'PR Grupo'!AJ$3,'Plan CP'!$M:$M,1)=1,1,IF(IFERROR(VLOOKUP('PR Grupo'!AJ$3&amp;'PR Grupo'!$G19,'Plan CP'!$K:$P,3,FALSE)&gt;1,0),IFERROR(VLOOKUP('PR Grupo'!AJ$3&amp;'PR Grupo'!$G19,'Plan CP'!$K:$P,3,FALSE),0),0)))</f>
        <v>0</v>
      </c>
      <c r="AK19" s="58">
        <f>IF(AJ19&gt;1,AJ19-1,IF(COUNTIFS('Plan CP'!$O:$O,'PR Grupo'!$G19,'Plan CP'!$P:$P,'PR Grupo'!AK$3,'Plan CP'!$M:$M,1)=1,1,IF(IFERROR(VLOOKUP('PR Grupo'!AK$3&amp;'PR Grupo'!$G19,'Plan CP'!$K:$P,3,FALSE)&gt;1,0),IFERROR(VLOOKUP('PR Grupo'!AK$3&amp;'PR Grupo'!$G19,'Plan CP'!$K:$P,3,FALSE),0),0)))</f>
        <v>0</v>
      </c>
      <c r="AL19" s="58">
        <f>IF(AK19&gt;1,AK19-1,IF(COUNTIFS('Plan CP'!$O:$O,'PR Grupo'!$G19,'Plan CP'!$P:$P,'PR Grupo'!AL$3,'Plan CP'!$M:$M,1)=1,1,IF(IFERROR(VLOOKUP('PR Grupo'!AL$3&amp;'PR Grupo'!$G19,'Plan CP'!$K:$P,3,FALSE)&gt;1,0),IFERROR(VLOOKUP('PR Grupo'!AL$3&amp;'PR Grupo'!$G19,'Plan CP'!$K:$P,3,FALSE),0),0)))</f>
        <v>0</v>
      </c>
      <c r="AM19" s="58">
        <f>IF(AL19&gt;1,AL19-1,IF(COUNTIFS('Plan CP'!$O:$O,'PR Grupo'!$G19,'Plan CP'!$P:$P,'PR Grupo'!AM$3,'Plan CP'!$M:$M,1)=1,1,IF(IFERROR(VLOOKUP('PR Grupo'!AM$3&amp;'PR Grupo'!$G19,'Plan CP'!$K:$P,3,FALSE)&gt;1,0),IFERROR(VLOOKUP('PR Grupo'!AM$3&amp;'PR Grupo'!$G19,'Plan CP'!$K:$P,3,FALSE),0),0)))</f>
        <v>0</v>
      </c>
      <c r="AN19" s="58">
        <f>IF(AM19&gt;1,AM19-1,IF(COUNTIFS('Plan CP'!$O:$O,'PR Grupo'!$G19,'Plan CP'!$P:$P,'PR Grupo'!AN$3,'Plan CP'!$M:$M,1)=1,1,IF(IFERROR(VLOOKUP('PR Grupo'!AN$3&amp;'PR Grupo'!$G19,'Plan CP'!$K:$P,3,FALSE)&gt;1,0),IFERROR(VLOOKUP('PR Grupo'!AN$3&amp;'PR Grupo'!$G19,'Plan CP'!$K:$P,3,FALSE),0),0)))</f>
        <v>0</v>
      </c>
      <c r="AO19" s="58">
        <f>IF(AN19&gt;1,AN19-1,IF(COUNTIFS('Plan CP'!$O:$O,'PR Grupo'!$G19,'Plan CP'!$P:$P,'PR Grupo'!AO$3,'Plan CP'!$M:$M,1)=1,1,IF(IFERROR(VLOOKUP('PR Grupo'!AO$3&amp;'PR Grupo'!$G19,'Plan CP'!$K:$P,3,FALSE)&gt;1,0),IFERROR(VLOOKUP('PR Grupo'!AO$3&amp;'PR Grupo'!$G19,'Plan CP'!$K:$P,3,FALSE),0),0)))</f>
        <v>0</v>
      </c>
    </row>
    <row r="20" spans="1:41">
      <c r="A20" s="21" t="s">
        <v>33</v>
      </c>
      <c r="B20" s="21" t="s">
        <v>51</v>
      </c>
      <c r="C20" s="21" t="s">
        <v>212</v>
      </c>
      <c r="D20" s="21" t="s">
        <v>273</v>
      </c>
      <c r="E20" s="24" t="s">
        <v>174</v>
      </c>
      <c r="F20" s="21" t="s">
        <v>273</v>
      </c>
      <c r="G20" s="33" t="s">
        <v>171</v>
      </c>
      <c r="H20" s="24">
        <v>25</v>
      </c>
      <c r="I20" s="33">
        <f t="shared" si="2"/>
        <v>18</v>
      </c>
      <c r="J20" s="33" t="str">
        <f t="shared" si="3"/>
        <v>NO OK</v>
      </c>
      <c r="K20" s="58">
        <f>IF(COUNTIFS('Plan CP'!$O:$O,'PR Grupo'!$G20,'Plan CP'!$P:$P,'PR Grupo'!K$3,'Plan CP'!$M:$M,1)=1,1,IF(IFERROR(VLOOKUP('PR Grupo'!K$3&amp;'PR Grupo'!$G20,'Plan CP'!$K:$P,3,FALSE)&gt;1,0),IFERROR(VLOOKUP('PR Grupo'!K$3&amp;'PR Grupo'!$G20,'Plan CP'!$K:$P,3,FALSE),0),0))</f>
        <v>2</v>
      </c>
      <c r="L20" s="58">
        <f>IF(K20&gt;1,K20-1,IF(COUNTIFS('Plan CP'!$O:$O,'PR Grupo'!$G20,'Plan CP'!$P:$P,'PR Grupo'!L$3,'Plan CP'!$M:$M,1)=1,1,IF(IFERROR(VLOOKUP('PR Grupo'!L$3&amp;'PR Grupo'!$G20,'Plan CP'!$K:$P,3,FALSE)&gt;1,0),IFERROR(VLOOKUP('PR Grupo'!L$3&amp;'PR Grupo'!$G20,'Plan CP'!$K:$P,3,FALSE),0),0)))</f>
        <v>1</v>
      </c>
      <c r="M20" s="58">
        <f>IF(L20&gt;1,L20-1,IF(COUNTIFS('Plan CP'!$O:$O,'PR Grupo'!$G20,'Plan CP'!$P:$P,'PR Grupo'!M$3,'Plan CP'!$M:$M,1)=1,1,IF(IFERROR(VLOOKUP('PR Grupo'!M$3&amp;'PR Grupo'!$G20,'Plan CP'!$K:$P,3,FALSE)&gt;1,0),IFERROR(VLOOKUP('PR Grupo'!M$3&amp;'PR Grupo'!$G20,'Plan CP'!$K:$P,3,FALSE),0),0)))</f>
        <v>0</v>
      </c>
      <c r="N20" s="58">
        <f>IF(M20&gt;1,M20-1,IF(COUNTIFS('Plan CP'!$O:$O,'PR Grupo'!$G20,'Plan CP'!$P:$P,'PR Grupo'!N$3,'Plan CP'!$M:$M,1)=1,1,IF(IFERROR(VLOOKUP('PR Grupo'!N$3&amp;'PR Grupo'!$G20,'Plan CP'!$K:$P,3,FALSE)&gt;1,0),IFERROR(VLOOKUP('PR Grupo'!N$3&amp;'PR Grupo'!$G20,'Plan CP'!$K:$P,3,FALSE),0),0)))</f>
        <v>1</v>
      </c>
      <c r="O20" s="58">
        <f>IF(N20&gt;1,N20-1,IF(COUNTIFS('Plan CP'!$O:$O,'PR Grupo'!$G20,'Plan CP'!$P:$P,'PR Grupo'!O$3,'Plan CP'!$M:$M,1)=1,1,IF(IFERROR(VLOOKUP('PR Grupo'!O$3&amp;'PR Grupo'!$G20,'Plan CP'!$K:$P,3,FALSE)&gt;1,0),IFERROR(VLOOKUP('PR Grupo'!O$3&amp;'PR Grupo'!$G20,'Plan CP'!$K:$P,3,FALSE),0),0)))</f>
        <v>1</v>
      </c>
      <c r="P20" s="58">
        <f>IF(O20&gt;1,O20-1,IF(COUNTIFS('Plan CP'!$O:$O,'PR Grupo'!$G20,'Plan CP'!$P:$P,'PR Grupo'!P$3,'Plan CP'!$M:$M,1)=1,1,IF(IFERROR(VLOOKUP('PR Grupo'!P$3&amp;'PR Grupo'!$G20,'Plan CP'!$K:$P,3,FALSE)&gt;1,0),IFERROR(VLOOKUP('PR Grupo'!P$3&amp;'PR Grupo'!$G20,'Plan CP'!$K:$P,3,FALSE),0),0)))</f>
        <v>1</v>
      </c>
      <c r="Q20" s="58">
        <f>IF(P20&gt;1,P20-1,IF(COUNTIFS('Plan CP'!$O:$O,'PR Grupo'!$G20,'Plan CP'!$P:$P,'PR Grupo'!Q$3,'Plan CP'!$M:$M,1)=1,1,IF(IFERROR(VLOOKUP('PR Grupo'!Q$3&amp;'PR Grupo'!$G20,'Plan CP'!$K:$P,3,FALSE)&gt;1,0),IFERROR(VLOOKUP('PR Grupo'!Q$3&amp;'PR Grupo'!$G20,'Plan CP'!$K:$P,3,FALSE),0),0)))</f>
        <v>1</v>
      </c>
      <c r="R20" s="58">
        <f>IF(Q20&gt;1,Q20-1,IF(COUNTIFS('Plan CP'!$O:$O,'PR Grupo'!$G20,'Plan CP'!$P:$P,'PR Grupo'!R$3,'Plan CP'!$M:$M,1)=1,1,IF(IFERROR(VLOOKUP('PR Grupo'!R$3&amp;'PR Grupo'!$G20,'Plan CP'!$K:$P,3,FALSE)&gt;1,0),IFERROR(VLOOKUP('PR Grupo'!R$3&amp;'PR Grupo'!$G20,'Plan CP'!$K:$P,3,FALSE),0),0)))</f>
        <v>1</v>
      </c>
      <c r="S20" s="58">
        <f>IF(R20&gt;1,R20-1,IF(COUNTIFS('Plan CP'!$O:$O,'PR Grupo'!$G20,'Plan CP'!$P:$P,'PR Grupo'!S$3,'Plan CP'!$M:$M,1)=1,1,IF(IFERROR(VLOOKUP('PR Grupo'!S$3&amp;'PR Grupo'!$G20,'Plan CP'!$K:$P,3,FALSE)&gt;1,0),IFERROR(VLOOKUP('PR Grupo'!S$3&amp;'PR Grupo'!$G20,'Plan CP'!$K:$P,3,FALSE),0),0)))</f>
        <v>1</v>
      </c>
      <c r="T20" s="58">
        <f>IF(S20&gt;1,S20-1,IF(COUNTIFS('Plan CP'!$O:$O,'PR Grupo'!$G20,'Plan CP'!$P:$P,'PR Grupo'!T$3,'Plan CP'!$M:$M,1)=1,1,IF(IFERROR(VLOOKUP('PR Grupo'!T$3&amp;'PR Grupo'!$G20,'Plan CP'!$K:$P,3,FALSE)&gt;1,0),IFERROR(VLOOKUP('PR Grupo'!T$3&amp;'PR Grupo'!$G20,'Plan CP'!$K:$P,3,FALSE),0),0)))</f>
        <v>1</v>
      </c>
      <c r="U20" s="58">
        <f>IF(T20&gt;1,T20-1,IF(COUNTIFS('Plan CP'!$O:$O,'PR Grupo'!$G20,'Plan CP'!$P:$P,'PR Grupo'!U$3,'Plan CP'!$M:$M,1)=1,1,IF(IFERROR(VLOOKUP('PR Grupo'!U$3&amp;'PR Grupo'!$G20,'Plan CP'!$K:$P,3,FALSE)&gt;1,0),IFERROR(VLOOKUP('PR Grupo'!U$3&amp;'PR Grupo'!$G20,'Plan CP'!$K:$P,3,FALSE),0),0)))</f>
        <v>1</v>
      </c>
      <c r="V20" s="58">
        <f>IF(U20&gt;1,U20-1,IF(COUNTIFS('Plan CP'!$O:$O,'PR Grupo'!$G20,'Plan CP'!$P:$P,'PR Grupo'!V$3,'Plan CP'!$M:$M,1)=1,1,IF(IFERROR(VLOOKUP('PR Grupo'!V$3&amp;'PR Grupo'!$G20,'Plan CP'!$K:$P,3,FALSE)&gt;1,0),IFERROR(VLOOKUP('PR Grupo'!V$3&amp;'PR Grupo'!$G20,'Plan CP'!$K:$P,3,FALSE),0),0)))</f>
        <v>1</v>
      </c>
      <c r="W20" s="58">
        <f>IF(V20&gt;1,V20-1,IF(COUNTIFS('Plan CP'!$O:$O,'PR Grupo'!$G20,'Plan CP'!$P:$P,'PR Grupo'!W$3,'Plan CP'!$M:$M,1)=1,1,IF(IFERROR(VLOOKUP('PR Grupo'!W$3&amp;'PR Grupo'!$G20,'Plan CP'!$K:$P,3,FALSE)&gt;1,0),IFERROR(VLOOKUP('PR Grupo'!W$3&amp;'PR Grupo'!$G20,'Plan CP'!$K:$P,3,FALSE),0),0)))</f>
        <v>1</v>
      </c>
      <c r="X20" s="58">
        <f>IF(W20&gt;1,W20-1,IF(COUNTIFS('Plan CP'!$O:$O,'PR Grupo'!$G20,'Plan CP'!$P:$P,'PR Grupo'!X$3,'Plan CP'!$M:$M,1)=1,1,IF(IFERROR(VLOOKUP('PR Grupo'!X$3&amp;'PR Grupo'!$G20,'Plan CP'!$K:$P,3,FALSE)&gt;1,0),IFERROR(VLOOKUP('PR Grupo'!X$3&amp;'PR Grupo'!$G20,'Plan CP'!$K:$P,3,FALSE),0),0)))</f>
        <v>1</v>
      </c>
      <c r="Y20" s="58">
        <f>IF(X20&gt;1,X20-1,IF(COUNTIFS('Plan CP'!$O:$O,'PR Grupo'!$G20,'Plan CP'!$P:$P,'PR Grupo'!Y$3,'Plan CP'!$M:$M,1)=1,1,IF(IFERROR(VLOOKUP('PR Grupo'!Y$3&amp;'PR Grupo'!$G20,'Plan CP'!$K:$P,3,FALSE)&gt;1,0),IFERROR(VLOOKUP('PR Grupo'!Y$3&amp;'PR Grupo'!$G20,'Plan CP'!$K:$P,3,FALSE),0),0)))</f>
        <v>1</v>
      </c>
      <c r="Z20" s="58">
        <f>IF(Y20&gt;1,Y20-1,IF(COUNTIFS('Plan CP'!$O:$O,'PR Grupo'!$G20,'Plan CP'!$P:$P,'PR Grupo'!Z$3,'Plan CP'!$M:$M,1)=1,1,IF(IFERROR(VLOOKUP('PR Grupo'!Z$3&amp;'PR Grupo'!$G20,'Plan CP'!$K:$P,3,FALSE)&gt;1,0),IFERROR(VLOOKUP('PR Grupo'!Z$3&amp;'PR Grupo'!$G20,'Plan CP'!$K:$P,3,FALSE),0),0)))</f>
        <v>1</v>
      </c>
      <c r="AA20" s="58">
        <f>IF(Z20&gt;1,Z20-1,IF(COUNTIFS('Plan CP'!$O:$O,'PR Grupo'!$G20,'Plan CP'!$P:$P,'PR Grupo'!AA$3,'Plan CP'!$M:$M,1)=1,1,IF(IFERROR(VLOOKUP('PR Grupo'!AA$3&amp;'PR Grupo'!$G20,'Plan CP'!$K:$P,3,FALSE)&gt;1,0),IFERROR(VLOOKUP('PR Grupo'!AA$3&amp;'PR Grupo'!$G20,'Plan CP'!$K:$P,3,FALSE),0),0)))</f>
        <v>1</v>
      </c>
      <c r="AB20" s="58">
        <f>IF(AA20&gt;1,AA20-1,IF(COUNTIFS('Plan CP'!$O:$O,'PR Grupo'!$G20,'Plan CP'!$P:$P,'PR Grupo'!AB$3,'Plan CP'!$M:$M,1)=1,1,IF(IFERROR(VLOOKUP('PR Grupo'!AB$3&amp;'PR Grupo'!$G20,'Plan CP'!$K:$P,3,FALSE)&gt;1,0),IFERROR(VLOOKUP('PR Grupo'!AB$3&amp;'PR Grupo'!$G20,'Plan CP'!$K:$P,3,FALSE),0),0)))</f>
        <v>1</v>
      </c>
      <c r="AC20" s="58">
        <f>IF(AB20&gt;1,AB20-1,IF(COUNTIFS('Plan CP'!$O:$O,'PR Grupo'!$G20,'Plan CP'!$P:$P,'PR Grupo'!AC$3,'Plan CP'!$M:$M,1)=1,1,IF(IFERROR(VLOOKUP('PR Grupo'!AC$3&amp;'PR Grupo'!$G20,'Plan CP'!$K:$P,3,FALSE)&gt;1,0),IFERROR(VLOOKUP('PR Grupo'!AC$3&amp;'PR Grupo'!$G20,'Plan CP'!$K:$P,3,FALSE),0),0)))</f>
        <v>1</v>
      </c>
      <c r="AD20" s="58">
        <f>IF(AC20&gt;1,AC20-1,IF(COUNTIFS('Plan CP'!$O:$O,'PR Grupo'!$G20,'Plan CP'!$P:$P,'PR Grupo'!AD$3,'Plan CP'!$M:$M,1)=1,1,IF(IFERROR(VLOOKUP('PR Grupo'!AD$3&amp;'PR Grupo'!$G20,'Plan CP'!$K:$P,3,FALSE)&gt;1,0),IFERROR(VLOOKUP('PR Grupo'!AD$3&amp;'PR Grupo'!$G20,'Plan CP'!$K:$P,3,FALSE),0),0)))</f>
        <v>0</v>
      </c>
      <c r="AE20" s="58">
        <f>IF(AD20&gt;1,AD20-1,IF(COUNTIFS('Plan CP'!$O:$O,'PR Grupo'!$G20,'Plan CP'!$P:$P,'PR Grupo'!AE$3,'Plan CP'!$M:$M,1)=1,1,IF(IFERROR(VLOOKUP('PR Grupo'!AE$3&amp;'PR Grupo'!$G20,'Plan CP'!$K:$P,3,FALSE)&gt;1,0),IFERROR(VLOOKUP('PR Grupo'!AE$3&amp;'PR Grupo'!$G20,'Plan CP'!$K:$P,3,FALSE),0),0)))</f>
        <v>0</v>
      </c>
      <c r="AF20" s="58">
        <f>IF(AE20&gt;1,AE20-1,IF(COUNTIFS('Plan CP'!$O:$O,'PR Grupo'!$G20,'Plan CP'!$P:$P,'PR Grupo'!AF$3,'Plan CP'!$M:$M,1)=1,1,IF(IFERROR(VLOOKUP('PR Grupo'!AF$3&amp;'PR Grupo'!$G20,'Plan CP'!$K:$P,3,FALSE)&gt;1,0),IFERROR(VLOOKUP('PR Grupo'!AF$3&amp;'PR Grupo'!$G20,'Plan CP'!$K:$P,3,FALSE),0),0)))</f>
        <v>0</v>
      </c>
      <c r="AG20" s="58">
        <f>IF(AF20&gt;1,AF20-1,IF(COUNTIFS('Plan CP'!$O:$O,'PR Grupo'!$G20,'Plan CP'!$P:$P,'PR Grupo'!AG$3,'Plan CP'!$M:$M,1)=1,1,IF(IFERROR(VLOOKUP('PR Grupo'!AG$3&amp;'PR Grupo'!$G20,'Plan CP'!$K:$P,3,FALSE)&gt;1,0),IFERROR(VLOOKUP('PR Grupo'!AG$3&amp;'PR Grupo'!$G20,'Plan CP'!$K:$P,3,FALSE),0),0)))</f>
        <v>0</v>
      </c>
      <c r="AH20" s="58">
        <f>IF(AG20&gt;1,AG20-1,IF(COUNTIFS('Plan CP'!$O:$O,'PR Grupo'!$G20,'Plan CP'!$P:$P,'PR Grupo'!AH$3,'Plan CP'!$M:$M,1)=1,1,IF(IFERROR(VLOOKUP('PR Grupo'!AH$3&amp;'PR Grupo'!$G20,'Plan CP'!$K:$P,3,FALSE)&gt;1,0),IFERROR(VLOOKUP('PR Grupo'!AH$3&amp;'PR Grupo'!$G20,'Plan CP'!$K:$P,3,FALSE),0),0)))</f>
        <v>0</v>
      </c>
      <c r="AI20" s="58">
        <f>IF(AH20&gt;1,AH20-1,IF(COUNTIFS('Plan CP'!$O:$O,'PR Grupo'!$G20,'Plan CP'!$P:$P,'PR Grupo'!AI$3,'Plan CP'!$M:$M,1)=1,1,IF(IFERROR(VLOOKUP('PR Grupo'!AI$3&amp;'PR Grupo'!$G20,'Plan CP'!$K:$P,3,FALSE)&gt;1,0),IFERROR(VLOOKUP('PR Grupo'!AI$3&amp;'PR Grupo'!$G20,'Plan CP'!$K:$P,3,FALSE),0),0)))</f>
        <v>0</v>
      </c>
      <c r="AJ20" s="58">
        <f>IF(AI20&gt;1,AI20-1,IF(COUNTIFS('Plan CP'!$O:$O,'PR Grupo'!$G20,'Plan CP'!$P:$P,'PR Grupo'!AJ$3,'Plan CP'!$M:$M,1)=1,1,IF(IFERROR(VLOOKUP('PR Grupo'!AJ$3&amp;'PR Grupo'!$G20,'Plan CP'!$K:$P,3,FALSE)&gt;1,0),IFERROR(VLOOKUP('PR Grupo'!AJ$3&amp;'PR Grupo'!$G20,'Plan CP'!$K:$P,3,FALSE),0),0)))</f>
        <v>0</v>
      </c>
      <c r="AK20" s="58">
        <f>IF(AJ20&gt;1,AJ20-1,IF(COUNTIFS('Plan CP'!$O:$O,'PR Grupo'!$G20,'Plan CP'!$P:$P,'PR Grupo'!AK$3,'Plan CP'!$M:$M,1)=1,1,IF(IFERROR(VLOOKUP('PR Grupo'!AK$3&amp;'PR Grupo'!$G20,'Plan CP'!$K:$P,3,FALSE)&gt;1,0),IFERROR(VLOOKUP('PR Grupo'!AK$3&amp;'PR Grupo'!$G20,'Plan CP'!$K:$P,3,FALSE),0),0)))</f>
        <v>0</v>
      </c>
      <c r="AL20" s="58">
        <f>IF(AK20&gt;1,AK20-1,IF(COUNTIFS('Plan CP'!$O:$O,'PR Grupo'!$G20,'Plan CP'!$P:$P,'PR Grupo'!AL$3,'Plan CP'!$M:$M,1)=1,1,IF(IFERROR(VLOOKUP('PR Grupo'!AL$3&amp;'PR Grupo'!$G20,'Plan CP'!$K:$P,3,FALSE)&gt;1,0),IFERROR(VLOOKUP('PR Grupo'!AL$3&amp;'PR Grupo'!$G20,'Plan CP'!$K:$P,3,FALSE),0),0)))</f>
        <v>0</v>
      </c>
      <c r="AM20" s="58">
        <f>IF(AL20&gt;1,AL20-1,IF(COUNTIFS('Plan CP'!$O:$O,'PR Grupo'!$G20,'Plan CP'!$P:$P,'PR Grupo'!AM$3,'Plan CP'!$M:$M,1)=1,1,IF(IFERROR(VLOOKUP('PR Grupo'!AM$3&amp;'PR Grupo'!$G20,'Plan CP'!$K:$P,3,FALSE)&gt;1,0),IFERROR(VLOOKUP('PR Grupo'!AM$3&amp;'PR Grupo'!$G20,'Plan CP'!$K:$P,3,FALSE),0),0)))</f>
        <v>0</v>
      </c>
      <c r="AN20" s="58">
        <f>IF(AM20&gt;1,AM20-1,IF(COUNTIFS('Plan CP'!$O:$O,'PR Grupo'!$G20,'Plan CP'!$P:$P,'PR Grupo'!AN$3,'Plan CP'!$M:$M,1)=1,1,IF(IFERROR(VLOOKUP('PR Grupo'!AN$3&amp;'PR Grupo'!$G20,'Plan CP'!$K:$P,3,FALSE)&gt;1,0),IFERROR(VLOOKUP('PR Grupo'!AN$3&amp;'PR Grupo'!$G20,'Plan CP'!$K:$P,3,FALSE),0),0)))</f>
        <v>0</v>
      </c>
      <c r="AO20" s="58">
        <f>IF(AN20&gt;1,AN20-1,IF(COUNTIFS('Plan CP'!$O:$O,'PR Grupo'!$G20,'Plan CP'!$P:$P,'PR Grupo'!AO$3,'Plan CP'!$M:$M,1)=1,1,IF(IFERROR(VLOOKUP('PR Grupo'!AO$3&amp;'PR Grupo'!$G20,'Plan CP'!$K:$P,3,FALSE)&gt;1,0),IFERROR(VLOOKUP('PR Grupo'!AO$3&amp;'PR Grupo'!$G20,'Plan CP'!$K:$P,3,FALSE),0),0)))</f>
        <v>0</v>
      </c>
    </row>
    <row r="21" spans="1:41">
      <c r="A21" s="21" t="s">
        <v>33</v>
      </c>
      <c r="B21" s="21" t="s">
        <v>44</v>
      </c>
      <c r="C21" s="21" t="s">
        <v>213</v>
      </c>
      <c r="D21" s="21" t="s">
        <v>266</v>
      </c>
      <c r="E21" s="24" t="s">
        <v>174</v>
      </c>
      <c r="F21" s="21" t="s">
        <v>266</v>
      </c>
      <c r="G21" s="33" t="s">
        <v>191</v>
      </c>
      <c r="H21" s="24">
        <v>25</v>
      </c>
      <c r="I21" s="33">
        <f t="shared" si="2"/>
        <v>18</v>
      </c>
      <c r="J21" s="33" t="str">
        <f t="shared" si="3"/>
        <v>NO OK</v>
      </c>
      <c r="K21" s="58">
        <f>IF(COUNTIFS('Plan CP'!$O:$O,'PR Grupo'!$G21,'Plan CP'!$P:$P,'PR Grupo'!K$3,'Plan CP'!$M:$M,1)=1,1,IF(IFERROR(VLOOKUP('PR Grupo'!K$3&amp;'PR Grupo'!$G21,'Plan CP'!$K:$P,3,FALSE)&gt;1,0),IFERROR(VLOOKUP('PR Grupo'!K$3&amp;'PR Grupo'!$G21,'Plan CP'!$K:$P,3,FALSE),0),0))</f>
        <v>1</v>
      </c>
      <c r="L21" s="58">
        <f>IF(K21&gt;1,K21-1,IF(COUNTIFS('Plan CP'!$O:$O,'PR Grupo'!$G21,'Plan CP'!$P:$P,'PR Grupo'!L$3,'Plan CP'!$M:$M,1)=1,1,IF(IFERROR(VLOOKUP('PR Grupo'!L$3&amp;'PR Grupo'!$G21,'Plan CP'!$K:$P,3,FALSE)&gt;1,0),IFERROR(VLOOKUP('PR Grupo'!L$3&amp;'PR Grupo'!$G21,'Plan CP'!$K:$P,3,FALSE),0),0)))</f>
        <v>1</v>
      </c>
      <c r="M21" s="58">
        <f>IF(L21&gt;1,L21-1,IF(COUNTIFS('Plan CP'!$O:$O,'PR Grupo'!$G21,'Plan CP'!$P:$P,'PR Grupo'!M$3,'Plan CP'!$M:$M,1)=1,1,IF(IFERROR(VLOOKUP('PR Grupo'!M$3&amp;'PR Grupo'!$G21,'Plan CP'!$K:$P,3,FALSE)&gt;1,0),IFERROR(VLOOKUP('PR Grupo'!M$3&amp;'PR Grupo'!$G21,'Plan CP'!$K:$P,3,FALSE),0),0)))</f>
        <v>1</v>
      </c>
      <c r="N21" s="58">
        <f>IF(M21&gt;1,M21-1,IF(COUNTIFS('Plan CP'!$O:$O,'PR Grupo'!$G21,'Plan CP'!$P:$P,'PR Grupo'!N$3,'Plan CP'!$M:$M,1)=1,1,IF(IFERROR(VLOOKUP('PR Grupo'!N$3&amp;'PR Grupo'!$G21,'Plan CP'!$K:$P,3,FALSE)&gt;1,0),IFERROR(VLOOKUP('PR Grupo'!N$3&amp;'PR Grupo'!$G21,'Plan CP'!$K:$P,3,FALSE),0),0)))</f>
        <v>1</v>
      </c>
      <c r="O21" s="58">
        <f>IF(N21&gt;1,N21-1,IF(COUNTIFS('Plan CP'!$O:$O,'PR Grupo'!$G21,'Plan CP'!$P:$P,'PR Grupo'!O$3,'Plan CP'!$M:$M,1)=1,1,IF(IFERROR(VLOOKUP('PR Grupo'!O$3&amp;'PR Grupo'!$G21,'Plan CP'!$K:$P,3,FALSE)&gt;1,0),IFERROR(VLOOKUP('PR Grupo'!O$3&amp;'PR Grupo'!$G21,'Plan CP'!$K:$P,3,FALSE),0),0)))</f>
        <v>1</v>
      </c>
      <c r="P21" s="58">
        <f>IF(O21&gt;1,O21-1,IF(COUNTIFS('Plan CP'!$O:$O,'PR Grupo'!$G21,'Plan CP'!$P:$P,'PR Grupo'!P$3,'Plan CP'!$M:$M,1)=1,1,IF(IFERROR(VLOOKUP('PR Grupo'!P$3&amp;'PR Grupo'!$G21,'Plan CP'!$K:$P,3,FALSE)&gt;1,0),IFERROR(VLOOKUP('PR Grupo'!P$3&amp;'PR Grupo'!$G21,'Plan CP'!$K:$P,3,FALSE),0),0)))</f>
        <v>1</v>
      </c>
      <c r="Q21" s="58">
        <f>IF(P21&gt;1,P21-1,IF(COUNTIFS('Plan CP'!$O:$O,'PR Grupo'!$G21,'Plan CP'!$P:$P,'PR Grupo'!Q$3,'Plan CP'!$M:$M,1)=1,1,IF(IFERROR(VLOOKUP('PR Grupo'!Q$3&amp;'PR Grupo'!$G21,'Plan CP'!$K:$P,3,FALSE)&gt;1,0),IFERROR(VLOOKUP('PR Grupo'!Q$3&amp;'PR Grupo'!$G21,'Plan CP'!$K:$P,3,FALSE),0),0)))</f>
        <v>1</v>
      </c>
      <c r="R21" s="58">
        <f>IF(Q21&gt;1,Q21-1,IF(COUNTIFS('Plan CP'!$O:$O,'PR Grupo'!$G21,'Plan CP'!$P:$P,'PR Grupo'!R$3,'Plan CP'!$M:$M,1)=1,1,IF(IFERROR(VLOOKUP('PR Grupo'!R$3&amp;'PR Grupo'!$G21,'Plan CP'!$K:$P,3,FALSE)&gt;1,0),IFERROR(VLOOKUP('PR Grupo'!R$3&amp;'PR Grupo'!$G21,'Plan CP'!$K:$P,3,FALSE),0),0)))</f>
        <v>0</v>
      </c>
      <c r="S21" s="58">
        <f>IF(R21&gt;1,R21-1,IF(COUNTIFS('Plan CP'!$O:$O,'PR Grupo'!$G21,'Plan CP'!$P:$P,'PR Grupo'!S$3,'Plan CP'!$M:$M,1)=1,1,IF(IFERROR(VLOOKUP('PR Grupo'!S$3&amp;'PR Grupo'!$G21,'Plan CP'!$K:$P,3,FALSE)&gt;1,0),IFERROR(VLOOKUP('PR Grupo'!S$3&amp;'PR Grupo'!$G21,'Plan CP'!$K:$P,3,FALSE),0),0)))</f>
        <v>0</v>
      </c>
      <c r="T21" s="58">
        <f>IF(S21&gt;1,S21-1,IF(COUNTIFS('Plan CP'!$O:$O,'PR Grupo'!$G21,'Plan CP'!$P:$P,'PR Grupo'!T$3,'Plan CP'!$M:$M,1)=1,1,IF(IFERROR(VLOOKUP('PR Grupo'!T$3&amp;'PR Grupo'!$G21,'Plan CP'!$K:$P,3,FALSE)&gt;1,0),IFERROR(VLOOKUP('PR Grupo'!T$3&amp;'PR Grupo'!$G21,'Plan CP'!$K:$P,3,FALSE),0),0)))</f>
        <v>0</v>
      </c>
      <c r="U21" s="58">
        <f>IF(T21&gt;1,T21-1,IF(COUNTIFS('Plan CP'!$O:$O,'PR Grupo'!$G21,'Plan CP'!$P:$P,'PR Grupo'!U$3,'Plan CP'!$M:$M,1)=1,1,IF(IFERROR(VLOOKUP('PR Grupo'!U$3&amp;'PR Grupo'!$G21,'Plan CP'!$K:$P,3,FALSE)&gt;1,0),IFERROR(VLOOKUP('PR Grupo'!U$3&amp;'PR Grupo'!$G21,'Plan CP'!$K:$P,3,FALSE),0),0)))</f>
        <v>0</v>
      </c>
      <c r="V21" s="58">
        <f>IF(U21&gt;1,U21-1,IF(COUNTIFS('Plan CP'!$O:$O,'PR Grupo'!$G21,'Plan CP'!$P:$P,'PR Grupo'!V$3,'Plan CP'!$M:$M,1)=1,1,IF(IFERROR(VLOOKUP('PR Grupo'!V$3&amp;'PR Grupo'!$G21,'Plan CP'!$K:$P,3,FALSE)&gt;1,0),IFERROR(VLOOKUP('PR Grupo'!V$3&amp;'PR Grupo'!$G21,'Plan CP'!$K:$P,3,FALSE),0),0)))</f>
        <v>0</v>
      </c>
      <c r="W21" s="58">
        <f>IF(V21&gt;1,V21-1,IF(COUNTIFS('Plan CP'!$O:$O,'PR Grupo'!$G21,'Plan CP'!$P:$P,'PR Grupo'!W$3,'Plan CP'!$M:$M,1)=1,1,IF(IFERROR(VLOOKUP('PR Grupo'!W$3&amp;'PR Grupo'!$G21,'Plan CP'!$K:$P,3,FALSE)&gt;1,0),IFERROR(VLOOKUP('PR Grupo'!W$3&amp;'PR Grupo'!$G21,'Plan CP'!$K:$P,3,FALSE),0),0)))</f>
        <v>0</v>
      </c>
      <c r="X21" s="58">
        <f>IF(W21&gt;1,W21-1,IF(COUNTIFS('Plan CP'!$O:$O,'PR Grupo'!$G21,'Plan CP'!$P:$P,'PR Grupo'!X$3,'Plan CP'!$M:$M,1)=1,1,IF(IFERROR(VLOOKUP('PR Grupo'!X$3&amp;'PR Grupo'!$G21,'Plan CP'!$K:$P,3,FALSE)&gt;1,0),IFERROR(VLOOKUP('PR Grupo'!X$3&amp;'PR Grupo'!$G21,'Plan CP'!$K:$P,3,FALSE),0),0)))</f>
        <v>0</v>
      </c>
      <c r="Y21" s="58">
        <f>IF(X21&gt;1,X21-1,IF(COUNTIFS('Plan CP'!$O:$O,'PR Grupo'!$G21,'Plan CP'!$P:$P,'PR Grupo'!Y$3,'Plan CP'!$M:$M,1)=1,1,IF(IFERROR(VLOOKUP('PR Grupo'!Y$3&amp;'PR Grupo'!$G21,'Plan CP'!$K:$P,3,FALSE)&gt;1,0),IFERROR(VLOOKUP('PR Grupo'!Y$3&amp;'PR Grupo'!$G21,'Plan CP'!$K:$P,3,FALSE),0),0)))</f>
        <v>0</v>
      </c>
      <c r="Z21" s="58">
        <f>IF(Y21&gt;1,Y21-1,IF(COUNTIFS('Plan CP'!$O:$O,'PR Grupo'!$G21,'Plan CP'!$P:$P,'PR Grupo'!Z$3,'Plan CP'!$M:$M,1)=1,1,IF(IFERROR(VLOOKUP('PR Grupo'!Z$3&amp;'PR Grupo'!$G21,'Plan CP'!$K:$P,3,FALSE)&gt;1,0),IFERROR(VLOOKUP('PR Grupo'!Z$3&amp;'PR Grupo'!$G21,'Plan CP'!$K:$P,3,FALSE),0),0)))</f>
        <v>0</v>
      </c>
      <c r="AA21" s="58">
        <f>IF(Z21&gt;1,Z21-1,IF(COUNTIFS('Plan CP'!$O:$O,'PR Grupo'!$G21,'Plan CP'!$P:$P,'PR Grupo'!AA$3,'Plan CP'!$M:$M,1)=1,1,IF(IFERROR(VLOOKUP('PR Grupo'!AA$3&amp;'PR Grupo'!$G21,'Plan CP'!$K:$P,3,FALSE)&gt;1,0),IFERROR(VLOOKUP('PR Grupo'!AA$3&amp;'PR Grupo'!$G21,'Plan CP'!$K:$P,3,FALSE),0),0)))</f>
        <v>0</v>
      </c>
      <c r="AB21" s="58">
        <f>IF(AA21&gt;1,AA21-1,IF(COUNTIFS('Plan CP'!$O:$O,'PR Grupo'!$G21,'Plan CP'!$P:$P,'PR Grupo'!AB$3,'Plan CP'!$M:$M,1)=1,1,IF(IFERROR(VLOOKUP('PR Grupo'!AB$3&amp;'PR Grupo'!$G21,'Plan CP'!$K:$P,3,FALSE)&gt;1,0),IFERROR(VLOOKUP('PR Grupo'!AB$3&amp;'PR Grupo'!$G21,'Plan CP'!$K:$P,3,FALSE),0),0)))</f>
        <v>0</v>
      </c>
      <c r="AC21" s="58">
        <f>IF(AB21&gt;1,AB21-1,IF(COUNTIFS('Plan CP'!$O:$O,'PR Grupo'!$G21,'Plan CP'!$P:$P,'PR Grupo'!AC$3,'Plan CP'!$M:$M,1)=1,1,IF(IFERROR(VLOOKUP('PR Grupo'!AC$3&amp;'PR Grupo'!$G21,'Plan CP'!$K:$P,3,FALSE)&gt;1,0),IFERROR(VLOOKUP('PR Grupo'!AC$3&amp;'PR Grupo'!$G21,'Plan CP'!$K:$P,3,FALSE),0),0)))</f>
        <v>0</v>
      </c>
      <c r="AD21" s="58">
        <f>IF(AC21&gt;1,AC21-1,IF(COUNTIFS('Plan CP'!$O:$O,'PR Grupo'!$G21,'Plan CP'!$P:$P,'PR Grupo'!AD$3,'Plan CP'!$M:$M,1)=1,1,IF(IFERROR(VLOOKUP('PR Grupo'!AD$3&amp;'PR Grupo'!$G21,'Plan CP'!$K:$P,3,FALSE)&gt;1,0),IFERROR(VLOOKUP('PR Grupo'!AD$3&amp;'PR Grupo'!$G21,'Plan CP'!$K:$P,3,FALSE),0),0)))</f>
        <v>1</v>
      </c>
      <c r="AE21" s="58">
        <f>IF(AD21&gt;1,AD21-1,IF(COUNTIFS('Plan CP'!$O:$O,'PR Grupo'!$G21,'Plan CP'!$P:$P,'PR Grupo'!AE$3,'Plan CP'!$M:$M,1)=1,1,IF(IFERROR(VLOOKUP('PR Grupo'!AE$3&amp;'PR Grupo'!$G21,'Plan CP'!$K:$P,3,FALSE)&gt;1,0),IFERROR(VLOOKUP('PR Grupo'!AE$3&amp;'PR Grupo'!$G21,'Plan CP'!$K:$P,3,FALSE),0),0)))</f>
        <v>1</v>
      </c>
      <c r="AF21" s="58">
        <f>IF(AE21&gt;1,AE21-1,IF(COUNTIFS('Plan CP'!$O:$O,'PR Grupo'!$G21,'Plan CP'!$P:$P,'PR Grupo'!AF$3,'Plan CP'!$M:$M,1)=1,1,IF(IFERROR(VLOOKUP('PR Grupo'!AF$3&amp;'PR Grupo'!$G21,'Plan CP'!$K:$P,3,FALSE)&gt;1,0),IFERROR(VLOOKUP('PR Grupo'!AF$3&amp;'PR Grupo'!$G21,'Plan CP'!$K:$P,3,FALSE),0),0)))</f>
        <v>1</v>
      </c>
      <c r="AG21" s="58">
        <f>IF(AF21&gt;1,AF21-1,IF(COUNTIFS('Plan CP'!$O:$O,'PR Grupo'!$G21,'Plan CP'!$P:$P,'PR Grupo'!AG$3,'Plan CP'!$M:$M,1)=1,1,IF(IFERROR(VLOOKUP('PR Grupo'!AG$3&amp;'PR Grupo'!$G21,'Plan CP'!$K:$P,3,FALSE)&gt;1,0),IFERROR(VLOOKUP('PR Grupo'!AG$3&amp;'PR Grupo'!$G21,'Plan CP'!$K:$P,3,FALSE),0),0)))</f>
        <v>1</v>
      </c>
      <c r="AH21" s="58">
        <f>IF(AG21&gt;1,AG21-1,IF(COUNTIFS('Plan CP'!$O:$O,'PR Grupo'!$G21,'Plan CP'!$P:$P,'PR Grupo'!AH$3,'Plan CP'!$M:$M,1)=1,1,IF(IFERROR(VLOOKUP('PR Grupo'!AH$3&amp;'PR Grupo'!$G21,'Plan CP'!$K:$P,3,FALSE)&gt;1,0),IFERROR(VLOOKUP('PR Grupo'!AH$3&amp;'PR Grupo'!$G21,'Plan CP'!$K:$P,3,FALSE),0),0)))</f>
        <v>1</v>
      </c>
      <c r="AI21" s="58">
        <f>IF(AH21&gt;1,AH21-1,IF(COUNTIFS('Plan CP'!$O:$O,'PR Grupo'!$G21,'Plan CP'!$P:$P,'PR Grupo'!AI$3,'Plan CP'!$M:$M,1)=1,1,IF(IFERROR(VLOOKUP('PR Grupo'!AI$3&amp;'PR Grupo'!$G21,'Plan CP'!$K:$P,3,FALSE)&gt;1,0),IFERROR(VLOOKUP('PR Grupo'!AI$3&amp;'PR Grupo'!$G21,'Plan CP'!$K:$P,3,FALSE),0),0)))</f>
        <v>1</v>
      </c>
      <c r="AJ21" s="58">
        <f>IF(AI21&gt;1,AI21-1,IF(COUNTIFS('Plan CP'!$O:$O,'PR Grupo'!$G21,'Plan CP'!$P:$P,'PR Grupo'!AJ$3,'Plan CP'!$M:$M,1)=1,1,IF(IFERROR(VLOOKUP('PR Grupo'!AJ$3&amp;'PR Grupo'!$G21,'Plan CP'!$K:$P,3,FALSE)&gt;1,0),IFERROR(VLOOKUP('PR Grupo'!AJ$3&amp;'PR Grupo'!$G21,'Plan CP'!$K:$P,3,FALSE),0),0)))</f>
        <v>1</v>
      </c>
      <c r="AK21" s="58">
        <f>IF(AJ21&gt;1,AJ21-1,IF(COUNTIFS('Plan CP'!$O:$O,'PR Grupo'!$G21,'Plan CP'!$P:$P,'PR Grupo'!AK$3,'Plan CP'!$M:$M,1)=1,1,IF(IFERROR(VLOOKUP('PR Grupo'!AK$3&amp;'PR Grupo'!$G21,'Plan CP'!$K:$P,3,FALSE)&gt;1,0),IFERROR(VLOOKUP('PR Grupo'!AK$3&amp;'PR Grupo'!$G21,'Plan CP'!$K:$P,3,FALSE),0),0)))</f>
        <v>1</v>
      </c>
      <c r="AL21" s="58">
        <f>IF(AK21&gt;1,AK21-1,IF(COUNTIFS('Plan CP'!$O:$O,'PR Grupo'!$G21,'Plan CP'!$P:$P,'PR Grupo'!AL$3,'Plan CP'!$M:$M,1)=1,1,IF(IFERROR(VLOOKUP('PR Grupo'!AL$3&amp;'PR Grupo'!$G21,'Plan CP'!$K:$P,3,FALSE)&gt;1,0),IFERROR(VLOOKUP('PR Grupo'!AL$3&amp;'PR Grupo'!$G21,'Plan CP'!$K:$P,3,FALSE),0),0)))</f>
        <v>1</v>
      </c>
      <c r="AM21" s="58">
        <f>IF(AL21&gt;1,AL21-1,IF(COUNTIFS('Plan CP'!$O:$O,'PR Grupo'!$G21,'Plan CP'!$P:$P,'PR Grupo'!AM$3,'Plan CP'!$M:$M,1)=1,1,IF(IFERROR(VLOOKUP('PR Grupo'!AM$3&amp;'PR Grupo'!$G21,'Plan CP'!$K:$P,3,FALSE)&gt;1,0),IFERROR(VLOOKUP('PR Grupo'!AM$3&amp;'PR Grupo'!$G21,'Plan CP'!$K:$P,3,FALSE),0),0)))</f>
        <v>1</v>
      </c>
      <c r="AN21" s="58">
        <f>IF(AM21&gt;1,AM21-1,IF(COUNTIFS('Plan CP'!$O:$O,'PR Grupo'!$G21,'Plan CP'!$P:$P,'PR Grupo'!AN$3,'Plan CP'!$M:$M,1)=1,1,IF(IFERROR(VLOOKUP('PR Grupo'!AN$3&amp;'PR Grupo'!$G21,'Plan CP'!$K:$P,3,FALSE)&gt;1,0),IFERROR(VLOOKUP('PR Grupo'!AN$3&amp;'PR Grupo'!$G21,'Plan CP'!$K:$P,3,FALSE),0),0)))</f>
        <v>1</v>
      </c>
      <c r="AO21" s="58">
        <f>IF(AN21&gt;1,AN21-1,IF(COUNTIFS('Plan CP'!$O:$O,'PR Grupo'!$G21,'Plan CP'!$P:$P,'PR Grupo'!AO$3,'Plan CP'!$M:$M,1)=1,1,IF(IFERROR(VLOOKUP('PR Grupo'!AO$3&amp;'PR Grupo'!$G21,'Plan CP'!$K:$P,3,FALSE)&gt;1,0),IFERROR(VLOOKUP('PR Grupo'!AO$3&amp;'PR Grupo'!$G21,'Plan CP'!$K:$P,3,FALSE),0),0)))</f>
        <v>0</v>
      </c>
    </row>
    <row r="22" spans="1:41">
      <c r="A22" s="21" t="s">
        <v>33</v>
      </c>
      <c r="B22" s="21" t="s">
        <v>37</v>
      </c>
      <c r="C22" s="21" t="s">
        <v>214</v>
      </c>
      <c r="D22" s="21" t="s">
        <v>269</v>
      </c>
      <c r="E22" s="24" t="s">
        <v>177</v>
      </c>
      <c r="F22" s="21" t="s">
        <v>269</v>
      </c>
      <c r="G22" s="33" t="s">
        <v>191</v>
      </c>
      <c r="H22" s="24">
        <v>15</v>
      </c>
      <c r="I22" s="33">
        <f t="shared" si="2"/>
        <v>18</v>
      </c>
      <c r="J22" s="33" t="str">
        <f t="shared" si="3"/>
        <v>OK</v>
      </c>
      <c r="K22" s="58">
        <f>IF(COUNTIFS('Plan CP'!$O:$O,'PR Grupo'!$G22,'Plan CP'!$P:$P,'PR Grupo'!K$3,'Plan CP'!$M:$M,1)=1,1,IF(IFERROR(VLOOKUP('PR Grupo'!K$3&amp;'PR Grupo'!$G22,'Plan CP'!$K:$P,3,FALSE)&gt;1,0),IFERROR(VLOOKUP('PR Grupo'!K$3&amp;'PR Grupo'!$G22,'Plan CP'!$K:$P,3,FALSE),0),0))</f>
        <v>1</v>
      </c>
      <c r="L22" s="58">
        <f>IF(K22&gt;1,K22-1,IF(COUNTIFS('Plan CP'!$O:$O,'PR Grupo'!$G22,'Plan CP'!$P:$P,'PR Grupo'!L$3,'Plan CP'!$M:$M,1)=1,1,IF(IFERROR(VLOOKUP('PR Grupo'!L$3&amp;'PR Grupo'!$G22,'Plan CP'!$K:$P,3,FALSE)&gt;1,0),IFERROR(VLOOKUP('PR Grupo'!L$3&amp;'PR Grupo'!$G22,'Plan CP'!$K:$P,3,FALSE),0),0)))</f>
        <v>1</v>
      </c>
      <c r="M22" s="58">
        <f>IF(L22&gt;1,L22-1,IF(COUNTIFS('Plan CP'!$O:$O,'PR Grupo'!$G22,'Plan CP'!$P:$P,'PR Grupo'!M$3,'Plan CP'!$M:$M,1)=1,1,IF(IFERROR(VLOOKUP('PR Grupo'!M$3&amp;'PR Grupo'!$G22,'Plan CP'!$K:$P,3,FALSE)&gt;1,0),IFERROR(VLOOKUP('PR Grupo'!M$3&amp;'PR Grupo'!$G22,'Plan CP'!$K:$P,3,FALSE),0),0)))</f>
        <v>1</v>
      </c>
      <c r="N22" s="58">
        <f>IF(M22&gt;1,M22-1,IF(COUNTIFS('Plan CP'!$O:$O,'PR Grupo'!$G22,'Plan CP'!$P:$P,'PR Grupo'!N$3,'Plan CP'!$M:$M,1)=1,1,IF(IFERROR(VLOOKUP('PR Grupo'!N$3&amp;'PR Grupo'!$G22,'Plan CP'!$K:$P,3,FALSE)&gt;1,0),IFERROR(VLOOKUP('PR Grupo'!N$3&amp;'PR Grupo'!$G22,'Plan CP'!$K:$P,3,FALSE),0),0)))</f>
        <v>1</v>
      </c>
      <c r="O22" s="58">
        <f>IF(N22&gt;1,N22-1,IF(COUNTIFS('Plan CP'!$O:$O,'PR Grupo'!$G22,'Plan CP'!$P:$P,'PR Grupo'!O$3,'Plan CP'!$M:$M,1)=1,1,IF(IFERROR(VLOOKUP('PR Grupo'!O$3&amp;'PR Grupo'!$G22,'Plan CP'!$K:$P,3,FALSE)&gt;1,0),IFERROR(VLOOKUP('PR Grupo'!O$3&amp;'PR Grupo'!$G22,'Plan CP'!$K:$P,3,FALSE),0),0)))</f>
        <v>1</v>
      </c>
      <c r="P22" s="58">
        <f>IF(O22&gt;1,O22-1,IF(COUNTIFS('Plan CP'!$O:$O,'PR Grupo'!$G22,'Plan CP'!$P:$P,'PR Grupo'!P$3,'Plan CP'!$M:$M,1)=1,1,IF(IFERROR(VLOOKUP('PR Grupo'!P$3&amp;'PR Grupo'!$G22,'Plan CP'!$K:$P,3,FALSE)&gt;1,0),IFERROR(VLOOKUP('PR Grupo'!P$3&amp;'PR Grupo'!$G22,'Plan CP'!$K:$P,3,FALSE),0),0)))</f>
        <v>1</v>
      </c>
      <c r="Q22" s="58">
        <f>IF(P22&gt;1,P22-1,IF(COUNTIFS('Plan CP'!$O:$O,'PR Grupo'!$G22,'Plan CP'!$P:$P,'PR Grupo'!Q$3,'Plan CP'!$M:$M,1)=1,1,IF(IFERROR(VLOOKUP('PR Grupo'!Q$3&amp;'PR Grupo'!$G22,'Plan CP'!$K:$P,3,FALSE)&gt;1,0),IFERROR(VLOOKUP('PR Grupo'!Q$3&amp;'PR Grupo'!$G22,'Plan CP'!$K:$P,3,FALSE),0),0)))</f>
        <v>1</v>
      </c>
      <c r="R22" s="58">
        <f>IF(Q22&gt;1,Q22-1,IF(COUNTIFS('Plan CP'!$O:$O,'PR Grupo'!$G22,'Plan CP'!$P:$P,'PR Grupo'!R$3,'Plan CP'!$M:$M,1)=1,1,IF(IFERROR(VLOOKUP('PR Grupo'!R$3&amp;'PR Grupo'!$G22,'Plan CP'!$K:$P,3,FALSE)&gt;1,0),IFERROR(VLOOKUP('PR Grupo'!R$3&amp;'PR Grupo'!$G22,'Plan CP'!$K:$P,3,FALSE),0),0)))</f>
        <v>0</v>
      </c>
      <c r="S22" s="58">
        <f>IF(R22&gt;1,R22-1,IF(COUNTIFS('Plan CP'!$O:$O,'PR Grupo'!$G22,'Plan CP'!$P:$P,'PR Grupo'!S$3,'Plan CP'!$M:$M,1)=1,1,IF(IFERROR(VLOOKUP('PR Grupo'!S$3&amp;'PR Grupo'!$G22,'Plan CP'!$K:$P,3,FALSE)&gt;1,0),IFERROR(VLOOKUP('PR Grupo'!S$3&amp;'PR Grupo'!$G22,'Plan CP'!$K:$P,3,FALSE),0),0)))</f>
        <v>0</v>
      </c>
      <c r="T22" s="58">
        <f>IF(S22&gt;1,S22-1,IF(COUNTIFS('Plan CP'!$O:$O,'PR Grupo'!$G22,'Plan CP'!$P:$P,'PR Grupo'!T$3,'Plan CP'!$M:$M,1)=1,1,IF(IFERROR(VLOOKUP('PR Grupo'!T$3&amp;'PR Grupo'!$G22,'Plan CP'!$K:$P,3,FALSE)&gt;1,0),IFERROR(VLOOKUP('PR Grupo'!T$3&amp;'PR Grupo'!$G22,'Plan CP'!$K:$P,3,FALSE),0),0)))</f>
        <v>0</v>
      </c>
      <c r="U22" s="58">
        <f>IF(T22&gt;1,T22-1,IF(COUNTIFS('Plan CP'!$O:$O,'PR Grupo'!$G22,'Plan CP'!$P:$P,'PR Grupo'!U$3,'Plan CP'!$M:$M,1)=1,1,IF(IFERROR(VLOOKUP('PR Grupo'!U$3&amp;'PR Grupo'!$G22,'Plan CP'!$K:$P,3,FALSE)&gt;1,0),IFERROR(VLOOKUP('PR Grupo'!U$3&amp;'PR Grupo'!$G22,'Plan CP'!$K:$P,3,FALSE),0),0)))</f>
        <v>0</v>
      </c>
      <c r="V22" s="58">
        <f>IF(U22&gt;1,U22-1,IF(COUNTIFS('Plan CP'!$O:$O,'PR Grupo'!$G22,'Plan CP'!$P:$P,'PR Grupo'!V$3,'Plan CP'!$M:$M,1)=1,1,IF(IFERROR(VLOOKUP('PR Grupo'!V$3&amp;'PR Grupo'!$G22,'Plan CP'!$K:$P,3,FALSE)&gt;1,0),IFERROR(VLOOKUP('PR Grupo'!V$3&amp;'PR Grupo'!$G22,'Plan CP'!$K:$P,3,FALSE),0),0)))</f>
        <v>0</v>
      </c>
      <c r="W22" s="58">
        <f>IF(V22&gt;1,V22-1,IF(COUNTIFS('Plan CP'!$O:$O,'PR Grupo'!$G22,'Plan CP'!$P:$P,'PR Grupo'!W$3,'Plan CP'!$M:$M,1)=1,1,IF(IFERROR(VLOOKUP('PR Grupo'!W$3&amp;'PR Grupo'!$G22,'Plan CP'!$K:$P,3,FALSE)&gt;1,0),IFERROR(VLOOKUP('PR Grupo'!W$3&amp;'PR Grupo'!$G22,'Plan CP'!$K:$P,3,FALSE),0),0)))</f>
        <v>0</v>
      </c>
      <c r="X22" s="58">
        <f>IF(W22&gt;1,W22-1,IF(COUNTIFS('Plan CP'!$O:$O,'PR Grupo'!$G22,'Plan CP'!$P:$P,'PR Grupo'!X$3,'Plan CP'!$M:$M,1)=1,1,IF(IFERROR(VLOOKUP('PR Grupo'!X$3&amp;'PR Grupo'!$G22,'Plan CP'!$K:$P,3,FALSE)&gt;1,0),IFERROR(VLOOKUP('PR Grupo'!X$3&amp;'PR Grupo'!$G22,'Plan CP'!$K:$P,3,FALSE),0),0)))</f>
        <v>0</v>
      </c>
      <c r="Y22" s="58">
        <f>IF(X22&gt;1,X22-1,IF(COUNTIFS('Plan CP'!$O:$O,'PR Grupo'!$G22,'Plan CP'!$P:$P,'PR Grupo'!Y$3,'Plan CP'!$M:$M,1)=1,1,IF(IFERROR(VLOOKUP('PR Grupo'!Y$3&amp;'PR Grupo'!$G22,'Plan CP'!$K:$P,3,FALSE)&gt;1,0),IFERROR(VLOOKUP('PR Grupo'!Y$3&amp;'PR Grupo'!$G22,'Plan CP'!$K:$P,3,FALSE),0),0)))</f>
        <v>0</v>
      </c>
      <c r="Z22" s="58">
        <f>IF(Y22&gt;1,Y22-1,IF(COUNTIFS('Plan CP'!$O:$O,'PR Grupo'!$G22,'Plan CP'!$P:$P,'PR Grupo'!Z$3,'Plan CP'!$M:$M,1)=1,1,IF(IFERROR(VLOOKUP('PR Grupo'!Z$3&amp;'PR Grupo'!$G22,'Plan CP'!$K:$P,3,FALSE)&gt;1,0),IFERROR(VLOOKUP('PR Grupo'!Z$3&amp;'PR Grupo'!$G22,'Plan CP'!$K:$P,3,FALSE),0),0)))</f>
        <v>0</v>
      </c>
      <c r="AA22" s="58">
        <f>IF(Z22&gt;1,Z22-1,IF(COUNTIFS('Plan CP'!$O:$O,'PR Grupo'!$G22,'Plan CP'!$P:$P,'PR Grupo'!AA$3,'Plan CP'!$M:$M,1)=1,1,IF(IFERROR(VLOOKUP('PR Grupo'!AA$3&amp;'PR Grupo'!$G22,'Plan CP'!$K:$P,3,FALSE)&gt;1,0),IFERROR(VLOOKUP('PR Grupo'!AA$3&amp;'PR Grupo'!$G22,'Plan CP'!$K:$P,3,FALSE),0),0)))</f>
        <v>0</v>
      </c>
      <c r="AB22" s="58">
        <f>IF(AA22&gt;1,AA22-1,IF(COUNTIFS('Plan CP'!$O:$O,'PR Grupo'!$G22,'Plan CP'!$P:$P,'PR Grupo'!AB$3,'Plan CP'!$M:$M,1)=1,1,IF(IFERROR(VLOOKUP('PR Grupo'!AB$3&amp;'PR Grupo'!$G22,'Plan CP'!$K:$P,3,FALSE)&gt;1,0),IFERROR(VLOOKUP('PR Grupo'!AB$3&amp;'PR Grupo'!$G22,'Plan CP'!$K:$P,3,FALSE),0),0)))</f>
        <v>0</v>
      </c>
      <c r="AC22" s="58">
        <f>IF(AB22&gt;1,AB22-1,IF(COUNTIFS('Plan CP'!$O:$O,'PR Grupo'!$G22,'Plan CP'!$P:$P,'PR Grupo'!AC$3,'Plan CP'!$M:$M,1)=1,1,IF(IFERROR(VLOOKUP('PR Grupo'!AC$3&amp;'PR Grupo'!$G22,'Plan CP'!$K:$P,3,FALSE)&gt;1,0),IFERROR(VLOOKUP('PR Grupo'!AC$3&amp;'PR Grupo'!$G22,'Plan CP'!$K:$P,3,FALSE),0),0)))</f>
        <v>0</v>
      </c>
      <c r="AD22" s="58">
        <f>IF(AC22&gt;1,AC22-1,IF(COUNTIFS('Plan CP'!$O:$O,'PR Grupo'!$G22,'Plan CP'!$P:$P,'PR Grupo'!AD$3,'Plan CP'!$M:$M,1)=1,1,IF(IFERROR(VLOOKUP('PR Grupo'!AD$3&amp;'PR Grupo'!$G22,'Plan CP'!$K:$P,3,FALSE)&gt;1,0),IFERROR(VLOOKUP('PR Grupo'!AD$3&amp;'PR Grupo'!$G22,'Plan CP'!$K:$P,3,FALSE),0),0)))</f>
        <v>1</v>
      </c>
      <c r="AE22" s="58">
        <f>IF(AD22&gt;1,AD22-1,IF(COUNTIFS('Plan CP'!$O:$O,'PR Grupo'!$G22,'Plan CP'!$P:$P,'PR Grupo'!AE$3,'Plan CP'!$M:$M,1)=1,1,IF(IFERROR(VLOOKUP('PR Grupo'!AE$3&amp;'PR Grupo'!$G22,'Plan CP'!$K:$P,3,FALSE)&gt;1,0),IFERROR(VLOOKUP('PR Grupo'!AE$3&amp;'PR Grupo'!$G22,'Plan CP'!$K:$P,3,FALSE),0),0)))</f>
        <v>1</v>
      </c>
      <c r="AF22" s="58">
        <f>IF(AE22&gt;1,AE22-1,IF(COUNTIFS('Plan CP'!$O:$O,'PR Grupo'!$G22,'Plan CP'!$P:$P,'PR Grupo'!AF$3,'Plan CP'!$M:$M,1)=1,1,IF(IFERROR(VLOOKUP('PR Grupo'!AF$3&amp;'PR Grupo'!$G22,'Plan CP'!$K:$P,3,FALSE)&gt;1,0),IFERROR(VLOOKUP('PR Grupo'!AF$3&amp;'PR Grupo'!$G22,'Plan CP'!$K:$P,3,FALSE),0),0)))</f>
        <v>1</v>
      </c>
      <c r="AG22" s="58">
        <f>IF(AF22&gt;1,AF22-1,IF(COUNTIFS('Plan CP'!$O:$O,'PR Grupo'!$G22,'Plan CP'!$P:$P,'PR Grupo'!AG$3,'Plan CP'!$M:$M,1)=1,1,IF(IFERROR(VLOOKUP('PR Grupo'!AG$3&amp;'PR Grupo'!$G22,'Plan CP'!$K:$P,3,FALSE)&gt;1,0),IFERROR(VLOOKUP('PR Grupo'!AG$3&amp;'PR Grupo'!$G22,'Plan CP'!$K:$P,3,FALSE),0),0)))</f>
        <v>1</v>
      </c>
      <c r="AH22" s="58">
        <f>IF(AG22&gt;1,AG22-1,IF(COUNTIFS('Plan CP'!$O:$O,'PR Grupo'!$G22,'Plan CP'!$P:$P,'PR Grupo'!AH$3,'Plan CP'!$M:$M,1)=1,1,IF(IFERROR(VLOOKUP('PR Grupo'!AH$3&amp;'PR Grupo'!$G22,'Plan CP'!$K:$P,3,FALSE)&gt;1,0),IFERROR(VLOOKUP('PR Grupo'!AH$3&amp;'PR Grupo'!$G22,'Plan CP'!$K:$P,3,FALSE),0),0)))</f>
        <v>1</v>
      </c>
      <c r="AI22" s="58">
        <f>IF(AH22&gt;1,AH22-1,IF(COUNTIFS('Plan CP'!$O:$O,'PR Grupo'!$G22,'Plan CP'!$P:$P,'PR Grupo'!AI$3,'Plan CP'!$M:$M,1)=1,1,IF(IFERROR(VLOOKUP('PR Grupo'!AI$3&amp;'PR Grupo'!$G22,'Plan CP'!$K:$P,3,FALSE)&gt;1,0),IFERROR(VLOOKUP('PR Grupo'!AI$3&amp;'PR Grupo'!$G22,'Plan CP'!$K:$P,3,FALSE),0),0)))</f>
        <v>1</v>
      </c>
      <c r="AJ22" s="58">
        <f>IF(AI22&gt;1,AI22-1,IF(COUNTIFS('Plan CP'!$O:$O,'PR Grupo'!$G22,'Plan CP'!$P:$P,'PR Grupo'!AJ$3,'Plan CP'!$M:$M,1)=1,1,IF(IFERROR(VLOOKUP('PR Grupo'!AJ$3&amp;'PR Grupo'!$G22,'Plan CP'!$K:$P,3,FALSE)&gt;1,0),IFERROR(VLOOKUP('PR Grupo'!AJ$3&amp;'PR Grupo'!$G22,'Plan CP'!$K:$P,3,FALSE),0),0)))</f>
        <v>1</v>
      </c>
      <c r="AK22" s="58">
        <f>IF(AJ22&gt;1,AJ22-1,IF(COUNTIFS('Plan CP'!$O:$O,'PR Grupo'!$G22,'Plan CP'!$P:$P,'PR Grupo'!AK$3,'Plan CP'!$M:$M,1)=1,1,IF(IFERROR(VLOOKUP('PR Grupo'!AK$3&amp;'PR Grupo'!$G22,'Plan CP'!$K:$P,3,FALSE)&gt;1,0),IFERROR(VLOOKUP('PR Grupo'!AK$3&amp;'PR Grupo'!$G22,'Plan CP'!$K:$P,3,FALSE),0),0)))</f>
        <v>1</v>
      </c>
      <c r="AL22" s="58">
        <f>IF(AK22&gt;1,AK22-1,IF(COUNTIFS('Plan CP'!$O:$O,'PR Grupo'!$G22,'Plan CP'!$P:$P,'PR Grupo'!AL$3,'Plan CP'!$M:$M,1)=1,1,IF(IFERROR(VLOOKUP('PR Grupo'!AL$3&amp;'PR Grupo'!$G22,'Plan CP'!$K:$P,3,FALSE)&gt;1,0),IFERROR(VLOOKUP('PR Grupo'!AL$3&amp;'PR Grupo'!$G22,'Plan CP'!$K:$P,3,FALSE),0),0)))</f>
        <v>1</v>
      </c>
      <c r="AM22" s="58">
        <f>IF(AL22&gt;1,AL22-1,IF(COUNTIFS('Plan CP'!$O:$O,'PR Grupo'!$G22,'Plan CP'!$P:$P,'PR Grupo'!AM$3,'Plan CP'!$M:$M,1)=1,1,IF(IFERROR(VLOOKUP('PR Grupo'!AM$3&amp;'PR Grupo'!$G22,'Plan CP'!$K:$P,3,FALSE)&gt;1,0),IFERROR(VLOOKUP('PR Grupo'!AM$3&amp;'PR Grupo'!$G22,'Plan CP'!$K:$P,3,FALSE),0),0)))</f>
        <v>1</v>
      </c>
      <c r="AN22" s="58">
        <f>IF(AM22&gt;1,AM22-1,IF(COUNTIFS('Plan CP'!$O:$O,'PR Grupo'!$G22,'Plan CP'!$P:$P,'PR Grupo'!AN$3,'Plan CP'!$M:$M,1)=1,1,IF(IFERROR(VLOOKUP('PR Grupo'!AN$3&amp;'PR Grupo'!$G22,'Plan CP'!$K:$P,3,FALSE)&gt;1,0),IFERROR(VLOOKUP('PR Grupo'!AN$3&amp;'PR Grupo'!$G22,'Plan CP'!$K:$P,3,FALSE),0),0)))</f>
        <v>1</v>
      </c>
      <c r="AO22" s="58">
        <f>IF(AN22&gt;1,AN22-1,IF(COUNTIFS('Plan CP'!$O:$O,'PR Grupo'!$G22,'Plan CP'!$P:$P,'PR Grupo'!AO$3,'Plan CP'!$M:$M,1)=1,1,IF(IFERROR(VLOOKUP('PR Grupo'!AO$3&amp;'PR Grupo'!$G22,'Plan CP'!$K:$P,3,FALSE)&gt;1,0),IFERROR(VLOOKUP('PR Grupo'!AO$3&amp;'PR Grupo'!$G22,'Plan CP'!$K:$P,3,FALSE),0),0)))</f>
        <v>0</v>
      </c>
    </row>
    <row r="23" spans="1:41">
      <c r="A23" s="21" t="s">
        <v>33</v>
      </c>
      <c r="B23" s="21" t="s">
        <v>44</v>
      </c>
      <c r="C23" s="21" t="s">
        <v>215</v>
      </c>
      <c r="D23" s="21" t="s">
        <v>266</v>
      </c>
      <c r="E23" s="24" t="s">
        <v>177</v>
      </c>
      <c r="F23" s="21" t="s">
        <v>266</v>
      </c>
      <c r="G23" s="33" t="s">
        <v>191</v>
      </c>
      <c r="H23" s="24">
        <v>15</v>
      </c>
      <c r="I23" s="33">
        <f t="shared" si="2"/>
        <v>18</v>
      </c>
      <c r="J23" s="33" t="str">
        <f t="shared" si="3"/>
        <v>OK</v>
      </c>
      <c r="K23" s="58">
        <f>IF(COUNTIFS('Plan CP'!$O:$O,'PR Grupo'!$G23,'Plan CP'!$P:$P,'PR Grupo'!K$3,'Plan CP'!$M:$M,1)=1,1,IF(IFERROR(VLOOKUP('PR Grupo'!K$3&amp;'PR Grupo'!$G23,'Plan CP'!$K:$P,3,FALSE)&gt;1,0),IFERROR(VLOOKUP('PR Grupo'!K$3&amp;'PR Grupo'!$G23,'Plan CP'!$K:$P,3,FALSE),0),0))</f>
        <v>1</v>
      </c>
      <c r="L23" s="58">
        <f>IF(K23&gt;1,K23-1,IF(COUNTIFS('Plan CP'!$O:$O,'PR Grupo'!$G23,'Plan CP'!$P:$P,'PR Grupo'!L$3,'Plan CP'!$M:$M,1)=1,1,IF(IFERROR(VLOOKUP('PR Grupo'!L$3&amp;'PR Grupo'!$G23,'Plan CP'!$K:$P,3,FALSE)&gt;1,0),IFERROR(VLOOKUP('PR Grupo'!L$3&amp;'PR Grupo'!$G23,'Plan CP'!$K:$P,3,FALSE),0),0)))</f>
        <v>1</v>
      </c>
      <c r="M23" s="58">
        <f>IF(L23&gt;1,L23-1,IF(COUNTIFS('Plan CP'!$O:$O,'PR Grupo'!$G23,'Plan CP'!$P:$P,'PR Grupo'!M$3,'Plan CP'!$M:$M,1)=1,1,IF(IFERROR(VLOOKUP('PR Grupo'!M$3&amp;'PR Grupo'!$G23,'Plan CP'!$K:$P,3,FALSE)&gt;1,0),IFERROR(VLOOKUP('PR Grupo'!M$3&amp;'PR Grupo'!$G23,'Plan CP'!$K:$P,3,FALSE),0),0)))</f>
        <v>1</v>
      </c>
      <c r="N23" s="58">
        <f>IF(M23&gt;1,M23-1,IF(COUNTIFS('Plan CP'!$O:$O,'PR Grupo'!$G23,'Plan CP'!$P:$P,'PR Grupo'!N$3,'Plan CP'!$M:$M,1)=1,1,IF(IFERROR(VLOOKUP('PR Grupo'!N$3&amp;'PR Grupo'!$G23,'Plan CP'!$K:$P,3,FALSE)&gt;1,0),IFERROR(VLOOKUP('PR Grupo'!N$3&amp;'PR Grupo'!$G23,'Plan CP'!$K:$P,3,FALSE),0),0)))</f>
        <v>1</v>
      </c>
      <c r="O23" s="58">
        <f>IF(N23&gt;1,N23-1,IF(COUNTIFS('Plan CP'!$O:$O,'PR Grupo'!$G23,'Plan CP'!$P:$P,'PR Grupo'!O$3,'Plan CP'!$M:$M,1)=1,1,IF(IFERROR(VLOOKUP('PR Grupo'!O$3&amp;'PR Grupo'!$G23,'Plan CP'!$K:$P,3,FALSE)&gt;1,0),IFERROR(VLOOKUP('PR Grupo'!O$3&amp;'PR Grupo'!$G23,'Plan CP'!$K:$P,3,FALSE),0),0)))</f>
        <v>1</v>
      </c>
      <c r="P23" s="58">
        <f>IF(O23&gt;1,O23-1,IF(COUNTIFS('Plan CP'!$O:$O,'PR Grupo'!$G23,'Plan CP'!$P:$P,'PR Grupo'!P$3,'Plan CP'!$M:$M,1)=1,1,IF(IFERROR(VLOOKUP('PR Grupo'!P$3&amp;'PR Grupo'!$G23,'Plan CP'!$K:$P,3,FALSE)&gt;1,0),IFERROR(VLOOKUP('PR Grupo'!P$3&amp;'PR Grupo'!$G23,'Plan CP'!$K:$P,3,FALSE),0),0)))</f>
        <v>1</v>
      </c>
      <c r="Q23" s="58">
        <f>IF(P23&gt;1,P23-1,IF(COUNTIFS('Plan CP'!$O:$O,'PR Grupo'!$G23,'Plan CP'!$P:$P,'PR Grupo'!Q$3,'Plan CP'!$M:$M,1)=1,1,IF(IFERROR(VLOOKUP('PR Grupo'!Q$3&amp;'PR Grupo'!$G23,'Plan CP'!$K:$P,3,FALSE)&gt;1,0),IFERROR(VLOOKUP('PR Grupo'!Q$3&amp;'PR Grupo'!$G23,'Plan CP'!$K:$P,3,FALSE),0),0)))</f>
        <v>1</v>
      </c>
      <c r="R23" s="58">
        <f>IF(Q23&gt;1,Q23-1,IF(COUNTIFS('Plan CP'!$O:$O,'PR Grupo'!$G23,'Plan CP'!$P:$P,'PR Grupo'!R$3,'Plan CP'!$M:$M,1)=1,1,IF(IFERROR(VLOOKUP('PR Grupo'!R$3&amp;'PR Grupo'!$G23,'Plan CP'!$K:$P,3,FALSE)&gt;1,0),IFERROR(VLOOKUP('PR Grupo'!R$3&amp;'PR Grupo'!$G23,'Plan CP'!$K:$P,3,FALSE),0),0)))</f>
        <v>0</v>
      </c>
      <c r="S23" s="58">
        <f>IF(R23&gt;1,R23-1,IF(COUNTIFS('Plan CP'!$O:$O,'PR Grupo'!$G23,'Plan CP'!$P:$P,'PR Grupo'!S$3,'Plan CP'!$M:$M,1)=1,1,IF(IFERROR(VLOOKUP('PR Grupo'!S$3&amp;'PR Grupo'!$G23,'Plan CP'!$K:$P,3,FALSE)&gt;1,0),IFERROR(VLOOKUP('PR Grupo'!S$3&amp;'PR Grupo'!$G23,'Plan CP'!$K:$P,3,FALSE),0),0)))</f>
        <v>0</v>
      </c>
      <c r="T23" s="58">
        <f>IF(S23&gt;1,S23-1,IF(COUNTIFS('Plan CP'!$O:$O,'PR Grupo'!$G23,'Plan CP'!$P:$P,'PR Grupo'!T$3,'Plan CP'!$M:$M,1)=1,1,IF(IFERROR(VLOOKUP('PR Grupo'!T$3&amp;'PR Grupo'!$G23,'Plan CP'!$K:$P,3,FALSE)&gt;1,0),IFERROR(VLOOKUP('PR Grupo'!T$3&amp;'PR Grupo'!$G23,'Plan CP'!$K:$P,3,FALSE),0),0)))</f>
        <v>0</v>
      </c>
      <c r="U23" s="58">
        <f>IF(T23&gt;1,T23-1,IF(COUNTIFS('Plan CP'!$O:$O,'PR Grupo'!$G23,'Plan CP'!$P:$P,'PR Grupo'!U$3,'Plan CP'!$M:$M,1)=1,1,IF(IFERROR(VLOOKUP('PR Grupo'!U$3&amp;'PR Grupo'!$G23,'Plan CP'!$K:$P,3,FALSE)&gt;1,0),IFERROR(VLOOKUP('PR Grupo'!U$3&amp;'PR Grupo'!$G23,'Plan CP'!$K:$P,3,FALSE),0),0)))</f>
        <v>0</v>
      </c>
      <c r="V23" s="58">
        <f>IF(U23&gt;1,U23-1,IF(COUNTIFS('Plan CP'!$O:$O,'PR Grupo'!$G23,'Plan CP'!$P:$P,'PR Grupo'!V$3,'Plan CP'!$M:$M,1)=1,1,IF(IFERROR(VLOOKUP('PR Grupo'!V$3&amp;'PR Grupo'!$G23,'Plan CP'!$K:$P,3,FALSE)&gt;1,0),IFERROR(VLOOKUP('PR Grupo'!V$3&amp;'PR Grupo'!$G23,'Plan CP'!$K:$P,3,FALSE),0),0)))</f>
        <v>0</v>
      </c>
      <c r="W23" s="58">
        <f>IF(V23&gt;1,V23-1,IF(COUNTIFS('Plan CP'!$O:$O,'PR Grupo'!$G23,'Plan CP'!$P:$P,'PR Grupo'!W$3,'Plan CP'!$M:$M,1)=1,1,IF(IFERROR(VLOOKUP('PR Grupo'!W$3&amp;'PR Grupo'!$G23,'Plan CP'!$K:$P,3,FALSE)&gt;1,0),IFERROR(VLOOKUP('PR Grupo'!W$3&amp;'PR Grupo'!$G23,'Plan CP'!$K:$P,3,FALSE),0),0)))</f>
        <v>0</v>
      </c>
      <c r="X23" s="58">
        <f>IF(W23&gt;1,W23-1,IF(COUNTIFS('Plan CP'!$O:$O,'PR Grupo'!$G23,'Plan CP'!$P:$P,'PR Grupo'!X$3,'Plan CP'!$M:$M,1)=1,1,IF(IFERROR(VLOOKUP('PR Grupo'!X$3&amp;'PR Grupo'!$G23,'Plan CP'!$K:$P,3,FALSE)&gt;1,0),IFERROR(VLOOKUP('PR Grupo'!X$3&amp;'PR Grupo'!$G23,'Plan CP'!$K:$P,3,FALSE),0),0)))</f>
        <v>0</v>
      </c>
      <c r="Y23" s="58">
        <f>IF(X23&gt;1,X23-1,IF(COUNTIFS('Plan CP'!$O:$O,'PR Grupo'!$G23,'Plan CP'!$P:$P,'PR Grupo'!Y$3,'Plan CP'!$M:$M,1)=1,1,IF(IFERROR(VLOOKUP('PR Grupo'!Y$3&amp;'PR Grupo'!$G23,'Plan CP'!$K:$P,3,FALSE)&gt;1,0),IFERROR(VLOOKUP('PR Grupo'!Y$3&amp;'PR Grupo'!$G23,'Plan CP'!$K:$P,3,FALSE),0),0)))</f>
        <v>0</v>
      </c>
      <c r="Z23" s="58">
        <f>IF(Y23&gt;1,Y23-1,IF(COUNTIFS('Plan CP'!$O:$O,'PR Grupo'!$G23,'Plan CP'!$P:$P,'PR Grupo'!Z$3,'Plan CP'!$M:$M,1)=1,1,IF(IFERROR(VLOOKUP('PR Grupo'!Z$3&amp;'PR Grupo'!$G23,'Plan CP'!$K:$P,3,FALSE)&gt;1,0),IFERROR(VLOOKUP('PR Grupo'!Z$3&amp;'PR Grupo'!$G23,'Plan CP'!$K:$P,3,FALSE),0),0)))</f>
        <v>0</v>
      </c>
      <c r="AA23" s="58">
        <f>IF(Z23&gt;1,Z23-1,IF(COUNTIFS('Plan CP'!$O:$O,'PR Grupo'!$G23,'Plan CP'!$P:$P,'PR Grupo'!AA$3,'Plan CP'!$M:$M,1)=1,1,IF(IFERROR(VLOOKUP('PR Grupo'!AA$3&amp;'PR Grupo'!$G23,'Plan CP'!$K:$P,3,FALSE)&gt;1,0),IFERROR(VLOOKUP('PR Grupo'!AA$3&amp;'PR Grupo'!$G23,'Plan CP'!$K:$P,3,FALSE),0),0)))</f>
        <v>0</v>
      </c>
      <c r="AB23" s="58">
        <f>IF(AA23&gt;1,AA23-1,IF(COUNTIFS('Plan CP'!$O:$O,'PR Grupo'!$G23,'Plan CP'!$P:$P,'PR Grupo'!AB$3,'Plan CP'!$M:$M,1)=1,1,IF(IFERROR(VLOOKUP('PR Grupo'!AB$3&amp;'PR Grupo'!$G23,'Plan CP'!$K:$P,3,FALSE)&gt;1,0),IFERROR(VLOOKUP('PR Grupo'!AB$3&amp;'PR Grupo'!$G23,'Plan CP'!$K:$P,3,FALSE),0),0)))</f>
        <v>0</v>
      </c>
      <c r="AC23" s="58">
        <f>IF(AB23&gt;1,AB23-1,IF(COUNTIFS('Plan CP'!$O:$O,'PR Grupo'!$G23,'Plan CP'!$P:$P,'PR Grupo'!AC$3,'Plan CP'!$M:$M,1)=1,1,IF(IFERROR(VLOOKUP('PR Grupo'!AC$3&amp;'PR Grupo'!$G23,'Plan CP'!$K:$P,3,FALSE)&gt;1,0),IFERROR(VLOOKUP('PR Grupo'!AC$3&amp;'PR Grupo'!$G23,'Plan CP'!$K:$P,3,FALSE),0),0)))</f>
        <v>0</v>
      </c>
      <c r="AD23" s="58">
        <f>IF(AC23&gt;1,AC23-1,IF(COUNTIFS('Plan CP'!$O:$O,'PR Grupo'!$G23,'Plan CP'!$P:$P,'PR Grupo'!AD$3,'Plan CP'!$M:$M,1)=1,1,IF(IFERROR(VLOOKUP('PR Grupo'!AD$3&amp;'PR Grupo'!$G23,'Plan CP'!$K:$P,3,FALSE)&gt;1,0),IFERROR(VLOOKUP('PR Grupo'!AD$3&amp;'PR Grupo'!$G23,'Plan CP'!$K:$P,3,FALSE),0),0)))</f>
        <v>1</v>
      </c>
      <c r="AE23" s="58">
        <f>IF(AD23&gt;1,AD23-1,IF(COUNTIFS('Plan CP'!$O:$O,'PR Grupo'!$G23,'Plan CP'!$P:$P,'PR Grupo'!AE$3,'Plan CP'!$M:$M,1)=1,1,IF(IFERROR(VLOOKUP('PR Grupo'!AE$3&amp;'PR Grupo'!$G23,'Plan CP'!$K:$P,3,FALSE)&gt;1,0),IFERROR(VLOOKUP('PR Grupo'!AE$3&amp;'PR Grupo'!$G23,'Plan CP'!$K:$P,3,FALSE),0),0)))</f>
        <v>1</v>
      </c>
      <c r="AF23" s="58">
        <f>IF(AE23&gt;1,AE23-1,IF(COUNTIFS('Plan CP'!$O:$O,'PR Grupo'!$G23,'Plan CP'!$P:$P,'PR Grupo'!AF$3,'Plan CP'!$M:$M,1)=1,1,IF(IFERROR(VLOOKUP('PR Grupo'!AF$3&amp;'PR Grupo'!$G23,'Plan CP'!$K:$P,3,FALSE)&gt;1,0),IFERROR(VLOOKUP('PR Grupo'!AF$3&amp;'PR Grupo'!$G23,'Plan CP'!$K:$P,3,FALSE),0),0)))</f>
        <v>1</v>
      </c>
      <c r="AG23" s="58">
        <f>IF(AF23&gt;1,AF23-1,IF(COUNTIFS('Plan CP'!$O:$O,'PR Grupo'!$G23,'Plan CP'!$P:$P,'PR Grupo'!AG$3,'Plan CP'!$M:$M,1)=1,1,IF(IFERROR(VLOOKUP('PR Grupo'!AG$3&amp;'PR Grupo'!$G23,'Plan CP'!$K:$P,3,FALSE)&gt;1,0),IFERROR(VLOOKUP('PR Grupo'!AG$3&amp;'PR Grupo'!$G23,'Plan CP'!$K:$P,3,FALSE),0),0)))</f>
        <v>1</v>
      </c>
      <c r="AH23" s="58">
        <f>IF(AG23&gt;1,AG23-1,IF(COUNTIFS('Plan CP'!$O:$O,'PR Grupo'!$G23,'Plan CP'!$P:$P,'PR Grupo'!AH$3,'Plan CP'!$M:$M,1)=1,1,IF(IFERROR(VLOOKUP('PR Grupo'!AH$3&amp;'PR Grupo'!$G23,'Plan CP'!$K:$P,3,FALSE)&gt;1,0),IFERROR(VLOOKUP('PR Grupo'!AH$3&amp;'PR Grupo'!$G23,'Plan CP'!$K:$P,3,FALSE),0),0)))</f>
        <v>1</v>
      </c>
      <c r="AI23" s="58">
        <f>IF(AH23&gt;1,AH23-1,IF(COUNTIFS('Plan CP'!$O:$O,'PR Grupo'!$G23,'Plan CP'!$P:$P,'PR Grupo'!AI$3,'Plan CP'!$M:$M,1)=1,1,IF(IFERROR(VLOOKUP('PR Grupo'!AI$3&amp;'PR Grupo'!$G23,'Plan CP'!$K:$P,3,FALSE)&gt;1,0),IFERROR(VLOOKUP('PR Grupo'!AI$3&amp;'PR Grupo'!$G23,'Plan CP'!$K:$P,3,FALSE),0),0)))</f>
        <v>1</v>
      </c>
      <c r="AJ23" s="58">
        <f>IF(AI23&gt;1,AI23-1,IF(COUNTIFS('Plan CP'!$O:$O,'PR Grupo'!$G23,'Plan CP'!$P:$P,'PR Grupo'!AJ$3,'Plan CP'!$M:$M,1)=1,1,IF(IFERROR(VLOOKUP('PR Grupo'!AJ$3&amp;'PR Grupo'!$G23,'Plan CP'!$K:$P,3,FALSE)&gt;1,0),IFERROR(VLOOKUP('PR Grupo'!AJ$3&amp;'PR Grupo'!$G23,'Plan CP'!$K:$P,3,FALSE),0),0)))</f>
        <v>1</v>
      </c>
      <c r="AK23" s="58">
        <f>IF(AJ23&gt;1,AJ23-1,IF(COUNTIFS('Plan CP'!$O:$O,'PR Grupo'!$G23,'Plan CP'!$P:$P,'PR Grupo'!AK$3,'Plan CP'!$M:$M,1)=1,1,IF(IFERROR(VLOOKUP('PR Grupo'!AK$3&amp;'PR Grupo'!$G23,'Plan CP'!$K:$P,3,FALSE)&gt;1,0),IFERROR(VLOOKUP('PR Grupo'!AK$3&amp;'PR Grupo'!$G23,'Plan CP'!$K:$P,3,FALSE),0),0)))</f>
        <v>1</v>
      </c>
      <c r="AL23" s="58">
        <f>IF(AK23&gt;1,AK23-1,IF(COUNTIFS('Plan CP'!$O:$O,'PR Grupo'!$G23,'Plan CP'!$P:$P,'PR Grupo'!AL$3,'Plan CP'!$M:$M,1)=1,1,IF(IFERROR(VLOOKUP('PR Grupo'!AL$3&amp;'PR Grupo'!$G23,'Plan CP'!$K:$P,3,FALSE)&gt;1,0),IFERROR(VLOOKUP('PR Grupo'!AL$3&amp;'PR Grupo'!$G23,'Plan CP'!$K:$P,3,FALSE),0),0)))</f>
        <v>1</v>
      </c>
      <c r="AM23" s="58">
        <f>IF(AL23&gt;1,AL23-1,IF(COUNTIFS('Plan CP'!$O:$O,'PR Grupo'!$G23,'Plan CP'!$P:$P,'PR Grupo'!AM$3,'Plan CP'!$M:$M,1)=1,1,IF(IFERROR(VLOOKUP('PR Grupo'!AM$3&amp;'PR Grupo'!$G23,'Plan CP'!$K:$P,3,FALSE)&gt;1,0),IFERROR(VLOOKUP('PR Grupo'!AM$3&amp;'PR Grupo'!$G23,'Plan CP'!$K:$P,3,FALSE),0),0)))</f>
        <v>1</v>
      </c>
      <c r="AN23" s="58">
        <f>IF(AM23&gt;1,AM23-1,IF(COUNTIFS('Plan CP'!$O:$O,'PR Grupo'!$G23,'Plan CP'!$P:$P,'PR Grupo'!AN$3,'Plan CP'!$M:$M,1)=1,1,IF(IFERROR(VLOOKUP('PR Grupo'!AN$3&amp;'PR Grupo'!$G23,'Plan CP'!$K:$P,3,FALSE)&gt;1,0),IFERROR(VLOOKUP('PR Grupo'!AN$3&amp;'PR Grupo'!$G23,'Plan CP'!$K:$P,3,FALSE),0),0)))</f>
        <v>1</v>
      </c>
      <c r="AO23" s="58">
        <f>IF(AN23&gt;1,AN23-1,IF(COUNTIFS('Plan CP'!$O:$O,'PR Grupo'!$G23,'Plan CP'!$P:$P,'PR Grupo'!AO$3,'Plan CP'!$M:$M,1)=1,1,IF(IFERROR(VLOOKUP('PR Grupo'!AO$3&amp;'PR Grupo'!$G23,'Plan CP'!$K:$P,3,FALSE)&gt;1,0),IFERROR(VLOOKUP('PR Grupo'!AO$3&amp;'PR Grupo'!$G23,'Plan CP'!$K:$P,3,FALSE),0),0)))</f>
        <v>0</v>
      </c>
    </row>
    <row r="24" spans="1:41">
      <c r="A24" s="21" t="s">
        <v>33</v>
      </c>
      <c r="B24" s="21" t="s">
        <v>51</v>
      </c>
      <c r="C24" s="21" t="s">
        <v>216</v>
      </c>
      <c r="D24" s="21" t="s">
        <v>273</v>
      </c>
      <c r="E24" s="24" t="s">
        <v>177</v>
      </c>
      <c r="F24" s="21" t="s">
        <v>273</v>
      </c>
      <c r="G24" s="33" t="s">
        <v>191</v>
      </c>
      <c r="H24" s="24">
        <v>15</v>
      </c>
      <c r="I24" s="33">
        <f t="shared" si="2"/>
        <v>18</v>
      </c>
      <c r="J24" s="33" t="str">
        <f t="shared" si="3"/>
        <v>OK</v>
      </c>
      <c r="K24" s="58">
        <f>IF(COUNTIFS('Plan CP'!$O:$O,'PR Grupo'!$G24,'Plan CP'!$P:$P,'PR Grupo'!K$3,'Plan CP'!$M:$M,1)=1,1,IF(IFERROR(VLOOKUP('PR Grupo'!K$3&amp;'PR Grupo'!$G24,'Plan CP'!$K:$P,3,FALSE)&gt;1,0),IFERROR(VLOOKUP('PR Grupo'!K$3&amp;'PR Grupo'!$G24,'Plan CP'!$K:$P,3,FALSE),0),0))</f>
        <v>1</v>
      </c>
      <c r="L24" s="58">
        <f>IF(K24&gt;1,K24-1,IF(COUNTIFS('Plan CP'!$O:$O,'PR Grupo'!$G24,'Plan CP'!$P:$P,'PR Grupo'!L$3,'Plan CP'!$M:$M,1)=1,1,IF(IFERROR(VLOOKUP('PR Grupo'!L$3&amp;'PR Grupo'!$G24,'Plan CP'!$K:$P,3,FALSE)&gt;1,0),IFERROR(VLOOKUP('PR Grupo'!L$3&amp;'PR Grupo'!$G24,'Plan CP'!$K:$P,3,FALSE),0),0)))</f>
        <v>1</v>
      </c>
      <c r="M24" s="58">
        <f>IF(L24&gt;1,L24-1,IF(COUNTIFS('Plan CP'!$O:$O,'PR Grupo'!$G24,'Plan CP'!$P:$P,'PR Grupo'!M$3,'Plan CP'!$M:$M,1)=1,1,IF(IFERROR(VLOOKUP('PR Grupo'!M$3&amp;'PR Grupo'!$G24,'Plan CP'!$K:$P,3,FALSE)&gt;1,0),IFERROR(VLOOKUP('PR Grupo'!M$3&amp;'PR Grupo'!$G24,'Plan CP'!$K:$P,3,FALSE),0),0)))</f>
        <v>1</v>
      </c>
      <c r="N24" s="58">
        <f>IF(M24&gt;1,M24-1,IF(COUNTIFS('Plan CP'!$O:$O,'PR Grupo'!$G24,'Plan CP'!$P:$P,'PR Grupo'!N$3,'Plan CP'!$M:$M,1)=1,1,IF(IFERROR(VLOOKUP('PR Grupo'!N$3&amp;'PR Grupo'!$G24,'Plan CP'!$K:$P,3,FALSE)&gt;1,0),IFERROR(VLOOKUP('PR Grupo'!N$3&amp;'PR Grupo'!$G24,'Plan CP'!$K:$P,3,FALSE),0),0)))</f>
        <v>1</v>
      </c>
      <c r="O24" s="58">
        <f>IF(N24&gt;1,N24-1,IF(COUNTIFS('Plan CP'!$O:$O,'PR Grupo'!$G24,'Plan CP'!$P:$P,'PR Grupo'!O$3,'Plan CP'!$M:$M,1)=1,1,IF(IFERROR(VLOOKUP('PR Grupo'!O$3&amp;'PR Grupo'!$G24,'Plan CP'!$K:$P,3,FALSE)&gt;1,0),IFERROR(VLOOKUP('PR Grupo'!O$3&amp;'PR Grupo'!$G24,'Plan CP'!$K:$P,3,FALSE),0),0)))</f>
        <v>1</v>
      </c>
      <c r="P24" s="58">
        <f>IF(O24&gt;1,O24-1,IF(COUNTIFS('Plan CP'!$O:$O,'PR Grupo'!$G24,'Plan CP'!$P:$P,'PR Grupo'!P$3,'Plan CP'!$M:$M,1)=1,1,IF(IFERROR(VLOOKUP('PR Grupo'!P$3&amp;'PR Grupo'!$G24,'Plan CP'!$K:$P,3,FALSE)&gt;1,0),IFERROR(VLOOKUP('PR Grupo'!P$3&amp;'PR Grupo'!$G24,'Plan CP'!$K:$P,3,FALSE),0),0)))</f>
        <v>1</v>
      </c>
      <c r="Q24" s="58">
        <f>IF(P24&gt;1,P24-1,IF(COUNTIFS('Plan CP'!$O:$O,'PR Grupo'!$G24,'Plan CP'!$P:$P,'PR Grupo'!Q$3,'Plan CP'!$M:$M,1)=1,1,IF(IFERROR(VLOOKUP('PR Grupo'!Q$3&amp;'PR Grupo'!$G24,'Plan CP'!$K:$P,3,FALSE)&gt;1,0),IFERROR(VLOOKUP('PR Grupo'!Q$3&amp;'PR Grupo'!$G24,'Plan CP'!$K:$P,3,FALSE),0),0)))</f>
        <v>1</v>
      </c>
      <c r="R24" s="58">
        <f>IF(Q24&gt;1,Q24-1,IF(COUNTIFS('Plan CP'!$O:$O,'PR Grupo'!$G24,'Plan CP'!$P:$P,'PR Grupo'!R$3,'Plan CP'!$M:$M,1)=1,1,IF(IFERROR(VLOOKUP('PR Grupo'!R$3&amp;'PR Grupo'!$G24,'Plan CP'!$K:$P,3,FALSE)&gt;1,0),IFERROR(VLOOKUP('PR Grupo'!R$3&amp;'PR Grupo'!$G24,'Plan CP'!$K:$P,3,FALSE),0),0)))</f>
        <v>0</v>
      </c>
      <c r="S24" s="58">
        <f>IF(R24&gt;1,R24-1,IF(COUNTIFS('Plan CP'!$O:$O,'PR Grupo'!$G24,'Plan CP'!$P:$P,'PR Grupo'!S$3,'Plan CP'!$M:$M,1)=1,1,IF(IFERROR(VLOOKUP('PR Grupo'!S$3&amp;'PR Grupo'!$G24,'Plan CP'!$K:$P,3,FALSE)&gt;1,0),IFERROR(VLOOKUP('PR Grupo'!S$3&amp;'PR Grupo'!$G24,'Plan CP'!$K:$P,3,FALSE),0),0)))</f>
        <v>0</v>
      </c>
      <c r="T24" s="58">
        <f>IF(S24&gt;1,S24-1,IF(COUNTIFS('Plan CP'!$O:$O,'PR Grupo'!$G24,'Plan CP'!$P:$P,'PR Grupo'!T$3,'Plan CP'!$M:$M,1)=1,1,IF(IFERROR(VLOOKUP('PR Grupo'!T$3&amp;'PR Grupo'!$G24,'Plan CP'!$K:$P,3,FALSE)&gt;1,0),IFERROR(VLOOKUP('PR Grupo'!T$3&amp;'PR Grupo'!$G24,'Plan CP'!$K:$P,3,FALSE),0),0)))</f>
        <v>0</v>
      </c>
      <c r="U24" s="58">
        <f>IF(T24&gt;1,T24-1,IF(COUNTIFS('Plan CP'!$O:$O,'PR Grupo'!$G24,'Plan CP'!$P:$P,'PR Grupo'!U$3,'Plan CP'!$M:$M,1)=1,1,IF(IFERROR(VLOOKUP('PR Grupo'!U$3&amp;'PR Grupo'!$G24,'Plan CP'!$K:$P,3,FALSE)&gt;1,0),IFERROR(VLOOKUP('PR Grupo'!U$3&amp;'PR Grupo'!$G24,'Plan CP'!$K:$P,3,FALSE),0),0)))</f>
        <v>0</v>
      </c>
      <c r="V24" s="58">
        <f>IF(U24&gt;1,U24-1,IF(COUNTIFS('Plan CP'!$O:$O,'PR Grupo'!$G24,'Plan CP'!$P:$P,'PR Grupo'!V$3,'Plan CP'!$M:$M,1)=1,1,IF(IFERROR(VLOOKUP('PR Grupo'!V$3&amp;'PR Grupo'!$G24,'Plan CP'!$K:$P,3,FALSE)&gt;1,0),IFERROR(VLOOKUP('PR Grupo'!V$3&amp;'PR Grupo'!$G24,'Plan CP'!$K:$P,3,FALSE),0),0)))</f>
        <v>0</v>
      </c>
      <c r="W24" s="58">
        <f>IF(V24&gt;1,V24-1,IF(COUNTIFS('Plan CP'!$O:$O,'PR Grupo'!$G24,'Plan CP'!$P:$P,'PR Grupo'!W$3,'Plan CP'!$M:$M,1)=1,1,IF(IFERROR(VLOOKUP('PR Grupo'!W$3&amp;'PR Grupo'!$G24,'Plan CP'!$K:$P,3,FALSE)&gt;1,0),IFERROR(VLOOKUP('PR Grupo'!W$3&amp;'PR Grupo'!$G24,'Plan CP'!$K:$P,3,FALSE),0),0)))</f>
        <v>0</v>
      </c>
      <c r="X24" s="58">
        <f>IF(W24&gt;1,W24-1,IF(COUNTIFS('Plan CP'!$O:$O,'PR Grupo'!$G24,'Plan CP'!$P:$P,'PR Grupo'!X$3,'Plan CP'!$M:$M,1)=1,1,IF(IFERROR(VLOOKUP('PR Grupo'!X$3&amp;'PR Grupo'!$G24,'Plan CP'!$K:$P,3,FALSE)&gt;1,0),IFERROR(VLOOKUP('PR Grupo'!X$3&amp;'PR Grupo'!$G24,'Plan CP'!$K:$P,3,FALSE),0),0)))</f>
        <v>0</v>
      </c>
      <c r="Y24" s="58">
        <f>IF(X24&gt;1,X24-1,IF(COUNTIFS('Plan CP'!$O:$O,'PR Grupo'!$G24,'Plan CP'!$P:$P,'PR Grupo'!Y$3,'Plan CP'!$M:$M,1)=1,1,IF(IFERROR(VLOOKUP('PR Grupo'!Y$3&amp;'PR Grupo'!$G24,'Plan CP'!$K:$P,3,FALSE)&gt;1,0),IFERROR(VLOOKUP('PR Grupo'!Y$3&amp;'PR Grupo'!$G24,'Plan CP'!$K:$P,3,FALSE),0),0)))</f>
        <v>0</v>
      </c>
      <c r="Z24" s="58">
        <f>IF(Y24&gt;1,Y24-1,IF(COUNTIFS('Plan CP'!$O:$O,'PR Grupo'!$G24,'Plan CP'!$P:$P,'PR Grupo'!Z$3,'Plan CP'!$M:$M,1)=1,1,IF(IFERROR(VLOOKUP('PR Grupo'!Z$3&amp;'PR Grupo'!$G24,'Plan CP'!$K:$P,3,FALSE)&gt;1,0),IFERROR(VLOOKUP('PR Grupo'!Z$3&amp;'PR Grupo'!$G24,'Plan CP'!$K:$P,3,FALSE),0),0)))</f>
        <v>0</v>
      </c>
      <c r="AA24" s="58">
        <f>IF(Z24&gt;1,Z24-1,IF(COUNTIFS('Plan CP'!$O:$O,'PR Grupo'!$G24,'Plan CP'!$P:$P,'PR Grupo'!AA$3,'Plan CP'!$M:$M,1)=1,1,IF(IFERROR(VLOOKUP('PR Grupo'!AA$3&amp;'PR Grupo'!$G24,'Plan CP'!$K:$P,3,FALSE)&gt;1,0),IFERROR(VLOOKUP('PR Grupo'!AA$3&amp;'PR Grupo'!$G24,'Plan CP'!$K:$P,3,FALSE),0),0)))</f>
        <v>0</v>
      </c>
      <c r="AB24" s="58">
        <f>IF(AA24&gt;1,AA24-1,IF(COUNTIFS('Plan CP'!$O:$O,'PR Grupo'!$G24,'Plan CP'!$P:$P,'PR Grupo'!AB$3,'Plan CP'!$M:$M,1)=1,1,IF(IFERROR(VLOOKUP('PR Grupo'!AB$3&amp;'PR Grupo'!$G24,'Plan CP'!$K:$P,3,FALSE)&gt;1,0),IFERROR(VLOOKUP('PR Grupo'!AB$3&amp;'PR Grupo'!$G24,'Plan CP'!$K:$P,3,FALSE),0),0)))</f>
        <v>0</v>
      </c>
      <c r="AC24" s="58">
        <f>IF(AB24&gt;1,AB24-1,IF(COUNTIFS('Plan CP'!$O:$O,'PR Grupo'!$G24,'Plan CP'!$P:$P,'PR Grupo'!AC$3,'Plan CP'!$M:$M,1)=1,1,IF(IFERROR(VLOOKUP('PR Grupo'!AC$3&amp;'PR Grupo'!$G24,'Plan CP'!$K:$P,3,FALSE)&gt;1,0),IFERROR(VLOOKUP('PR Grupo'!AC$3&amp;'PR Grupo'!$G24,'Plan CP'!$K:$P,3,FALSE),0),0)))</f>
        <v>0</v>
      </c>
      <c r="AD24" s="58">
        <f>IF(AC24&gt;1,AC24-1,IF(COUNTIFS('Plan CP'!$O:$O,'PR Grupo'!$G24,'Plan CP'!$P:$P,'PR Grupo'!AD$3,'Plan CP'!$M:$M,1)=1,1,IF(IFERROR(VLOOKUP('PR Grupo'!AD$3&amp;'PR Grupo'!$G24,'Plan CP'!$K:$P,3,FALSE)&gt;1,0),IFERROR(VLOOKUP('PR Grupo'!AD$3&amp;'PR Grupo'!$G24,'Plan CP'!$K:$P,3,FALSE),0),0)))</f>
        <v>1</v>
      </c>
      <c r="AE24" s="58">
        <f>IF(AD24&gt;1,AD24-1,IF(COUNTIFS('Plan CP'!$O:$O,'PR Grupo'!$G24,'Plan CP'!$P:$P,'PR Grupo'!AE$3,'Plan CP'!$M:$M,1)=1,1,IF(IFERROR(VLOOKUP('PR Grupo'!AE$3&amp;'PR Grupo'!$G24,'Plan CP'!$K:$P,3,FALSE)&gt;1,0),IFERROR(VLOOKUP('PR Grupo'!AE$3&amp;'PR Grupo'!$G24,'Plan CP'!$K:$P,3,FALSE),0),0)))</f>
        <v>1</v>
      </c>
      <c r="AF24" s="58">
        <f>IF(AE24&gt;1,AE24-1,IF(COUNTIFS('Plan CP'!$O:$O,'PR Grupo'!$G24,'Plan CP'!$P:$P,'PR Grupo'!AF$3,'Plan CP'!$M:$M,1)=1,1,IF(IFERROR(VLOOKUP('PR Grupo'!AF$3&amp;'PR Grupo'!$G24,'Plan CP'!$K:$P,3,FALSE)&gt;1,0),IFERROR(VLOOKUP('PR Grupo'!AF$3&amp;'PR Grupo'!$G24,'Plan CP'!$K:$P,3,FALSE),0),0)))</f>
        <v>1</v>
      </c>
      <c r="AG24" s="58">
        <f>IF(AF24&gt;1,AF24-1,IF(COUNTIFS('Plan CP'!$O:$O,'PR Grupo'!$G24,'Plan CP'!$P:$P,'PR Grupo'!AG$3,'Plan CP'!$M:$M,1)=1,1,IF(IFERROR(VLOOKUP('PR Grupo'!AG$3&amp;'PR Grupo'!$G24,'Plan CP'!$K:$P,3,FALSE)&gt;1,0),IFERROR(VLOOKUP('PR Grupo'!AG$3&amp;'PR Grupo'!$G24,'Plan CP'!$K:$P,3,FALSE),0),0)))</f>
        <v>1</v>
      </c>
      <c r="AH24" s="58">
        <f>IF(AG24&gt;1,AG24-1,IF(COUNTIFS('Plan CP'!$O:$O,'PR Grupo'!$G24,'Plan CP'!$P:$P,'PR Grupo'!AH$3,'Plan CP'!$M:$M,1)=1,1,IF(IFERROR(VLOOKUP('PR Grupo'!AH$3&amp;'PR Grupo'!$G24,'Plan CP'!$K:$P,3,FALSE)&gt;1,0),IFERROR(VLOOKUP('PR Grupo'!AH$3&amp;'PR Grupo'!$G24,'Plan CP'!$K:$P,3,FALSE),0),0)))</f>
        <v>1</v>
      </c>
      <c r="AI24" s="58">
        <f>IF(AH24&gt;1,AH24-1,IF(COUNTIFS('Plan CP'!$O:$O,'PR Grupo'!$G24,'Plan CP'!$P:$P,'PR Grupo'!AI$3,'Plan CP'!$M:$M,1)=1,1,IF(IFERROR(VLOOKUP('PR Grupo'!AI$3&amp;'PR Grupo'!$G24,'Plan CP'!$K:$P,3,FALSE)&gt;1,0),IFERROR(VLOOKUP('PR Grupo'!AI$3&amp;'PR Grupo'!$G24,'Plan CP'!$K:$P,3,FALSE),0),0)))</f>
        <v>1</v>
      </c>
      <c r="AJ24" s="58">
        <f>IF(AI24&gt;1,AI24-1,IF(COUNTIFS('Plan CP'!$O:$O,'PR Grupo'!$G24,'Plan CP'!$P:$P,'PR Grupo'!AJ$3,'Plan CP'!$M:$M,1)=1,1,IF(IFERROR(VLOOKUP('PR Grupo'!AJ$3&amp;'PR Grupo'!$G24,'Plan CP'!$K:$P,3,FALSE)&gt;1,0),IFERROR(VLOOKUP('PR Grupo'!AJ$3&amp;'PR Grupo'!$G24,'Plan CP'!$K:$P,3,FALSE),0),0)))</f>
        <v>1</v>
      </c>
      <c r="AK24" s="58">
        <f>IF(AJ24&gt;1,AJ24-1,IF(COUNTIFS('Plan CP'!$O:$O,'PR Grupo'!$G24,'Plan CP'!$P:$P,'PR Grupo'!AK$3,'Plan CP'!$M:$M,1)=1,1,IF(IFERROR(VLOOKUP('PR Grupo'!AK$3&amp;'PR Grupo'!$G24,'Plan CP'!$K:$P,3,FALSE)&gt;1,0),IFERROR(VLOOKUP('PR Grupo'!AK$3&amp;'PR Grupo'!$G24,'Plan CP'!$K:$P,3,FALSE),0),0)))</f>
        <v>1</v>
      </c>
      <c r="AL24" s="58">
        <f>IF(AK24&gt;1,AK24-1,IF(COUNTIFS('Plan CP'!$O:$O,'PR Grupo'!$G24,'Plan CP'!$P:$P,'PR Grupo'!AL$3,'Plan CP'!$M:$M,1)=1,1,IF(IFERROR(VLOOKUP('PR Grupo'!AL$3&amp;'PR Grupo'!$G24,'Plan CP'!$K:$P,3,FALSE)&gt;1,0),IFERROR(VLOOKUP('PR Grupo'!AL$3&amp;'PR Grupo'!$G24,'Plan CP'!$K:$P,3,FALSE),0),0)))</f>
        <v>1</v>
      </c>
      <c r="AM24" s="58">
        <f>IF(AL24&gt;1,AL24-1,IF(COUNTIFS('Plan CP'!$O:$O,'PR Grupo'!$G24,'Plan CP'!$P:$P,'PR Grupo'!AM$3,'Plan CP'!$M:$M,1)=1,1,IF(IFERROR(VLOOKUP('PR Grupo'!AM$3&amp;'PR Grupo'!$G24,'Plan CP'!$K:$P,3,FALSE)&gt;1,0),IFERROR(VLOOKUP('PR Grupo'!AM$3&amp;'PR Grupo'!$G24,'Plan CP'!$K:$P,3,FALSE),0),0)))</f>
        <v>1</v>
      </c>
      <c r="AN24" s="58">
        <f>IF(AM24&gt;1,AM24-1,IF(COUNTIFS('Plan CP'!$O:$O,'PR Grupo'!$G24,'Plan CP'!$P:$P,'PR Grupo'!AN$3,'Plan CP'!$M:$M,1)=1,1,IF(IFERROR(VLOOKUP('PR Grupo'!AN$3&amp;'PR Grupo'!$G24,'Plan CP'!$K:$P,3,FALSE)&gt;1,0),IFERROR(VLOOKUP('PR Grupo'!AN$3&amp;'PR Grupo'!$G24,'Plan CP'!$K:$P,3,FALSE),0),0)))</f>
        <v>1</v>
      </c>
      <c r="AO24" s="58">
        <f>IF(AN24&gt;1,AN24-1,IF(COUNTIFS('Plan CP'!$O:$O,'PR Grupo'!$G24,'Plan CP'!$P:$P,'PR Grupo'!AO$3,'Plan CP'!$M:$M,1)=1,1,IF(IFERROR(VLOOKUP('PR Grupo'!AO$3&amp;'PR Grupo'!$G24,'Plan CP'!$K:$P,3,FALSE)&gt;1,0),IFERROR(VLOOKUP('PR Grupo'!AO$3&amp;'PR Grupo'!$G24,'Plan CP'!$K:$P,3,FALSE),0),0)))</f>
        <v>0</v>
      </c>
    </row>
    <row r="25" spans="1:41">
      <c r="A25" s="21" t="s">
        <v>33</v>
      </c>
      <c r="B25" s="21" t="s">
        <v>42</v>
      </c>
      <c r="C25" s="21" t="s">
        <v>217</v>
      </c>
      <c r="D25" s="21" t="s">
        <v>274</v>
      </c>
      <c r="E25" s="24" t="s">
        <v>177</v>
      </c>
      <c r="F25" s="21" t="s">
        <v>274</v>
      </c>
      <c r="G25" s="33" t="s">
        <v>191</v>
      </c>
      <c r="H25" s="24">
        <v>15</v>
      </c>
      <c r="I25" s="33">
        <f t="shared" si="2"/>
        <v>18</v>
      </c>
      <c r="J25" s="33" t="str">
        <f t="shared" si="3"/>
        <v>OK</v>
      </c>
      <c r="K25" s="58">
        <f>IF(COUNTIFS('Plan CP'!$O:$O,'PR Grupo'!$G25,'Plan CP'!$P:$P,'PR Grupo'!K$3,'Plan CP'!$M:$M,1)=1,1,IF(IFERROR(VLOOKUP('PR Grupo'!K$3&amp;'PR Grupo'!$G25,'Plan CP'!$K:$P,3,FALSE)&gt;1,0),IFERROR(VLOOKUP('PR Grupo'!K$3&amp;'PR Grupo'!$G25,'Plan CP'!$K:$P,3,FALSE),0),0))</f>
        <v>1</v>
      </c>
      <c r="L25" s="58">
        <f>IF(K25&gt;1,K25-1,IF(COUNTIFS('Plan CP'!$O:$O,'PR Grupo'!$G25,'Plan CP'!$P:$P,'PR Grupo'!L$3,'Plan CP'!$M:$M,1)=1,1,IF(IFERROR(VLOOKUP('PR Grupo'!L$3&amp;'PR Grupo'!$G25,'Plan CP'!$K:$P,3,FALSE)&gt;1,0),IFERROR(VLOOKUP('PR Grupo'!L$3&amp;'PR Grupo'!$G25,'Plan CP'!$K:$P,3,FALSE),0),0)))</f>
        <v>1</v>
      </c>
      <c r="M25" s="58">
        <f>IF(L25&gt;1,L25-1,IF(COUNTIFS('Plan CP'!$O:$O,'PR Grupo'!$G25,'Plan CP'!$P:$P,'PR Grupo'!M$3,'Plan CP'!$M:$M,1)=1,1,IF(IFERROR(VLOOKUP('PR Grupo'!M$3&amp;'PR Grupo'!$G25,'Plan CP'!$K:$P,3,FALSE)&gt;1,0),IFERROR(VLOOKUP('PR Grupo'!M$3&amp;'PR Grupo'!$G25,'Plan CP'!$K:$P,3,FALSE),0),0)))</f>
        <v>1</v>
      </c>
      <c r="N25" s="58">
        <f>IF(M25&gt;1,M25-1,IF(COUNTIFS('Plan CP'!$O:$O,'PR Grupo'!$G25,'Plan CP'!$P:$P,'PR Grupo'!N$3,'Plan CP'!$M:$M,1)=1,1,IF(IFERROR(VLOOKUP('PR Grupo'!N$3&amp;'PR Grupo'!$G25,'Plan CP'!$K:$P,3,FALSE)&gt;1,0),IFERROR(VLOOKUP('PR Grupo'!N$3&amp;'PR Grupo'!$G25,'Plan CP'!$K:$P,3,FALSE),0),0)))</f>
        <v>1</v>
      </c>
      <c r="O25" s="58">
        <f>IF(N25&gt;1,N25-1,IF(COUNTIFS('Plan CP'!$O:$O,'PR Grupo'!$G25,'Plan CP'!$P:$P,'PR Grupo'!O$3,'Plan CP'!$M:$M,1)=1,1,IF(IFERROR(VLOOKUP('PR Grupo'!O$3&amp;'PR Grupo'!$G25,'Plan CP'!$K:$P,3,FALSE)&gt;1,0),IFERROR(VLOOKUP('PR Grupo'!O$3&amp;'PR Grupo'!$G25,'Plan CP'!$K:$P,3,FALSE),0),0)))</f>
        <v>1</v>
      </c>
      <c r="P25" s="58">
        <f>IF(O25&gt;1,O25-1,IF(COUNTIFS('Plan CP'!$O:$O,'PR Grupo'!$G25,'Plan CP'!$P:$P,'PR Grupo'!P$3,'Plan CP'!$M:$M,1)=1,1,IF(IFERROR(VLOOKUP('PR Grupo'!P$3&amp;'PR Grupo'!$G25,'Plan CP'!$K:$P,3,FALSE)&gt;1,0),IFERROR(VLOOKUP('PR Grupo'!P$3&amp;'PR Grupo'!$G25,'Plan CP'!$K:$P,3,FALSE),0),0)))</f>
        <v>1</v>
      </c>
      <c r="Q25" s="58">
        <f>IF(P25&gt;1,P25-1,IF(COUNTIFS('Plan CP'!$O:$O,'PR Grupo'!$G25,'Plan CP'!$P:$P,'PR Grupo'!Q$3,'Plan CP'!$M:$M,1)=1,1,IF(IFERROR(VLOOKUP('PR Grupo'!Q$3&amp;'PR Grupo'!$G25,'Plan CP'!$K:$P,3,FALSE)&gt;1,0),IFERROR(VLOOKUP('PR Grupo'!Q$3&amp;'PR Grupo'!$G25,'Plan CP'!$K:$P,3,FALSE),0),0)))</f>
        <v>1</v>
      </c>
      <c r="R25" s="58">
        <f>IF(Q25&gt;1,Q25-1,IF(COUNTIFS('Plan CP'!$O:$O,'PR Grupo'!$G25,'Plan CP'!$P:$P,'PR Grupo'!R$3,'Plan CP'!$M:$M,1)=1,1,IF(IFERROR(VLOOKUP('PR Grupo'!R$3&amp;'PR Grupo'!$G25,'Plan CP'!$K:$P,3,FALSE)&gt;1,0),IFERROR(VLOOKUP('PR Grupo'!R$3&amp;'PR Grupo'!$G25,'Plan CP'!$K:$P,3,FALSE),0),0)))</f>
        <v>0</v>
      </c>
      <c r="S25" s="58">
        <f>IF(R25&gt;1,R25-1,IF(COUNTIFS('Plan CP'!$O:$O,'PR Grupo'!$G25,'Plan CP'!$P:$P,'PR Grupo'!S$3,'Plan CP'!$M:$M,1)=1,1,IF(IFERROR(VLOOKUP('PR Grupo'!S$3&amp;'PR Grupo'!$G25,'Plan CP'!$K:$P,3,FALSE)&gt;1,0),IFERROR(VLOOKUP('PR Grupo'!S$3&amp;'PR Grupo'!$G25,'Plan CP'!$K:$P,3,FALSE),0),0)))</f>
        <v>0</v>
      </c>
      <c r="T25" s="58">
        <f>IF(S25&gt;1,S25-1,IF(COUNTIFS('Plan CP'!$O:$O,'PR Grupo'!$G25,'Plan CP'!$P:$P,'PR Grupo'!T$3,'Plan CP'!$M:$M,1)=1,1,IF(IFERROR(VLOOKUP('PR Grupo'!T$3&amp;'PR Grupo'!$G25,'Plan CP'!$K:$P,3,FALSE)&gt;1,0),IFERROR(VLOOKUP('PR Grupo'!T$3&amp;'PR Grupo'!$G25,'Plan CP'!$K:$P,3,FALSE),0),0)))</f>
        <v>0</v>
      </c>
      <c r="U25" s="58">
        <f>IF(T25&gt;1,T25-1,IF(COUNTIFS('Plan CP'!$O:$O,'PR Grupo'!$G25,'Plan CP'!$P:$P,'PR Grupo'!U$3,'Plan CP'!$M:$M,1)=1,1,IF(IFERROR(VLOOKUP('PR Grupo'!U$3&amp;'PR Grupo'!$G25,'Plan CP'!$K:$P,3,FALSE)&gt;1,0),IFERROR(VLOOKUP('PR Grupo'!U$3&amp;'PR Grupo'!$G25,'Plan CP'!$K:$P,3,FALSE),0),0)))</f>
        <v>0</v>
      </c>
      <c r="V25" s="58">
        <f>IF(U25&gt;1,U25-1,IF(COUNTIFS('Plan CP'!$O:$O,'PR Grupo'!$G25,'Plan CP'!$P:$P,'PR Grupo'!V$3,'Plan CP'!$M:$M,1)=1,1,IF(IFERROR(VLOOKUP('PR Grupo'!V$3&amp;'PR Grupo'!$G25,'Plan CP'!$K:$P,3,FALSE)&gt;1,0),IFERROR(VLOOKUP('PR Grupo'!V$3&amp;'PR Grupo'!$G25,'Plan CP'!$K:$P,3,FALSE),0),0)))</f>
        <v>0</v>
      </c>
      <c r="W25" s="58">
        <f>IF(V25&gt;1,V25-1,IF(COUNTIFS('Plan CP'!$O:$O,'PR Grupo'!$G25,'Plan CP'!$P:$P,'PR Grupo'!W$3,'Plan CP'!$M:$M,1)=1,1,IF(IFERROR(VLOOKUP('PR Grupo'!W$3&amp;'PR Grupo'!$G25,'Plan CP'!$K:$P,3,FALSE)&gt;1,0),IFERROR(VLOOKUP('PR Grupo'!W$3&amp;'PR Grupo'!$G25,'Plan CP'!$K:$P,3,FALSE),0),0)))</f>
        <v>0</v>
      </c>
      <c r="X25" s="58">
        <f>IF(W25&gt;1,W25-1,IF(COUNTIFS('Plan CP'!$O:$O,'PR Grupo'!$G25,'Plan CP'!$P:$P,'PR Grupo'!X$3,'Plan CP'!$M:$M,1)=1,1,IF(IFERROR(VLOOKUP('PR Grupo'!X$3&amp;'PR Grupo'!$G25,'Plan CP'!$K:$P,3,FALSE)&gt;1,0),IFERROR(VLOOKUP('PR Grupo'!X$3&amp;'PR Grupo'!$G25,'Plan CP'!$K:$P,3,FALSE),0),0)))</f>
        <v>0</v>
      </c>
      <c r="Y25" s="58">
        <f>IF(X25&gt;1,X25-1,IF(COUNTIFS('Plan CP'!$O:$O,'PR Grupo'!$G25,'Plan CP'!$P:$P,'PR Grupo'!Y$3,'Plan CP'!$M:$M,1)=1,1,IF(IFERROR(VLOOKUP('PR Grupo'!Y$3&amp;'PR Grupo'!$G25,'Plan CP'!$K:$P,3,FALSE)&gt;1,0),IFERROR(VLOOKUP('PR Grupo'!Y$3&amp;'PR Grupo'!$G25,'Plan CP'!$K:$P,3,FALSE),0),0)))</f>
        <v>0</v>
      </c>
      <c r="Z25" s="58">
        <f>IF(Y25&gt;1,Y25-1,IF(COUNTIFS('Plan CP'!$O:$O,'PR Grupo'!$G25,'Plan CP'!$P:$P,'PR Grupo'!Z$3,'Plan CP'!$M:$M,1)=1,1,IF(IFERROR(VLOOKUP('PR Grupo'!Z$3&amp;'PR Grupo'!$G25,'Plan CP'!$K:$P,3,FALSE)&gt;1,0),IFERROR(VLOOKUP('PR Grupo'!Z$3&amp;'PR Grupo'!$G25,'Plan CP'!$K:$P,3,FALSE),0),0)))</f>
        <v>0</v>
      </c>
      <c r="AA25" s="58">
        <f>IF(Z25&gt;1,Z25-1,IF(COUNTIFS('Plan CP'!$O:$O,'PR Grupo'!$G25,'Plan CP'!$P:$P,'PR Grupo'!AA$3,'Plan CP'!$M:$M,1)=1,1,IF(IFERROR(VLOOKUP('PR Grupo'!AA$3&amp;'PR Grupo'!$G25,'Plan CP'!$K:$P,3,FALSE)&gt;1,0),IFERROR(VLOOKUP('PR Grupo'!AA$3&amp;'PR Grupo'!$G25,'Plan CP'!$K:$P,3,FALSE),0),0)))</f>
        <v>0</v>
      </c>
      <c r="AB25" s="58">
        <f>IF(AA25&gt;1,AA25-1,IF(COUNTIFS('Plan CP'!$O:$O,'PR Grupo'!$G25,'Plan CP'!$P:$P,'PR Grupo'!AB$3,'Plan CP'!$M:$M,1)=1,1,IF(IFERROR(VLOOKUP('PR Grupo'!AB$3&amp;'PR Grupo'!$G25,'Plan CP'!$K:$P,3,FALSE)&gt;1,0),IFERROR(VLOOKUP('PR Grupo'!AB$3&amp;'PR Grupo'!$G25,'Plan CP'!$K:$P,3,FALSE),0),0)))</f>
        <v>0</v>
      </c>
      <c r="AC25" s="58">
        <f>IF(AB25&gt;1,AB25-1,IF(COUNTIFS('Plan CP'!$O:$O,'PR Grupo'!$G25,'Plan CP'!$P:$P,'PR Grupo'!AC$3,'Plan CP'!$M:$M,1)=1,1,IF(IFERROR(VLOOKUP('PR Grupo'!AC$3&amp;'PR Grupo'!$G25,'Plan CP'!$K:$P,3,FALSE)&gt;1,0),IFERROR(VLOOKUP('PR Grupo'!AC$3&amp;'PR Grupo'!$G25,'Plan CP'!$K:$P,3,FALSE),0),0)))</f>
        <v>0</v>
      </c>
      <c r="AD25" s="58">
        <f>IF(AC25&gt;1,AC25-1,IF(COUNTIFS('Plan CP'!$O:$O,'PR Grupo'!$G25,'Plan CP'!$P:$P,'PR Grupo'!AD$3,'Plan CP'!$M:$M,1)=1,1,IF(IFERROR(VLOOKUP('PR Grupo'!AD$3&amp;'PR Grupo'!$G25,'Plan CP'!$K:$P,3,FALSE)&gt;1,0),IFERROR(VLOOKUP('PR Grupo'!AD$3&amp;'PR Grupo'!$G25,'Plan CP'!$K:$P,3,FALSE),0),0)))</f>
        <v>1</v>
      </c>
      <c r="AE25" s="58">
        <f>IF(AD25&gt;1,AD25-1,IF(COUNTIFS('Plan CP'!$O:$O,'PR Grupo'!$G25,'Plan CP'!$P:$P,'PR Grupo'!AE$3,'Plan CP'!$M:$M,1)=1,1,IF(IFERROR(VLOOKUP('PR Grupo'!AE$3&amp;'PR Grupo'!$G25,'Plan CP'!$K:$P,3,FALSE)&gt;1,0),IFERROR(VLOOKUP('PR Grupo'!AE$3&amp;'PR Grupo'!$G25,'Plan CP'!$K:$P,3,FALSE),0),0)))</f>
        <v>1</v>
      </c>
      <c r="AF25" s="58">
        <f>IF(AE25&gt;1,AE25-1,IF(COUNTIFS('Plan CP'!$O:$O,'PR Grupo'!$G25,'Plan CP'!$P:$P,'PR Grupo'!AF$3,'Plan CP'!$M:$M,1)=1,1,IF(IFERROR(VLOOKUP('PR Grupo'!AF$3&amp;'PR Grupo'!$G25,'Plan CP'!$K:$P,3,FALSE)&gt;1,0),IFERROR(VLOOKUP('PR Grupo'!AF$3&amp;'PR Grupo'!$G25,'Plan CP'!$K:$P,3,FALSE),0),0)))</f>
        <v>1</v>
      </c>
      <c r="AG25" s="58">
        <f>IF(AF25&gt;1,AF25-1,IF(COUNTIFS('Plan CP'!$O:$O,'PR Grupo'!$G25,'Plan CP'!$P:$P,'PR Grupo'!AG$3,'Plan CP'!$M:$M,1)=1,1,IF(IFERROR(VLOOKUP('PR Grupo'!AG$3&amp;'PR Grupo'!$G25,'Plan CP'!$K:$P,3,FALSE)&gt;1,0),IFERROR(VLOOKUP('PR Grupo'!AG$3&amp;'PR Grupo'!$G25,'Plan CP'!$K:$P,3,FALSE),0),0)))</f>
        <v>1</v>
      </c>
      <c r="AH25" s="58">
        <f>IF(AG25&gt;1,AG25-1,IF(COUNTIFS('Plan CP'!$O:$O,'PR Grupo'!$G25,'Plan CP'!$P:$P,'PR Grupo'!AH$3,'Plan CP'!$M:$M,1)=1,1,IF(IFERROR(VLOOKUP('PR Grupo'!AH$3&amp;'PR Grupo'!$G25,'Plan CP'!$K:$P,3,FALSE)&gt;1,0),IFERROR(VLOOKUP('PR Grupo'!AH$3&amp;'PR Grupo'!$G25,'Plan CP'!$K:$P,3,FALSE),0),0)))</f>
        <v>1</v>
      </c>
      <c r="AI25" s="58">
        <f>IF(AH25&gt;1,AH25-1,IF(COUNTIFS('Plan CP'!$O:$O,'PR Grupo'!$G25,'Plan CP'!$P:$P,'PR Grupo'!AI$3,'Plan CP'!$M:$M,1)=1,1,IF(IFERROR(VLOOKUP('PR Grupo'!AI$3&amp;'PR Grupo'!$G25,'Plan CP'!$K:$P,3,FALSE)&gt;1,0),IFERROR(VLOOKUP('PR Grupo'!AI$3&amp;'PR Grupo'!$G25,'Plan CP'!$K:$P,3,FALSE),0),0)))</f>
        <v>1</v>
      </c>
      <c r="AJ25" s="58">
        <f>IF(AI25&gt;1,AI25-1,IF(COUNTIFS('Plan CP'!$O:$O,'PR Grupo'!$G25,'Plan CP'!$P:$P,'PR Grupo'!AJ$3,'Plan CP'!$M:$M,1)=1,1,IF(IFERROR(VLOOKUP('PR Grupo'!AJ$3&amp;'PR Grupo'!$G25,'Plan CP'!$K:$P,3,FALSE)&gt;1,0),IFERROR(VLOOKUP('PR Grupo'!AJ$3&amp;'PR Grupo'!$G25,'Plan CP'!$K:$P,3,FALSE),0),0)))</f>
        <v>1</v>
      </c>
      <c r="AK25" s="58">
        <f>IF(AJ25&gt;1,AJ25-1,IF(COUNTIFS('Plan CP'!$O:$O,'PR Grupo'!$G25,'Plan CP'!$P:$P,'PR Grupo'!AK$3,'Plan CP'!$M:$M,1)=1,1,IF(IFERROR(VLOOKUP('PR Grupo'!AK$3&amp;'PR Grupo'!$G25,'Plan CP'!$K:$P,3,FALSE)&gt;1,0),IFERROR(VLOOKUP('PR Grupo'!AK$3&amp;'PR Grupo'!$G25,'Plan CP'!$K:$P,3,FALSE),0),0)))</f>
        <v>1</v>
      </c>
      <c r="AL25" s="58">
        <f>IF(AK25&gt;1,AK25-1,IF(COUNTIFS('Plan CP'!$O:$O,'PR Grupo'!$G25,'Plan CP'!$P:$P,'PR Grupo'!AL$3,'Plan CP'!$M:$M,1)=1,1,IF(IFERROR(VLOOKUP('PR Grupo'!AL$3&amp;'PR Grupo'!$G25,'Plan CP'!$K:$P,3,FALSE)&gt;1,0),IFERROR(VLOOKUP('PR Grupo'!AL$3&amp;'PR Grupo'!$G25,'Plan CP'!$K:$P,3,FALSE),0),0)))</f>
        <v>1</v>
      </c>
      <c r="AM25" s="58">
        <f>IF(AL25&gt;1,AL25-1,IF(COUNTIFS('Plan CP'!$O:$O,'PR Grupo'!$G25,'Plan CP'!$P:$P,'PR Grupo'!AM$3,'Plan CP'!$M:$M,1)=1,1,IF(IFERROR(VLOOKUP('PR Grupo'!AM$3&amp;'PR Grupo'!$G25,'Plan CP'!$K:$P,3,FALSE)&gt;1,0),IFERROR(VLOOKUP('PR Grupo'!AM$3&amp;'PR Grupo'!$G25,'Plan CP'!$K:$P,3,FALSE),0),0)))</f>
        <v>1</v>
      </c>
      <c r="AN25" s="58">
        <f>IF(AM25&gt;1,AM25-1,IF(COUNTIFS('Plan CP'!$O:$O,'PR Grupo'!$G25,'Plan CP'!$P:$P,'PR Grupo'!AN$3,'Plan CP'!$M:$M,1)=1,1,IF(IFERROR(VLOOKUP('PR Grupo'!AN$3&amp;'PR Grupo'!$G25,'Plan CP'!$K:$P,3,FALSE)&gt;1,0),IFERROR(VLOOKUP('PR Grupo'!AN$3&amp;'PR Grupo'!$G25,'Plan CP'!$K:$P,3,FALSE),0),0)))</f>
        <v>1</v>
      </c>
      <c r="AO25" s="58">
        <f>IF(AN25&gt;1,AN25-1,IF(COUNTIFS('Plan CP'!$O:$O,'PR Grupo'!$G25,'Plan CP'!$P:$P,'PR Grupo'!AO$3,'Plan CP'!$M:$M,1)=1,1,IF(IFERROR(VLOOKUP('PR Grupo'!AO$3&amp;'PR Grupo'!$G25,'Plan CP'!$K:$P,3,FALSE)&gt;1,0),IFERROR(VLOOKUP('PR Grupo'!AO$3&amp;'PR Grupo'!$G25,'Plan CP'!$K:$P,3,FALSE),0),0)))</f>
        <v>0</v>
      </c>
    </row>
    <row r="26" spans="1:41">
      <c r="A26" s="21" t="s">
        <v>33</v>
      </c>
      <c r="B26" s="21" t="s">
        <v>44</v>
      </c>
      <c r="C26" s="21" t="s">
        <v>218</v>
      </c>
      <c r="D26" s="21" t="s">
        <v>266</v>
      </c>
      <c r="E26" s="24" t="s">
        <v>177</v>
      </c>
      <c r="F26" s="21" t="s">
        <v>266</v>
      </c>
      <c r="G26" s="33" t="s">
        <v>191</v>
      </c>
      <c r="H26" s="24">
        <v>15</v>
      </c>
      <c r="I26" s="33">
        <f t="shared" si="2"/>
        <v>18</v>
      </c>
      <c r="J26" s="33" t="str">
        <f t="shared" si="3"/>
        <v>OK</v>
      </c>
      <c r="K26" s="58">
        <f>IF(COUNTIFS('Plan CP'!$O:$O,'PR Grupo'!$G26,'Plan CP'!$P:$P,'PR Grupo'!K$3,'Plan CP'!$M:$M,1)=1,1,IF(IFERROR(VLOOKUP('PR Grupo'!K$3&amp;'PR Grupo'!$G26,'Plan CP'!$K:$P,3,FALSE)&gt;1,0),IFERROR(VLOOKUP('PR Grupo'!K$3&amp;'PR Grupo'!$G26,'Plan CP'!$K:$P,3,FALSE),0),0))</f>
        <v>1</v>
      </c>
      <c r="L26" s="58">
        <f>IF(K26&gt;1,K26-1,IF(COUNTIFS('Plan CP'!$O:$O,'PR Grupo'!$G26,'Plan CP'!$P:$P,'PR Grupo'!L$3,'Plan CP'!$M:$M,1)=1,1,IF(IFERROR(VLOOKUP('PR Grupo'!L$3&amp;'PR Grupo'!$G26,'Plan CP'!$K:$P,3,FALSE)&gt;1,0),IFERROR(VLOOKUP('PR Grupo'!L$3&amp;'PR Grupo'!$G26,'Plan CP'!$K:$P,3,FALSE),0),0)))</f>
        <v>1</v>
      </c>
      <c r="M26" s="58">
        <f>IF(L26&gt;1,L26-1,IF(COUNTIFS('Plan CP'!$O:$O,'PR Grupo'!$G26,'Plan CP'!$P:$P,'PR Grupo'!M$3,'Plan CP'!$M:$M,1)=1,1,IF(IFERROR(VLOOKUP('PR Grupo'!M$3&amp;'PR Grupo'!$G26,'Plan CP'!$K:$P,3,FALSE)&gt;1,0),IFERROR(VLOOKUP('PR Grupo'!M$3&amp;'PR Grupo'!$G26,'Plan CP'!$K:$P,3,FALSE),0),0)))</f>
        <v>1</v>
      </c>
      <c r="N26" s="58">
        <f>IF(M26&gt;1,M26-1,IF(COUNTIFS('Plan CP'!$O:$O,'PR Grupo'!$G26,'Plan CP'!$P:$P,'PR Grupo'!N$3,'Plan CP'!$M:$M,1)=1,1,IF(IFERROR(VLOOKUP('PR Grupo'!N$3&amp;'PR Grupo'!$G26,'Plan CP'!$K:$P,3,FALSE)&gt;1,0),IFERROR(VLOOKUP('PR Grupo'!N$3&amp;'PR Grupo'!$G26,'Plan CP'!$K:$P,3,FALSE),0),0)))</f>
        <v>1</v>
      </c>
      <c r="O26" s="58">
        <f>IF(N26&gt;1,N26-1,IF(COUNTIFS('Plan CP'!$O:$O,'PR Grupo'!$G26,'Plan CP'!$P:$P,'PR Grupo'!O$3,'Plan CP'!$M:$M,1)=1,1,IF(IFERROR(VLOOKUP('PR Grupo'!O$3&amp;'PR Grupo'!$G26,'Plan CP'!$K:$P,3,FALSE)&gt;1,0),IFERROR(VLOOKUP('PR Grupo'!O$3&amp;'PR Grupo'!$G26,'Plan CP'!$K:$P,3,FALSE),0),0)))</f>
        <v>1</v>
      </c>
      <c r="P26" s="58">
        <f>IF(O26&gt;1,O26-1,IF(COUNTIFS('Plan CP'!$O:$O,'PR Grupo'!$G26,'Plan CP'!$P:$P,'PR Grupo'!P$3,'Plan CP'!$M:$M,1)=1,1,IF(IFERROR(VLOOKUP('PR Grupo'!P$3&amp;'PR Grupo'!$G26,'Plan CP'!$K:$P,3,FALSE)&gt;1,0),IFERROR(VLOOKUP('PR Grupo'!P$3&amp;'PR Grupo'!$G26,'Plan CP'!$K:$P,3,FALSE),0),0)))</f>
        <v>1</v>
      </c>
      <c r="Q26" s="58">
        <f>IF(P26&gt;1,P26-1,IF(COUNTIFS('Plan CP'!$O:$O,'PR Grupo'!$G26,'Plan CP'!$P:$P,'PR Grupo'!Q$3,'Plan CP'!$M:$M,1)=1,1,IF(IFERROR(VLOOKUP('PR Grupo'!Q$3&amp;'PR Grupo'!$G26,'Plan CP'!$K:$P,3,FALSE)&gt;1,0),IFERROR(VLOOKUP('PR Grupo'!Q$3&amp;'PR Grupo'!$G26,'Plan CP'!$K:$P,3,FALSE),0),0)))</f>
        <v>1</v>
      </c>
      <c r="R26" s="58">
        <f>IF(Q26&gt;1,Q26-1,IF(COUNTIFS('Plan CP'!$O:$O,'PR Grupo'!$G26,'Plan CP'!$P:$P,'PR Grupo'!R$3,'Plan CP'!$M:$M,1)=1,1,IF(IFERROR(VLOOKUP('PR Grupo'!R$3&amp;'PR Grupo'!$G26,'Plan CP'!$K:$P,3,FALSE)&gt;1,0),IFERROR(VLOOKUP('PR Grupo'!R$3&amp;'PR Grupo'!$G26,'Plan CP'!$K:$P,3,FALSE),0),0)))</f>
        <v>0</v>
      </c>
      <c r="S26" s="58">
        <f>IF(R26&gt;1,R26-1,IF(COUNTIFS('Plan CP'!$O:$O,'PR Grupo'!$G26,'Plan CP'!$P:$P,'PR Grupo'!S$3,'Plan CP'!$M:$M,1)=1,1,IF(IFERROR(VLOOKUP('PR Grupo'!S$3&amp;'PR Grupo'!$G26,'Plan CP'!$K:$P,3,FALSE)&gt;1,0),IFERROR(VLOOKUP('PR Grupo'!S$3&amp;'PR Grupo'!$G26,'Plan CP'!$K:$P,3,FALSE),0),0)))</f>
        <v>0</v>
      </c>
      <c r="T26" s="58">
        <f>IF(S26&gt;1,S26-1,IF(COUNTIFS('Plan CP'!$O:$O,'PR Grupo'!$G26,'Plan CP'!$P:$P,'PR Grupo'!T$3,'Plan CP'!$M:$M,1)=1,1,IF(IFERROR(VLOOKUP('PR Grupo'!T$3&amp;'PR Grupo'!$G26,'Plan CP'!$K:$P,3,FALSE)&gt;1,0),IFERROR(VLOOKUP('PR Grupo'!T$3&amp;'PR Grupo'!$G26,'Plan CP'!$K:$P,3,FALSE),0),0)))</f>
        <v>0</v>
      </c>
      <c r="U26" s="58">
        <f>IF(T26&gt;1,T26-1,IF(COUNTIFS('Plan CP'!$O:$O,'PR Grupo'!$G26,'Plan CP'!$P:$P,'PR Grupo'!U$3,'Plan CP'!$M:$M,1)=1,1,IF(IFERROR(VLOOKUP('PR Grupo'!U$3&amp;'PR Grupo'!$G26,'Plan CP'!$K:$P,3,FALSE)&gt;1,0),IFERROR(VLOOKUP('PR Grupo'!U$3&amp;'PR Grupo'!$G26,'Plan CP'!$K:$P,3,FALSE),0),0)))</f>
        <v>0</v>
      </c>
      <c r="V26" s="58">
        <f>IF(U26&gt;1,U26-1,IF(COUNTIFS('Plan CP'!$O:$O,'PR Grupo'!$G26,'Plan CP'!$P:$P,'PR Grupo'!V$3,'Plan CP'!$M:$M,1)=1,1,IF(IFERROR(VLOOKUP('PR Grupo'!V$3&amp;'PR Grupo'!$G26,'Plan CP'!$K:$P,3,FALSE)&gt;1,0),IFERROR(VLOOKUP('PR Grupo'!V$3&amp;'PR Grupo'!$G26,'Plan CP'!$K:$P,3,FALSE),0),0)))</f>
        <v>0</v>
      </c>
      <c r="W26" s="58">
        <f>IF(V26&gt;1,V26-1,IF(COUNTIFS('Plan CP'!$O:$O,'PR Grupo'!$G26,'Plan CP'!$P:$P,'PR Grupo'!W$3,'Plan CP'!$M:$M,1)=1,1,IF(IFERROR(VLOOKUP('PR Grupo'!W$3&amp;'PR Grupo'!$G26,'Plan CP'!$K:$P,3,FALSE)&gt;1,0),IFERROR(VLOOKUP('PR Grupo'!W$3&amp;'PR Grupo'!$G26,'Plan CP'!$K:$P,3,FALSE),0),0)))</f>
        <v>0</v>
      </c>
      <c r="X26" s="58">
        <f>IF(W26&gt;1,W26-1,IF(COUNTIFS('Plan CP'!$O:$O,'PR Grupo'!$G26,'Plan CP'!$P:$P,'PR Grupo'!X$3,'Plan CP'!$M:$M,1)=1,1,IF(IFERROR(VLOOKUP('PR Grupo'!X$3&amp;'PR Grupo'!$G26,'Plan CP'!$K:$P,3,FALSE)&gt;1,0),IFERROR(VLOOKUP('PR Grupo'!X$3&amp;'PR Grupo'!$G26,'Plan CP'!$K:$P,3,FALSE),0),0)))</f>
        <v>0</v>
      </c>
      <c r="Y26" s="58">
        <f>IF(X26&gt;1,X26-1,IF(COUNTIFS('Plan CP'!$O:$O,'PR Grupo'!$G26,'Plan CP'!$P:$P,'PR Grupo'!Y$3,'Plan CP'!$M:$M,1)=1,1,IF(IFERROR(VLOOKUP('PR Grupo'!Y$3&amp;'PR Grupo'!$G26,'Plan CP'!$K:$P,3,FALSE)&gt;1,0),IFERROR(VLOOKUP('PR Grupo'!Y$3&amp;'PR Grupo'!$G26,'Plan CP'!$K:$P,3,FALSE),0),0)))</f>
        <v>0</v>
      </c>
      <c r="Z26" s="58">
        <f>IF(Y26&gt;1,Y26-1,IF(COUNTIFS('Plan CP'!$O:$O,'PR Grupo'!$G26,'Plan CP'!$P:$P,'PR Grupo'!Z$3,'Plan CP'!$M:$M,1)=1,1,IF(IFERROR(VLOOKUP('PR Grupo'!Z$3&amp;'PR Grupo'!$G26,'Plan CP'!$K:$P,3,FALSE)&gt;1,0),IFERROR(VLOOKUP('PR Grupo'!Z$3&amp;'PR Grupo'!$G26,'Plan CP'!$K:$P,3,FALSE),0),0)))</f>
        <v>0</v>
      </c>
      <c r="AA26" s="58">
        <f>IF(Z26&gt;1,Z26-1,IF(COUNTIFS('Plan CP'!$O:$O,'PR Grupo'!$G26,'Plan CP'!$P:$P,'PR Grupo'!AA$3,'Plan CP'!$M:$M,1)=1,1,IF(IFERROR(VLOOKUP('PR Grupo'!AA$3&amp;'PR Grupo'!$G26,'Plan CP'!$K:$P,3,FALSE)&gt;1,0),IFERROR(VLOOKUP('PR Grupo'!AA$3&amp;'PR Grupo'!$G26,'Plan CP'!$K:$P,3,FALSE),0),0)))</f>
        <v>0</v>
      </c>
      <c r="AB26" s="58">
        <f>IF(AA26&gt;1,AA26-1,IF(COUNTIFS('Plan CP'!$O:$O,'PR Grupo'!$G26,'Plan CP'!$P:$P,'PR Grupo'!AB$3,'Plan CP'!$M:$M,1)=1,1,IF(IFERROR(VLOOKUP('PR Grupo'!AB$3&amp;'PR Grupo'!$G26,'Plan CP'!$K:$P,3,FALSE)&gt;1,0),IFERROR(VLOOKUP('PR Grupo'!AB$3&amp;'PR Grupo'!$G26,'Plan CP'!$K:$P,3,FALSE),0),0)))</f>
        <v>0</v>
      </c>
      <c r="AC26" s="58">
        <f>IF(AB26&gt;1,AB26-1,IF(COUNTIFS('Plan CP'!$O:$O,'PR Grupo'!$G26,'Plan CP'!$P:$P,'PR Grupo'!AC$3,'Plan CP'!$M:$M,1)=1,1,IF(IFERROR(VLOOKUP('PR Grupo'!AC$3&amp;'PR Grupo'!$G26,'Plan CP'!$K:$P,3,FALSE)&gt;1,0),IFERROR(VLOOKUP('PR Grupo'!AC$3&amp;'PR Grupo'!$G26,'Plan CP'!$K:$P,3,FALSE),0),0)))</f>
        <v>0</v>
      </c>
      <c r="AD26" s="58">
        <f>IF(AC26&gt;1,AC26-1,IF(COUNTIFS('Plan CP'!$O:$O,'PR Grupo'!$G26,'Plan CP'!$P:$P,'PR Grupo'!AD$3,'Plan CP'!$M:$M,1)=1,1,IF(IFERROR(VLOOKUP('PR Grupo'!AD$3&amp;'PR Grupo'!$G26,'Plan CP'!$K:$P,3,FALSE)&gt;1,0),IFERROR(VLOOKUP('PR Grupo'!AD$3&amp;'PR Grupo'!$G26,'Plan CP'!$K:$P,3,FALSE),0),0)))</f>
        <v>1</v>
      </c>
      <c r="AE26" s="58">
        <f>IF(AD26&gt;1,AD26-1,IF(COUNTIFS('Plan CP'!$O:$O,'PR Grupo'!$G26,'Plan CP'!$P:$P,'PR Grupo'!AE$3,'Plan CP'!$M:$M,1)=1,1,IF(IFERROR(VLOOKUP('PR Grupo'!AE$3&amp;'PR Grupo'!$G26,'Plan CP'!$K:$P,3,FALSE)&gt;1,0),IFERROR(VLOOKUP('PR Grupo'!AE$3&amp;'PR Grupo'!$G26,'Plan CP'!$K:$P,3,FALSE),0),0)))</f>
        <v>1</v>
      </c>
      <c r="AF26" s="58">
        <f>IF(AE26&gt;1,AE26-1,IF(COUNTIFS('Plan CP'!$O:$O,'PR Grupo'!$G26,'Plan CP'!$P:$P,'PR Grupo'!AF$3,'Plan CP'!$M:$M,1)=1,1,IF(IFERROR(VLOOKUP('PR Grupo'!AF$3&amp;'PR Grupo'!$G26,'Plan CP'!$K:$P,3,FALSE)&gt;1,0),IFERROR(VLOOKUP('PR Grupo'!AF$3&amp;'PR Grupo'!$G26,'Plan CP'!$K:$P,3,FALSE),0),0)))</f>
        <v>1</v>
      </c>
      <c r="AG26" s="58">
        <f>IF(AF26&gt;1,AF26-1,IF(COUNTIFS('Plan CP'!$O:$O,'PR Grupo'!$G26,'Plan CP'!$P:$P,'PR Grupo'!AG$3,'Plan CP'!$M:$M,1)=1,1,IF(IFERROR(VLOOKUP('PR Grupo'!AG$3&amp;'PR Grupo'!$G26,'Plan CP'!$K:$P,3,FALSE)&gt;1,0),IFERROR(VLOOKUP('PR Grupo'!AG$3&amp;'PR Grupo'!$G26,'Plan CP'!$K:$P,3,FALSE),0),0)))</f>
        <v>1</v>
      </c>
      <c r="AH26" s="58">
        <f>IF(AG26&gt;1,AG26-1,IF(COUNTIFS('Plan CP'!$O:$O,'PR Grupo'!$G26,'Plan CP'!$P:$P,'PR Grupo'!AH$3,'Plan CP'!$M:$M,1)=1,1,IF(IFERROR(VLOOKUP('PR Grupo'!AH$3&amp;'PR Grupo'!$G26,'Plan CP'!$K:$P,3,FALSE)&gt;1,0),IFERROR(VLOOKUP('PR Grupo'!AH$3&amp;'PR Grupo'!$G26,'Plan CP'!$K:$P,3,FALSE),0),0)))</f>
        <v>1</v>
      </c>
      <c r="AI26" s="58">
        <f>IF(AH26&gt;1,AH26-1,IF(COUNTIFS('Plan CP'!$O:$O,'PR Grupo'!$G26,'Plan CP'!$P:$P,'PR Grupo'!AI$3,'Plan CP'!$M:$M,1)=1,1,IF(IFERROR(VLOOKUP('PR Grupo'!AI$3&amp;'PR Grupo'!$G26,'Plan CP'!$K:$P,3,FALSE)&gt;1,0),IFERROR(VLOOKUP('PR Grupo'!AI$3&amp;'PR Grupo'!$G26,'Plan CP'!$K:$P,3,FALSE),0),0)))</f>
        <v>1</v>
      </c>
      <c r="AJ26" s="58">
        <f>IF(AI26&gt;1,AI26-1,IF(COUNTIFS('Plan CP'!$O:$O,'PR Grupo'!$G26,'Plan CP'!$P:$P,'PR Grupo'!AJ$3,'Plan CP'!$M:$M,1)=1,1,IF(IFERROR(VLOOKUP('PR Grupo'!AJ$3&amp;'PR Grupo'!$G26,'Plan CP'!$K:$P,3,FALSE)&gt;1,0),IFERROR(VLOOKUP('PR Grupo'!AJ$3&amp;'PR Grupo'!$G26,'Plan CP'!$K:$P,3,FALSE),0),0)))</f>
        <v>1</v>
      </c>
      <c r="AK26" s="58">
        <f>IF(AJ26&gt;1,AJ26-1,IF(COUNTIFS('Plan CP'!$O:$O,'PR Grupo'!$G26,'Plan CP'!$P:$P,'PR Grupo'!AK$3,'Plan CP'!$M:$M,1)=1,1,IF(IFERROR(VLOOKUP('PR Grupo'!AK$3&amp;'PR Grupo'!$G26,'Plan CP'!$K:$P,3,FALSE)&gt;1,0),IFERROR(VLOOKUP('PR Grupo'!AK$3&amp;'PR Grupo'!$G26,'Plan CP'!$K:$P,3,FALSE),0),0)))</f>
        <v>1</v>
      </c>
      <c r="AL26" s="58">
        <f>IF(AK26&gt;1,AK26-1,IF(COUNTIFS('Plan CP'!$O:$O,'PR Grupo'!$G26,'Plan CP'!$P:$P,'PR Grupo'!AL$3,'Plan CP'!$M:$M,1)=1,1,IF(IFERROR(VLOOKUP('PR Grupo'!AL$3&amp;'PR Grupo'!$G26,'Plan CP'!$K:$P,3,FALSE)&gt;1,0),IFERROR(VLOOKUP('PR Grupo'!AL$3&amp;'PR Grupo'!$G26,'Plan CP'!$K:$P,3,FALSE),0),0)))</f>
        <v>1</v>
      </c>
      <c r="AM26" s="58">
        <f>IF(AL26&gt;1,AL26-1,IF(COUNTIFS('Plan CP'!$O:$O,'PR Grupo'!$G26,'Plan CP'!$P:$P,'PR Grupo'!AM$3,'Plan CP'!$M:$M,1)=1,1,IF(IFERROR(VLOOKUP('PR Grupo'!AM$3&amp;'PR Grupo'!$G26,'Plan CP'!$K:$P,3,FALSE)&gt;1,0),IFERROR(VLOOKUP('PR Grupo'!AM$3&amp;'PR Grupo'!$G26,'Plan CP'!$K:$P,3,FALSE),0),0)))</f>
        <v>1</v>
      </c>
      <c r="AN26" s="58">
        <f>IF(AM26&gt;1,AM26-1,IF(COUNTIFS('Plan CP'!$O:$O,'PR Grupo'!$G26,'Plan CP'!$P:$P,'PR Grupo'!AN$3,'Plan CP'!$M:$M,1)=1,1,IF(IFERROR(VLOOKUP('PR Grupo'!AN$3&amp;'PR Grupo'!$G26,'Plan CP'!$K:$P,3,FALSE)&gt;1,0),IFERROR(VLOOKUP('PR Grupo'!AN$3&amp;'PR Grupo'!$G26,'Plan CP'!$K:$P,3,FALSE),0),0)))</f>
        <v>1</v>
      </c>
      <c r="AO26" s="58">
        <f>IF(AN26&gt;1,AN26-1,IF(COUNTIFS('Plan CP'!$O:$O,'PR Grupo'!$G26,'Plan CP'!$P:$P,'PR Grupo'!AO$3,'Plan CP'!$M:$M,1)=1,1,IF(IFERROR(VLOOKUP('PR Grupo'!AO$3&amp;'PR Grupo'!$G26,'Plan CP'!$K:$P,3,FALSE)&gt;1,0),IFERROR(VLOOKUP('PR Grupo'!AO$3&amp;'PR Grupo'!$G26,'Plan CP'!$K:$P,3,FALSE),0),0)))</f>
        <v>0</v>
      </c>
    </row>
    <row r="27" spans="1:41">
      <c r="A27" s="21" t="s">
        <v>33</v>
      </c>
      <c r="B27" s="21" t="s">
        <v>44</v>
      </c>
      <c r="C27" s="21" t="s">
        <v>219</v>
      </c>
      <c r="D27" s="21" t="s">
        <v>266</v>
      </c>
      <c r="E27" s="24" t="s">
        <v>177</v>
      </c>
      <c r="F27" s="21" t="s">
        <v>266</v>
      </c>
      <c r="G27" s="33" t="s">
        <v>191</v>
      </c>
      <c r="H27" s="24">
        <v>15</v>
      </c>
      <c r="I27" s="33">
        <f t="shared" si="2"/>
        <v>18</v>
      </c>
      <c r="J27" s="33" t="str">
        <f t="shared" si="3"/>
        <v>OK</v>
      </c>
      <c r="K27" s="58">
        <f>IF(COUNTIFS('Plan CP'!$O:$O,'PR Grupo'!$G27,'Plan CP'!$P:$P,'PR Grupo'!K$3,'Plan CP'!$M:$M,1)=1,1,IF(IFERROR(VLOOKUP('PR Grupo'!K$3&amp;'PR Grupo'!$G27,'Plan CP'!$K:$P,3,FALSE)&gt;1,0),IFERROR(VLOOKUP('PR Grupo'!K$3&amp;'PR Grupo'!$G27,'Plan CP'!$K:$P,3,FALSE),0),0))</f>
        <v>1</v>
      </c>
      <c r="L27" s="58">
        <f>IF(K27&gt;1,K27-1,IF(COUNTIFS('Plan CP'!$O:$O,'PR Grupo'!$G27,'Plan CP'!$P:$P,'PR Grupo'!L$3,'Plan CP'!$M:$M,1)=1,1,IF(IFERROR(VLOOKUP('PR Grupo'!L$3&amp;'PR Grupo'!$G27,'Plan CP'!$K:$P,3,FALSE)&gt;1,0),IFERROR(VLOOKUP('PR Grupo'!L$3&amp;'PR Grupo'!$G27,'Plan CP'!$K:$P,3,FALSE),0),0)))</f>
        <v>1</v>
      </c>
      <c r="M27" s="58">
        <f>IF(L27&gt;1,L27-1,IF(COUNTIFS('Plan CP'!$O:$O,'PR Grupo'!$G27,'Plan CP'!$P:$P,'PR Grupo'!M$3,'Plan CP'!$M:$M,1)=1,1,IF(IFERROR(VLOOKUP('PR Grupo'!M$3&amp;'PR Grupo'!$G27,'Plan CP'!$K:$P,3,FALSE)&gt;1,0),IFERROR(VLOOKUP('PR Grupo'!M$3&amp;'PR Grupo'!$G27,'Plan CP'!$K:$P,3,FALSE),0),0)))</f>
        <v>1</v>
      </c>
      <c r="N27" s="58">
        <f>IF(M27&gt;1,M27-1,IF(COUNTIFS('Plan CP'!$O:$O,'PR Grupo'!$G27,'Plan CP'!$P:$P,'PR Grupo'!N$3,'Plan CP'!$M:$M,1)=1,1,IF(IFERROR(VLOOKUP('PR Grupo'!N$3&amp;'PR Grupo'!$G27,'Plan CP'!$K:$P,3,FALSE)&gt;1,0),IFERROR(VLOOKUP('PR Grupo'!N$3&amp;'PR Grupo'!$G27,'Plan CP'!$K:$P,3,FALSE),0),0)))</f>
        <v>1</v>
      </c>
      <c r="O27" s="58">
        <f>IF(N27&gt;1,N27-1,IF(COUNTIFS('Plan CP'!$O:$O,'PR Grupo'!$G27,'Plan CP'!$P:$P,'PR Grupo'!O$3,'Plan CP'!$M:$M,1)=1,1,IF(IFERROR(VLOOKUP('PR Grupo'!O$3&amp;'PR Grupo'!$G27,'Plan CP'!$K:$P,3,FALSE)&gt;1,0),IFERROR(VLOOKUP('PR Grupo'!O$3&amp;'PR Grupo'!$G27,'Plan CP'!$K:$P,3,FALSE),0),0)))</f>
        <v>1</v>
      </c>
      <c r="P27" s="58">
        <f>IF(O27&gt;1,O27-1,IF(COUNTIFS('Plan CP'!$O:$O,'PR Grupo'!$G27,'Plan CP'!$P:$P,'PR Grupo'!P$3,'Plan CP'!$M:$M,1)=1,1,IF(IFERROR(VLOOKUP('PR Grupo'!P$3&amp;'PR Grupo'!$G27,'Plan CP'!$K:$P,3,FALSE)&gt;1,0),IFERROR(VLOOKUP('PR Grupo'!P$3&amp;'PR Grupo'!$G27,'Plan CP'!$K:$P,3,FALSE),0),0)))</f>
        <v>1</v>
      </c>
      <c r="Q27" s="58">
        <f>IF(P27&gt;1,P27-1,IF(COUNTIFS('Plan CP'!$O:$O,'PR Grupo'!$G27,'Plan CP'!$P:$P,'PR Grupo'!Q$3,'Plan CP'!$M:$M,1)=1,1,IF(IFERROR(VLOOKUP('PR Grupo'!Q$3&amp;'PR Grupo'!$G27,'Plan CP'!$K:$P,3,FALSE)&gt;1,0),IFERROR(VLOOKUP('PR Grupo'!Q$3&amp;'PR Grupo'!$G27,'Plan CP'!$K:$P,3,FALSE),0),0)))</f>
        <v>1</v>
      </c>
      <c r="R27" s="58">
        <f>IF(Q27&gt;1,Q27-1,IF(COUNTIFS('Plan CP'!$O:$O,'PR Grupo'!$G27,'Plan CP'!$P:$P,'PR Grupo'!R$3,'Plan CP'!$M:$M,1)=1,1,IF(IFERROR(VLOOKUP('PR Grupo'!R$3&amp;'PR Grupo'!$G27,'Plan CP'!$K:$P,3,FALSE)&gt;1,0),IFERROR(VLOOKUP('PR Grupo'!R$3&amp;'PR Grupo'!$G27,'Plan CP'!$K:$P,3,FALSE),0),0)))</f>
        <v>0</v>
      </c>
      <c r="S27" s="58">
        <f>IF(R27&gt;1,R27-1,IF(COUNTIFS('Plan CP'!$O:$O,'PR Grupo'!$G27,'Plan CP'!$P:$P,'PR Grupo'!S$3,'Plan CP'!$M:$M,1)=1,1,IF(IFERROR(VLOOKUP('PR Grupo'!S$3&amp;'PR Grupo'!$G27,'Plan CP'!$K:$P,3,FALSE)&gt;1,0),IFERROR(VLOOKUP('PR Grupo'!S$3&amp;'PR Grupo'!$G27,'Plan CP'!$K:$P,3,FALSE),0),0)))</f>
        <v>0</v>
      </c>
      <c r="T27" s="58">
        <f>IF(S27&gt;1,S27-1,IF(COUNTIFS('Plan CP'!$O:$O,'PR Grupo'!$G27,'Plan CP'!$P:$P,'PR Grupo'!T$3,'Plan CP'!$M:$M,1)=1,1,IF(IFERROR(VLOOKUP('PR Grupo'!T$3&amp;'PR Grupo'!$G27,'Plan CP'!$K:$P,3,FALSE)&gt;1,0),IFERROR(VLOOKUP('PR Grupo'!T$3&amp;'PR Grupo'!$G27,'Plan CP'!$K:$P,3,FALSE),0),0)))</f>
        <v>0</v>
      </c>
      <c r="U27" s="58">
        <f>IF(T27&gt;1,T27-1,IF(COUNTIFS('Plan CP'!$O:$O,'PR Grupo'!$G27,'Plan CP'!$P:$P,'PR Grupo'!U$3,'Plan CP'!$M:$M,1)=1,1,IF(IFERROR(VLOOKUP('PR Grupo'!U$3&amp;'PR Grupo'!$G27,'Plan CP'!$K:$P,3,FALSE)&gt;1,0),IFERROR(VLOOKUP('PR Grupo'!U$3&amp;'PR Grupo'!$G27,'Plan CP'!$K:$P,3,FALSE),0),0)))</f>
        <v>0</v>
      </c>
      <c r="V27" s="58">
        <f>IF(U27&gt;1,U27-1,IF(COUNTIFS('Plan CP'!$O:$O,'PR Grupo'!$G27,'Plan CP'!$P:$P,'PR Grupo'!V$3,'Plan CP'!$M:$M,1)=1,1,IF(IFERROR(VLOOKUP('PR Grupo'!V$3&amp;'PR Grupo'!$G27,'Plan CP'!$K:$P,3,FALSE)&gt;1,0),IFERROR(VLOOKUP('PR Grupo'!V$3&amp;'PR Grupo'!$G27,'Plan CP'!$K:$P,3,FALSE),0),0)))</f>
        <v>0</v>
      </c>
      <c r="W27" s="58">
        <f>IF(V27&gt;1,V27-1,IF(COUNTIFS('Plan CP'!$O:$O,'PR Grupo'!$G27,'Plan CP'!$P:$P,'PR Grupo'!W$3,'Plan CP'!$M:$M,1)=1,1,IF(IFERROR(VLOOKUP('PR Grupo'!W$3&amp;'PR Grupo'!$G27,'Plan CP'!$K:$P,3,FALSE)&gt;1,0),IFERROR(VLOOKUP('PR Grupo'!W$3&amp;'PR Grupo'!$G27,'Plan CP'!$K:$P,3,FALSE),0),0)))</f>
        <v>0</v>
      </c>
      <c r="X27" s="58">
        <f>IF(W27&gt;1,W27-1,IF(COUNTIFS('Plan CP'!$O:$O,'PR Grupo'!$G27,'Plan CP'!$P:$P,'PR Grupo'!X$3,'Plan CP'!$M:$M,1)=1,1,IF(IFERROR(VLOOKUP('PR Grupo'!X$3&amp;'PR Grupo'!$G27,'Plan CP'!$K:$P,3,FALSE)&gt;1,0),IFERROR(VLOOKUP('PR Grupo'!X$3&amp;'PR Grupo'!$G27,'Plan CP'!$K:$P,3,FALSE),0),0)))</f>
        <v>0</v>
      </c>
      <c r="Y27" s="58">
        <f>IF(X27&gt;1,X27-1,IF(COUNTIFS('Plan CP'!$O:$O,'PR Grupo'!$G27,'Plan CP'!$P:$P,'PR Grupo'!Y$3,'Plan CP'!$M:$M,1)=1,1,IF(IFERROR(VLOOKUP('PR Grupo'!Y$3&amp;'PR Grupo'!$G27,'Plan CP'!$K:$P,3,FALSE)&gt;1,0),IFERROR(VLOOKUP('PR Grupo'!Y$3&amp;'PR Grupo'!$G27,'Plan CP'!$K:$P,3,FALSE),0),0)))</f>
        <v>0</v>
      </c>
      <c r="Z27" s="58">
        <f>IF(Y27&gt;1,Y27-1,IF(COUNTIFS('Plan CP'!$O:$O,'PR Grupo'!$G27,'Plan CP'!$P:$P,'PR Grupo'!Z$3,'Plan CP'!$M:$M,1)=1,1,IF(IFERROR(VLOOKUP('PR Grupo'!Z$3&amp;'PR Grupo'!$G27,'Plan CP'!$K:$P,3,FALSE)&gt;1,0),IFERROR(VLOOKUP('PR Grupo'!Z$3&amp;'PR Grupo'!$G27,'Plan CP'!$K:$P,3,FALSE),0),0)))</f>
        <v>0</v>
      </c>
      <c r="AA27" s="58">
        <f>IF(Z27&gt;1,Z27-1,IF(COUNTIFS('Plan CP'!$O:$O,'PR Grupo'!$G27,'Plan CP'!$P:$P,'PR Grupo'!AA$3,'Plan CP'!$M:$M,1)=1,1,IF(IFERROR(VLOOKUP('PR Grupo'!AA$3&amp;'PR Grupo'!$G27,'Plan CP'!$K:$P,3,FALSE)&gt;1,0),IFERROR(VLOOKUP('PR Grupo'!AA$3&amp;'PR Grupo'!$G27,'Plan CP'!$K:$P,3,FALSE),0),0)))</f>
        <v>0</v>
      </c>
      <c r="AB27" s="58">
        <f>IF(AA27&gt;1,AA27-1,IF(COUNTIFS('Plan CP'!$O:$O,'PR Grupo'!$G27,'Plan CP'!$P:$P,'PR Grupo'!AB$3,'Plan CP'!$M:$M,1)=1,1,IF(IFERROR(VLOOKUP('PR Grupo'!AB$3&amp;'PR Grupo'!$G27,'Plan CP'!$K:$P,3,FALSE)&gt;1,0),IFERROR(VLOOKUP('PR Grupo'!AB$3&amp;'PR Grupo'!$G27,'Plan CP'!$K:$P,3,FALSE),0),0)))</f>
        <v>0</v>
      </c>
      <c r="AC27" s="58">
        <f>IF(AB27&gt;1,AB27-1,IF(COUNTIFS('Plan CP'!$O:$O,'PR Grupo'!$G27,'Plan CP'!$P:$P,'PR Grupo'!AC$3,'Plan CP'!$M:$M,1)=1,1,IF(IFERROR(VLOOKUP('PR Grupo'!AC$3&amp;'PR Grupo'!$G27,'Plan CP'!$K:$P,3,FALSE)&gt;1,0),IFERROR(VLOOKUP('PR Grupo'!AC$3&amp;'PR Grupo'!$G27,'Plan CP'!$K:$P,3,FALSE),0),0)))</f>
        <v>0</v>
      </c>
      <c r="AD27" s="58">
        <f>IF(AC27&gt;1,AC27-1,IF(COUNTIFS('Plan CP'!$O:$O,'PR Grupo'!$G27,'Plan CP'!$P:$P,'PR Grupo'!AD$3,'Plan CP'!$M:$M,1)=1,1,IF(IFERROR(VLOOKUP('PR Grupo'!AD$3&amp;'PR Grupo'!$G27,'Plan CP'!$K:$P,3,FALSE)&gt;1,0),IFERROR(VLOOKUP('PR Grupo'!AD$3&amp;'PR Grupo'!$G27,'Plan CP'!$K:$P,3,FALSE),0),0)))</f>
        <v>1</v>
      </c>
      <c r="AE27" s="58">
        <f>IF(AD27&gt;1,AD27-1,IF(COUNTIFS('Plan CP'!$O:$O,'PR Grupo'!$G27,'Plan CP'!$P:$P,'PR Grupo'!AE$3,'Plan CP'!$M:$M,1)=1,1,IF(IFERROR(VLOOKUP('PR Grupo'!AE$3&amp;'PR Grupo'!$G27,'Plan CP'!$K:$P,3,FALSE)&gt;1,0),IFERROR(VLOOKUP('PR Grupo'!AE$3&amp;'PR Grupo'!$G27,'Plan CP'!$K:$P,3,FALSE),0),0)))</f>
        <v>1</v>
      </c>
      <c r="AF27" s="58">
        <f>IF(AE27&gt;1,AE27-1,IF(COUNTIFS('Plan CP'!$O:$O,'PR Grupo'!$G27,'Plan CP'!$P:$P,'PR Grupo'!AF$3,'Plan CP'!$M:$M,1)=1,1,IF(IFERROR(VLOOKUP('PR Grupo'!AF$3&amp;'PR Grupo'!$G27,'Plan CP'!$K:$P,3,FALSE)&gt;1,0),IFERROR(VLOOKUP('PR Grupo'!AF$3&amp;'PR Grupo'!$G27,'Plan CP'!$K:$P,3,FALSE),0),0)))</f>
        <v>1</v>
      </c>
      <c r="AG27" s="58">
        <f>IF(AF27&gt;1,AF27-1,IF(COUNTIFS('Plan CP'!$O:$O,'PR Grupo'!$G27,'Plan CP'!$P:$P,'PR Grupo'!AG$3,'Plan CP'!$M:$M,1)=1,1,IF(IFERROR(VLOOKUP('PR Grupo'!AG$3&amp;'PR Grupo'!$G27,'Plan CP'!$K:$P,3,FALSE)&gt;1,0),IFERROR(VLOOKUP('PR Grupo'!AG$3&amp;'PR Grupo'!$G27,'Plan CP'!$K:$P,3,FALSE),0),0)))</f>
        <v>1</v>
      </c>
      <c r="AH27" s="58">
        <f>IF(AG27&gt;1,AG27-1,IF(COUNTIFS('Plan CP'!$O:$O,'PR Grupo'!$G27,'Plan CP'!$P:$P,'PR Grupo'!AH$3,'Plan CP'!$M:$M,1)=1,1,IF(IFERROR(VLOOKUP('PR Grupo'!AH$3&amp;'PR Grupo'!$G27,'Plan CP'!$K:$P,3,FALSE)&gt;1,0),IFERROR(VLOOKUP('PR Grupo'!AH$3&amp;'PR Grupo'!$G27,'Plan CP'!$K:$P,3,FALSE),0),0)))</f>
        <v>1</v>
      </c>
      <c r="AI27" s="58">
        <f>IF(AH27&gt;1,AH27-1,IF(COUNTIFS('Plan CP'!$O:$O,'PR Grupo'!$G27,'Plan CP'!$P:$P,'PR Grupo'!AI$3,'Plan CP'!$M:$M,1)=1,1,IF(IFERROR(VLOOKUP('PR Grupo'!AI$3&amp;'PR Grupo'!$G27,'Plan CP'!$K:$P,3,FALSE)&gt;1,0),IFERROR(VLOOKUP('PR Grupo'!AI$3&amp;'PR Grupo'!$G27,'Plan CP'!$K:$P,3,FALSE),0),0)))</f>
        <v>1</v>
      </c>
      <c r="AJ27" s="58">
        <f>IF(AI27&gt;1,AI27-1,IF(COUNTIFS('Plan CP'!$O:$O,'PR Grupo'!$G27,'Plan CP'!$P:$P,'PR Grupo'!AJ$3,'Plan CP'!$M:$M,1)=1,1,IF(IFERROR(VLOOKUP('PR Grupo'!AJ$3&amp;'PR Grupo'!$G27,'Plan CP'!$K:$P,3,FALSE)&gt;1,0),IFERROR(VLOOKUP('PR Grupo'!AJ$3&amp;'PR Grupo'!$G27,'Plan CP'!$K:$P,3,FALSE),0),0)))</f>
        <v>1</v>
      </c>
      <c r="AK27" s="58">
        <f>IF(AJ27&gt;1,AJ27-1,IF(COUNTIFS('Plan CP'!$O:$O,'PR Grupo'!$G27,'Plan CP'!$P:$P,'PR Grupo'!AK$3,'Plan CP'!$M:$M,1)=1,1,IF(IFERROR(VLOOKUP('PR Grupo'!AK$3&amp;'PR Grupo'!$G27,'Plan CP'!$K:$P,3,FALSE)&gt;1,0),IFERROR(VLOOKUP('PR Grupo'!AK$3&amp;'PR Grupo'!$G27,'Plan CP'!$K:$P,3,FALSE),0),0)))</f>
        <v>1</v>
      </c>
      <c r="AL27" s="58">
        <f>IF(AK27&gt;1,AK27-1,IF(COUNTIFS('Plan CP'!$O:$O,'PR Grupo'!$G27,'Plan CP'!$P:$P,'PR Grupo'!AL$3,'Plan CP'!$M:$M,1)=1,1,IF(IFERROR(VLOOKUP('PR Grupo'!AL$3&amp;'PR Grupo'!$G27,'Plan CP'!$K:$P,3,FALSE)&gt;1,0),IFERROR(VLOOKUP('PR Grupo'!AL$3&amp;'PR Grupo'!$G27,'Plan CP'!$K:$P,3,FALSE),0),0)))</f>
        <v>1</v>
      </c>
      <c r="AM27" s="58">
        <f>IF(AL27&gt;1,AL27-1,IF(COUNTIFS('Plan CP'!$O:$O,'PR Grupo'!$G27,'Plan CP'!$P:$P,'PR Grupo'!AM$3,'Plan CP'!$M:$M,1)=1,1,IF(IFERROR(VLOOKUP('PR Grupo'!AM$3&amp;'PR Grupo'!$G27,'Plan CP'!$K:$P,3,FALSE)&gt;1,0),IFERROR(VLOOKUP('PR Grupo'!AM$3&amp;'PR Grupo'!$G27,'Plan CP'!$K:$P,3,FALSE),0),0)))</f>
        <v>1</v>
      </c>
      <c r="AN27" s="58">
        <f>IF(AM27&gt;1,AM27-1,IF(COUNTIFS('Plan CP'!$O:$O,'PR Grupo'!$G27,'Plan CP'!$P:$P,'PR Grupo'!AN$3,'Plan CP'!$M:$M,1)=1,1,IF(IFERROR(VLOOKUP('PR Grupo'!AN$3&amp;'PR Grupo'!$G27,'Plan CP'!$K:$P,3,FALSE)&gt;1,0),IFERROR(VLOOKUP('PR Grupo'!AN$3&amp;'PR Grupo'!$G27,'Plan CP'!$K:$P,3,FALSE),0),0)))</f>
        <v>1</v>
      </c>
      <c r="AO27" s="58">
        <f>IF(AN27&gt;1,AN27-1,IF(COUNTIFS('Plan CP'!$O:$O,'PR Grupo'!$G27,'Plan CP'!$P:$P,'PR Grupo'!AO$3,'Plan CP'!$M:$M,1)=1,1,IF(IFERROR(VLOOKUP('PR Grupo'!AO$3&amp;'PR Grupo'!$G27,'Plan CP'!$K:$P,3,FALSE)&gt;1,0),IFERROR(VLOOKUP('PR Grupo'!AO$3&amp;'PR Grupo'!$G27,'Plan CP'!$K:$P,3,FALSE),0),0)))</f>
        <v>0</v>
      </c>
    </row>
    <row r="28" spans="1:41">
      <c r="A28" s="21" t="s">
        <v>33</v>
      </c>
      <c r="B28" s="21" t="s">
        <v>40</v>
      </c>
      <c r="C28" s="21" t="s">
        <v>220</v>
      </c>
      <c r="D28" s="21" t="s">
        <v>265</v>
      </c>
      <c r="E28" s="24" t="s">
        <v>177</v>
      </c>
      <c r="F28" s="21" t="s">
        <v>265</v>
      </c>
      <c r="G28" s="33" t="s">
        <v>191</v>
      </c>
      <c r="H28" s="24">
        <v>15</v>
      </c>
      <c r="I28" s="33">
        <f t="shared" si="2"/>
        <v>18</v>
      </c>
      <c r="J28" s="33" t="str">
        <f t="shared" si="3"/>
        <v>OK</v>
      </c>
      <c r="K28" s="58">
        <f>IF(COUNTIFS('Plan CP'!$O:$O,'PR Grupo'!$G28,'Plan CP'!$P:$P,'PR Grupo'!K$3,'Plan CP'!$M:$M,1)=1,1,IF(IFERROR(VLOOKUP('PR Grupo'!K$3&amp;'PR Grupo'!$G28,'Plan CP'!$K:$P,3,FALSE)&gt;1,0),IFERROR(VLOOKUP('PR Grupo'!K$3&amp;'PR Grupo'!$G28,'Plan CP'!$K:$P,3,FALSE),0),0))</f>
        <v>1</v>
      </c>
      <c r="L28" s="58">
        <f>IF(K28&gt;1,K28-1,IF(COUNTIFS('Plan CP'!$O:$O,'PR Grupo'!$G28,'Plan CP'!$P:$P,'PR Grupo'!L$3,'Plan CP'!$M:$M,1)=1,1,IF(IFERROR(VLOOKUP('PR Grupo'!L$3&amp;'PR Grupo'!$G28,'Plan CP'!$K:$P,3,FALSE)&gt;1,0),IFERROR(VLOOKUP('PR Grupo'!L$3&amp;'PR Grupo'!$G28,'Plan CP'!$K:$P,3,FALSE),0),0)))</f>
        <v>1</v>
      </c>
      <c r="M28" s="58">
        <f>IF(L28&gt;1,L28-1,IF(COUNTIFS('Plan CP'!$O:$O,'PR Grupo'!$G28,'Plan CP'!$P:$P,'PR Grupo'!M$3,'Plan CP'!$M:$M,1)=1,1,IF(IFERROR(VLOOKUP('PR Grupo'!M$3&amp;'PR Grupo'!$G28,'Plan CP'!$K:$P,3,FALSE)&gt;1,0),IFERROR(VLOOKUP('PR Grupo'!M$3&amp;'PR Grupo'!$G28,'Plan CP'!$K:$P,3,FALSE),0),0)))</f>
        <v>1</v>
      </c>
      <c r="N28" s="58">
        <f>IF(M28&gt;1,M28-1,IF(COUNTIFS('Plan CP'!$O:$O,'PR Grupo'!$G28,'Plan CP'!$P:$P,'PR Grupo'!N$3,'Plan CP'!$M:$M,1)=1,1,IF(IFERROR(VLOOKUP('PR Grupo'!N$3&amp;'PR Grupo'!$G28,'Plan CP'!$K:$P,3,FALSE)&gt;1,0),IFERROR(VLOOKUP('PR Grupo'!N$3&amp;'PR Grupo'!$G28,'Plan CP'!$K:$P,3,FALSE),0),0)))</f>
        <v>1</v>
      </c>
      <c r="O28" s="58">
        <f>IF(N28&gt;1,N28-1,IF(COUNTIFS('Plan CP'!$O:$O,'PR Grupo'!$G28,'Plan CP'!$P:$P,'PR Grupo'!O$3,'Plan CP'!$M:$M,1)=1,1,IF(IFERROR(VLOOKUP('PR Grupo'!O$3&amp;'PR Grupo'!$G28,'Plan CP'!$K:$P,3,FALSE)&gt;1,0),IFERROR(VLOOKUP('PR Grupo'!O$3&amp;'PR Grupo'!$G28,'Plan CP'!$K:$P,3,FALSE),0),0)))</f>
        <v>1</v>
      </c>
      <c r="P28" s="58">
        <f>IF(O28&gt;1,O28-1,IF(COUNTIFS('Plan CP'!$O:$O,'PR Grupo'!$G28,'Plan CP'!$P:$P,'PR Grupo'!P$3,'Plan CP'!$M:$M,1)=1,1,IF(IFERROR(VLOOKUP('PR Grupo'!P$3&amp;'PR Grupo'!$G28,'Plan CP'!$K:$P,3,FALSE)&gt;1,0),IFERROR(VLOOKUP('PR Grupo'!P$3&amp;'PR Grupo'!$G28,'Plan CP'!$K:$P,3,FALSE),0),0)))</f>
        <v>1</v>
      </c>
      <c r="Q28" s="58">
        <f>IF(P28&gt;1,P28-1,IF(COUNTIFS('Plan CP'!$O:$O,'PR Grupo'!$G28,'Plan CP'!$P:$P,'PR Grupo'!Q$3,'Plan CP'!$M:$M,1)=1,1,IF(IFERROR(VLOOKUP('PR Grupo'!Q$3&amp;'PR Grupo'!$G28,'Plan CP'!$K:$P,3,FALSE)&gt;1,0),IFERROR(VLOOKUP('PR Grupo'!Q$3&amp;'PR Grupo'!$G28,'Plan CP'!$K:$P,3,FALSE),0),0)))</f>
        <v>1</v>
      </c>
      <c r="R28" s="58">
        <f>IF(Q28&gt;1,Q28-1,IF(COUNTIFS('Plan CP'!$O:$O,'PR Grupo'!$G28,'Plan CP'!$P:$P,'PR Grupo'!R$3,'Plan CP'!$M:$M,1)=1,1,IF(IFERROR(VLOOKUP('PR Grupo'!R$3&amp;'PR Grupo'!$G28,'Plan CP'!$K:$P,3,FALSE)&gt;1,0),IFERROR(VLOOKUP('PR Grupo'!R$3&amp;'PR Grupo'!$G28,'Plan CP'!$K:$P,3,FALSE),0),0)))</f>
        <v>0</v>
      </c>
      <c r="S28" s="58">
        <f>IF(R28&gt;1,R28-1,IF(COUNTIFS('Plan CP'!$O:$O,'PR Grupo'!$G28,'Plan CP'!$P:$P,'PR Grupo'!S$3,'Plan CP'!$M:$M,1)=1,1,IF(IFERROR(VLOOKUP('PR Grupo'!S$3&amp;'PR Grupo'!$G28,'Plan CP'!$K:$P,3,FALSE)&gt;1,0),IFERROR(VLOOKUP('PR Grupo'!S$3&amp;'PR Grupo'!$G28,'Plan CP'!$K:$P,3,FALSE),0),0)))</f>
        <v>0</v>
      </c>
      <c r="T28" s="58">
        <f>IF(S28&gt;1,S28-1,IF(COUNTIFS('Plan CP'!$O:$O,'PR Grupo'!$G28,'Plan CP'!$P:$P,'PR Grupo'!T$3,'Plan CP'!$M:$M,1)=1,1,IF(IFERROR(VLOOKUP('PR Grupo'!T$3&amp;'PR Grupo'!$G28,'Plan CP'!$K:$P,3,FALSE)&gt;1,0),IFERROR(VLOOKUP('PR Grupo'!T$3&amp;'PR Grupo'!$G28,'Plan CP'!$K:$P,3,FALSE),0),0)))</f>
        <v>0</v>
      </c>
      <c r="U28" s="58">
        <f>IF(T28&gt;1,T28-1,IF(COUNTIFS('Plan CP'!$O:$O,'PR Grupo'!$G28,'Plan CP'!$P:$P,'PR Grupo'!U$3,'Plan CP'!$M:$M,1)=1,1,IF(IFERROR(VLOOKUP('PR Grupo'!U$3&amp;'PR Grupo'!$G28,'Plan CP'!$K:$P,3,FALSE)&gt;1,0),IFERROR(VLOOKUP('PR Grupo'!U$3&amp;'PR Grupo'!$G28,'Plan CP'!$K:$P,3,FALSE),0),0)))</f>
        <v>0</v>
      </c>
      <c r="V28" s="58">
        <f>IF(U28&gt;1,U28-1,IF(COUNTIFS('Plan CP'!$O:$O,'PR Grupo'!$G28,'Plan CP'!$P:$P,'PR Grupo'!V$3,'Plan CP'!$M:$M,1)=1,1,IF(IFERROR(VLOOKUP('PR Grupo'!V$3&amp;'PR Grupo'!$G28,'Plan CP'!$K:$P,3,FALSE)&gt;1,0),IFERROR(VLOOKUP('PR Grupo'!V$3&amp;'PR Grupo'!$G28,'Plan CP'!$K:$P,3,FALSE),0),0)))</f>
        <v>0</v>
      </c>
      <c r="W28" s="58">
        <f>IF(V28&gt;1,V28-1,IF(COUNTIFS('Plan CP'!$O:$O,'PR Grupo'!$G28,'Plan CP'!$P:$P,'PR Grupo'!W$3,'Plan CP'!$M:$M,1)=1,1,IF(IFERROR(VLOOKUP('PR Grupo'!W$3&amp;'PR Grupo'!$G28,'Plan CP'!$K:$P,3,FALSE)&gt;1,0),IFERROR(VLOOKUP('PR Grupo'!W$3&amp;'PR Grupo'!$G28,'Plan CP'!$K:$P,3,FALSE),0),0)))</f>
        <v>0</v>
      </c>
      <c r="X28" s="58">
        <f>IF(W28&gt;1,W28-1,IF(COUNTIFS('Plan CP'!$O:$O,'PR Grupo'!$G28,'Plan CP'!$P:$P,'PR Grupo'!X$3,'Plan CP'!$M:$M,1)=1,1,IF(IFERROR(VLOOKUP('PR Grupo'!X$3&amp;'PR Grupo'!$G28,'Plan CP'!$K:$P,3,FALSE)&gt;1,0),IFERROR(VLOOKUP('PR Grupo'!X$3&amp;'PR Grupo'!$G28,'Plan CP'!$K:$P,3,FALSE),0),0)))</f>
        <v>0</v>
      </c>
      <c r="Y28" s="58">
        <f>IF(X28&gt;1,X28-1,IF(COUNTIFS('Plan CP'!$O:$O,'PR Grupo'!$G28,'Plan CP'!$P:$P,'PR Grupo'!Y$3,'Plan CP'!$M:$M,1)=1,1,IF(IFERROR(VLOOKUP('PR Grupo'!Y$3&amp;'PR Grupo'!$G28,'Plan CP'!$K:$P,3,FALSE)&gt;1,0),IFERROR(VLOOKUP('PR Grupo'!Y$3&amp;'PR Grupo'!$G28,'Plan CP'!$K:$P,3,FALSE),0),0)))</f>
        <v>0</v>
      </c>
      <c r="Z28" s="58">
        <f>IF(Y28&gt;1,Y28-1,IF(COUNTIFS('Plan CP'!$O:$O,'PR Grupo'!$G28,'Plan CP'!$P:$P,'PR Grupo'!Z$3,'Plan CP'!$M:$M,1)=1,1,IF(IFERROR(VLOOKUP('PR Grupo'!Z$3&amp;'PR Grupo'!$G28,'Plan CP'!$K:$P,3,FALSE)&gt;1,0),IFERROR(VLOOKUP('PR Grupo'!Z$3&amp;'PR Grupo'!$G28,'Plan CP'!$K:$P,3,FALSE),0),0)))</f>
        <v>0</v>
      </c>
      <c r="AA28" s="58">
        <f>IF(Z28&gt;1,Z28-1,IF(COUNTIFS('Plan CP'!$O:$O,'PR Grupo'!$G28,'Plan CP'!$P:$P,'PR Grupo'!AA$3,'Plan CP'!$M:$M,1)=1,1,IF(IFERROR(VLOOKUP('PR Grupo'!AA$3&amp;'PR Grupo'!$G28,'Plan CP'!$K:$P,3,FALSE)&gt;1,0),IFERROR(VLOOKUP('PR Grupo'!AA$3&amp;'PR Grupo'!$G28,'Plan CP'!$K:$P,3,FALSE),0),0)))</f>
        <v>0</v>
      </c>
      <c r="AB28" s="58">
        <f>IF(AA28&gt;1,AA28-1,IF(COUNTIFS('Plan CP'!$O:$O,'PR Grupo'!$G28,'Plan CP'!$P:$P,'PR Grupo'!AB$3,'Plan CP'!$M:$M,1)=1,1,IF(IFERROR(VLOOKUP('PR Grupo'!AB$3&amp;'PR Grupo'!$G28,'Plan CP'!$K:$P,3,FALSE)&gt;1,0),IFERROR(VLOOKUP('PR Grupo'!AB$3&amp;'PR Grupo'!$G28,'Plan CP'!$K:$P,3,FALSE),0),0)))</f>
        <v>0</v>
      </c>
      <c r="AC28" s="58">
        <f>IF(AB28&gt;1,AB28-1,IF(COUNTIFS('Plan CP'!$O:$O,'PR Grupo'!$G28,'Plan CP'!$P:$P,'PR Grupo'!AC$3,'Plan CP'!$M:$M,1)=1,1,IF(IFERROR(VLOOKUP('PR Grupo'!AC$3&amp;'PR Grupo'!$G28,'Plan CP'!$K:$P,3,FALSE)&gt;1,0),IFERROR(VLOOKUP('PR Grupo'!AC$3&amp;'PR Grupo'!$G28,'Plan CP'!$K:$P,3,FALSE),0),0)))</f>
        <v>0</v>
      </c>
      <c r="AD28" s="58">
        <f>IF(AC28&gt;1,AC28-1,IF(COUNTIFS('Plan CP'!$O:$O,'PR Grupo'!$G28,'Plan CP'!$P:$P,'PR Grupo'!AD$3,'Plan CP'!$M:$M,1)=1,1,IF(IFERROR(VLOOKUP('PR Grupo'!AD$3&amp;'PR Grupo'!$G28,'Plan CP'!$K:$P,3,FALSE)&gt;1,0),IFERROR(VLOOKUP('PR Grupo'!AD$3&amp;'PR Grupo'!$G28,'Plan CP'!$K:$P,3,FALSE),0),0)))</f>
        <v>1</v>
      </c>
      <c r="AE28" s="58">
        <f>IF(AD28&gt;1,AD28-1,IF(COUNTIFS('Plan CP'!$O:$O,'PR Grupo'!$G28,'Plan CP'!$P:$P,'PR Grupo'!AE$3,'Plan CP'!$M:$M,1)=1,1,IF(IFERROR(VLOOKUP('PR Grupo'!AE$3&amp;'PR Grupo'!$G28,'Plan CP'!$K:$P,3,FALSE)&gt;1,0),IFERROR(VLOOKUP('PR Grupo'!AE$3&amp;'PR Grupo'!$G28,'Plan CP'!$K:$P,3,FALSE),0),0)))</f>
        <v>1</v>
      </c>
      <c r="AF28" s="58">
        <f>IF(AE28&gt;1,AE28-1,IF(COUNTIFS('Plan CP'!$O:$O,'PR Grupo'!$G28,'Plan CP'!$P:$P,'PR Grupo'!AF$3,'Plan CP'!$M:$M,1)=1,1,IF(IFERROR(VLOOKUP('PR Grupo'!AF$3&amp;'PR Grupo'!$G28,'Plan CP'!$K:$P,3,FALSE)&gt;1,0),IFERROR(VLOOKUP('PR Grupo'!AF$3&amp;'PR Grupo'!$G28,'Plan CP'!$K:$P,3,FALSE),0),0)))</f>
        <v>1</v>
      </c>
      <c r="AG28" s="58">
        <f>IF(AF28&gt;1,AF28-1,IF(COUNTIFS('Plan CP'!$O:$O,'PR Grupo'!$G28,'Plan CP'!$P:$P,'PR Grupo'!AG$3,'Plan CP'!$M:$M,1)=1,1,IF(IFERROR(VLOOKUP('PR Grupo'!AG$3&amp;'PR Grupo'!$G28,'Plan CP'!$K:$P,3,FALSE)&gt;1,0),IFERROR(VLOOKUP('PR Grupo'!AG$3&amp;'PR Grupo'!$G28,'Plan CP'!$K:$P,3,FALSE),0),0)))</f>
        <v>1</v>
      </c>
      <c r="AH28" s="58">
        <f>IF(AG28&gt;1,AG28-1,IF(COUNTIFS('Plan CP'!$O:$O,'PR Grupo'!$G28,'Plan CP'!$P:$P,'PR Grupo'!AH$3,'Plan CP'!$M:$M,1)=1,1,IF(IFERROR(VLOOKUP('PR Grupo'!AH$3&amp;'PR Grupo'!$G28,'Plan CP'!$K:$P,3,FALSE)&gt;1,0),IFERROR(VLOOKUP('PR Grupo'!AH$3&amp;'PR Grupo'!$G28,'Plan CP'!$K:$P,3,FALSE),0),0)))</f>
        <v>1</v>
      </c>
      <c r="AI28" s="58">
        <f>IF(AH28&gt;1,AH28-1,IF(COUNTIFS('Plan CP'!$O:$O,'PR Grupo'!$G28,'Plan CP'!$P:$P,'PR Grupo'!AI$3,'Plan CP'!$M:$M,1)=1,1,IF(IFERROR(VLOOKUP('PR Grupo'!AI$3&amp;'PR Grupo'!$G28,'Plan CP'!$K:$P,3,FALSE)&gt;1,0),IFERROR(VLOOKUP('PR Grupo'!AI$3&amp;'PR Grupo'!$G28,'Plan CP'!$K:$P,3,FALSE),0),0)))</f>
        <v>1</v>
      </c>
      <c r="AJ28" s="58">
        <f>IF(AI28&gt;1,AI28-1,IF(COUNTIFS('Plan CP'!$O:$O,'PR Grupo'!$G28,'Plan CP'!$P:$P,'PR Grupo'!AJ$3,'Plan CP'!$M:$M,1)=1,1,IF(IFERROR(VLOOKUP('PR Grupo'!AJ$3&amp;'PR Grupo'!$G28,'Plan CP'!$K:$P,3,FALSE)&gt;1,0),IFERROR(VLOOKUP('PR Grupo'!AJ$3&amp;'PR Grupo'!$G28,'Plan CP'!$K:$P,3,FALSE),0),0)))</f>
        <v>1</v>
      </c>
      <c r="AK28" s="58">
        <f>IF(AJ28&gt;1,AJ28-1,IF(COUNTIFS('Plan CP'!$O:$O,'PR Grupo'!$G28,'Plan CP'!$P:$P,'PR Grupo'!AK$3,'Plan CP'!$M:$M,1)=1,1,IF(IFERROR(VLOOKUP('PR Grupo'!AK$3&amp;'PR Grupo'!$G28,'Plan CP'!$K:$P,3,FALSE)&gt;1,0),IFERROR(VLOOKUP('PR Grupo'!AK$3&amp;'PR Grupo'!$G28,'Plan CP'!$K:$P,3,FALSE),0),0)))</f>
        <v>1</v>
      </c>
      <c r="AL28" s="58">
        <f>IF(AK28&gt;1,AK28-1,IF(COUNTIFS('Plan CP'!$O:$O,'PR Grupo'!$G28,'Plan CP'!$P:$P,'PR Grupo'!AL$3,'Plan CP'!$M:$M,1)=1,1,IF(IFERROR(VLOOKUP('PR Grupo'!AL$3&amp;'PR Grupo'!$G28,'Plan CP'!$K:$P,3,FALSE)&gt;1,0),IFERROR(VLOOKUP('PR Grupo'!AL$3&amp;'PR Grupo'!$G28,'Plan CP'!$K:$P,3,FALSE),0),0)))</f>
        <v>1</v>
      </c>
      <c r="AM28" s="58">
        <f>IF(AL28&gt;1,AL28-1,IF(COUNTIFS('Plan CP'!$O:$O,'PR Grupo'!$G28,'Plan CP'!$P:$P,'PR Grupo'!AM$3,'Plan CP'!$M:$M,1)=1,1,IF(IFERROR(VLOOKUP('PR Grupo'!AM$3&amp;'PR Grupo'!$G28,'Plan CP'!$K:$P,3,FALSE)&gt;1,0),IFERROR(VLOOKUP('PR Grupo'!AM$3&amp;'PR Grupo'!$G28,'Plan CP'!$K:$P,3,FALSE),0),0)))</f>
        <v>1</v>
      </c>
      <c r="AN28" s="58">
        <f>IF(AM28&gt;1,AM28-1,IF(COUNTIFS('Plan CP'!$O:$O,'PR Grupo'!$G28,'Plan CP'!$P:$P,'PR Grupo'!AN$3,'Plan CP'!$M:$M,1)=1,1,IF(IFERROR(VLOOKUP('PR Grupo'!AN$3&amp;'PR Grupo'!$G28,'Plan CP'!$K:$P,3,FALSE)&gt;1,0),IFERROR(VLOOKUP('PR Grupo'!AN$3&amp;'PR Grupo'!$G28,'Plan CP'!$K:$P,3,FALSE),0),0)))</f>
        <v>1</v>
      </c>
      <c r="AO28" s="58">
        <f>IF(AN28&gt;1,AN28-1,IF(COUNTIFS('Plan CP'!$O:$O,'PR Grupo'!$G28,'Plan CP'!$P:$P,'PR Grupo'!AO$3,'Plan CP'!$M:$M,1)=1,1,IF(IFERROR(VLOOKUP('PR Grupo'!AO$3&amp;'PR Grupo'!$G28,'Plan CP'!$K:$P,3,FALSE)&gt;1,0),IFERROR(VLOOKUP('PR Grupo'!AO$3&amp;'PR Grupo'!$G28,'Plan CP'!$K:$P,3,FALSE),0),0)))</f>
        <v>0</v>
      </c>
    </row>
    <row r="29" spans="1:41">
      <c r="A29" s="21" t="s">
        <v>33</v>
      </c>
      <c r="B29" s="21" t="s">
        <v>40</v>
      </c>
      <c r="C29" s="21" t="s">
        <v>221</v>
      </c>
      <c r="D29" s="21" t="s">
        <v>265</v>
      </c>
      <c r="E29" s="24" t="s">
        <v>177</v>
      </c>
      <c r="F29" s="21" t="s">
        <v>265</v>
      </c>
      <c r="G29" s="33" t="s">
        <v>191</v>
      </c>
      <c r="H29" s="24">
        <v>15</v>
      </c>
      <c r="I29" s="33">
        <f t="shared" si="2"/>
        <v>18</v>
      </c>
      <c r="J29" s="33" t="str">
        <f t="shared" si="3"/>
        <v>OK</v>
      </c>
      <c r="K29" s="58">
        <f>IF(COUNTIFS('Plan CP'!$O:$O,'PR Grupo'!$G29,'Plan CP'!$P:$P,'PR Grupo'!K$3,'Plan CP'!$M:$M,1)=1,1,IF(IFERROR(VLOOKUP('PR Grupo'!K$3&amp;'PR Grupo'!$G29,'Plan CP'!$K:$P,3,FALSE)&gt;1,0),IFERROR(VLOOKUP('PR Grupo'!K$3&amp;'PR Grupo'!$G29,'Plan CP'!$K:$P,3,FALSE),0),0))</f>
        <v>1</v>
      </c>
      <c r="L29" s="58">
        <f>IF(K29&gt;1,K29-1,IF(COUNTIFS('Plan CP'!$O:$O,'PR Grupo'!$G29,'Plan CP'!$P:$P,'PR Grupo'!L$3,'Plan CP'!$M:$M,1)=1,1,IF(IFERROR(VLOOKUP('PR Grupo'!L$3&amp;'PR Grupo'!$G29,'Plan CP'!$K:$P,3,FALSE)&gt;1,0),IFERROR(VLOOKUP('PR Grupo'!L$3&amp;'PR Grupo'!$G29,'Plan CP'!$K:$P,3,FALSE),0),0)))</f>
        <v>1</v>
      </c>
      <c r="M29" s="58">
        <f>IF(L29&gt;1,L29-1,IF(COUNTIFS('Plan CP'!$O:$O,'PR Grupo'!$G29,'Plan CP'!$P:$P,'PR Grupo'!M$3,'Plan CP'!$M:$M,1)=1,1,IF(IFERROR(VLOOKUP('PR Grupo'!M$3&amp;'PR Grupo'!$G29,'Plan CP'!$K:$P,3,FALSE)&gt;1,0),IFERROR(VLOOKUP('PR Grupo'!M$3&amp;'PR Grupo'!$G29,'Plan CP'!$K:$P,3,FALSE),0),0)))</f>
        <v>1</v>
      </c>
      <c r="N29" s="58">
        <f>IF(M29&gt;1,M29-1,IF(COUNTIFS('Plan CP'!$O:$O,'PR Grupo'!$G29,'Plan CP'!$P:$P,'PR Grupo'!N$3,'Plan CP'!$M:$M,1)=1,1,IF(IFERROR(VLOOKUP('PR Grupo'!N$3&amp;'PR Grupo'!$G29,'Plan CP'!$K:$P,3,FALSE)&gt;1,0),IFERROR(VLOOKUP('PR Grupo'!N$3&amp;'PR Grupo'!$G29,'Plan CP'!$K:$P,3,FALSE),0),0)))</f>
        <v>1</v>
      </c>
      <c r="O29" s="58">
        <f>IF(N29&gt;1,N29-1,IF(COUNTIFS('Plan CP'!$O:$O,'PR Grupo'!$G29,'Plan CP'!$P:$P,'PR Grupo'!O$3,'Plan CP'!$M:$M,1)=1,1,IF(IFERROR(VLOOKUP('PR Grupo'!O$3&amp;'PR Grupo'!$G29,'Plan CP'!$K:$P,3,FALSE)&gt;1,0),IFERROR(VLOOKUP('PR Grupo'!O$3&amp;'PR Grupo'!$G29,'Plan CP'!$K:$P,3,FALSE),0),0)))</f>
        <v>1</v>
      </c>
      <c r="P29" s="58">
        <f>IF(O29&gt;1,O29-1,IF(COUNTIFS('Plan CP'!$O:$O,'PR Grupo'!$G29,'Plan CP'!$P:$P,'PR Grupo'!P$3,'Plan CP'!$M:$M,1)=1,1,IF(IFERROR(VLOOKUP('PR Grupo'!P$3&amp;'PR Grupo'!$G29,'Plan CP'!$K:$P,3,FALSE)&gt;1,0),IFERROR(VLOOKUP('PR Grupo'!P$3&amp;'PR Grupo'!$G29,'Plan CP'!$K:$P,3,FALSE),0),0)))</f>
        <v>1</v>
      </c>
      <c r="Q29" s="58">
        <f>IF(P29&gt;1,P29-1,IF(COUNTIFS('Plan CP'!$O:$O,'PR Grupo'!$G29,'Plan CP'!$P:$P,'PR Grupo'!Q$3,'Plan CP'!$M:$M,1)=1,1,IF(IFERROR(VLOOKUP('PR Grupo'!Q$3&amp;'PR Grupo'!$G29,'Plan CP'!$K:$P,3,FALSE)&gt;1,0),IFERROR(VLOOKUP('PR Grupo'!Q$3&amp;'PR Grupo'!$G29,'Plan CP'!$K:$P,3,FALSE),0),0)))</f>
        <v>1</v>
      </c>
      <c r="R29" s="58">
        <f>IF(Q29&gt;1,Q29-1,IF(COUNTIFS('Plan CP'!$O:$O,'PR Grupo'!$G29,'Plan CP'!$P:$P,'PR Grupo'!R$3,'Plan CP'!$M:$M,1)=1,1,IF(IFERROR(VLOOKUP('PR Grupo'!R$3&amp;'PR Grupo'!$G29,'Plan CP'!$K:$P,3,FALSE)&gt;1,0),IFERROR(VLOOKUP('PR Grupo'!R$3&amp;'PR Grupo'!$G29,'Plan CP'!$K:$P,3,FALSE),0),0)))</f>
        <v>0</v>
      </c>
      <c r="S29" s="58">
        <f>IF(R29&gt;1,R29-1,IF(COUNTIFS('Plan CP'!$O:$O,'PR Grupo'!$G29,'Plan CP'!$P:$P,'PR Grupo'!S$3,'Plan CP'!$M:$M,1)=1,1,IF(IFERROR(VLOOKUP('PR Grupo'!S$3&amp;'PR Grupo'!$G29,'Plan CP'!$K:$P,3,FALSE)&gt;1,0),IFERROR(VLOOKUP('PR Grupo'!S$3&amp;'PR Grupo'!$G29,'Plan CP'!$K:$P,3,FALSE),0),0)))</f>
        <v>0</v>
      </c>
      <c r="T29" s="58">
        <f>IF(S29&gt;1,S29-1,IF(COUNTIFS('Plan CP'!$O:$O,'PR Grupo'!$G29,'Plan CP'!$P:$P,'PR Grupo'!T$3,'Plan CP'!$M:$M,1)=1,1,IF(IFERROR(VLOOKUP('PR Grupo'!T$3&amp;'PR Grupo'!$G29,'Plan CP'!$K:$P,3,FALSE)&gt;1,0),IFERROR(VLOOKUP('PR Grupo'!T$3&amp;'PR Grupo'!$G29,'Plan CP'!$K:$P,3,FALSE),0),0)))</f>
        <v>0</v>
      </c>
      <c r="U29" s="58">
        <f>IF(T29&gt;1,T29-1,IF(COUNTIFS('Plan CP'!$O:$O,'PR Grupo'!$G29,'Plan CP'!$P:$P,'PR Grupo'!U$3,'Plan CP'!$M:$M,1)=1,1,IF(IFERROR(VLOOKUP('PR Grupo'!U$3&amp;'PR Grupo'!$G29,'Plan CP'!$K:$P,3,FALSE)&gt;1,0),IFERROR(VLOOKUP('PR Grupo'!U$3&amp;'PR Grupo'!$G29,'Plan CP'!$K:$P,3,FALSE),0),0)))</f>
        <v>0</v>
      </c>
      <c r="V29" s="58">
        <f>IF(U29&gt;1,U29-1,IF(COUNTIFS('Plan CP'!$O:$O,'PR Grupo'!$G29,'Plan CP'!$P:$P,'PR Grupo'!V$3,'Plan CP'!$M:$M,1)=1,1,IF(IFERROR(VLOOKUP('PR Grupo'!V$3&amp;'PR Grupo'!$G29,'Plan CP'!$K:$P,3,FALSE)&gt;1,0),IFERROR(VLOOKUP('PR Grupo'!V$3&amp;'PR Grupo'!$G29,'Plan CP'!$K:$P,3,FALSE),0),0)))</f>
        <v>0</v>
      </c>
      <c r="W29" s="58">
        <f>IF(V29&gt;1,V29-1,IF(COUNTIFS('Plan CP'!$O:$O,'PR Grupo'!$G29,'Plan CP'!$P:$P,'PR Grupo'!W$3,'Plan CP'!$M:$M,1)=1,1,IF(IFERROR(VLOOKUP('PR Grupo'!W$3&amp;'PR Grupo'!$G29,'Plan CP'!$K:$P,3,FALSE)&gt;1,0),IFERROR(VLOOKUP('PR Grupo'!W$3&amp;'PR Grupo'!$G29,'Plan CP'!$K:$P,3,FALSE),0),0)))</f>
        <v>0</v>
      </c>
      <c r="X29" s="58">
        <f>IF(W29&gt;1,W29-1,IF(COUNTIFS('Plan CP'!$O:$O,'PR Grupo'!$G29,'Plan CP'!$P:$P,'PR Grupo'!X$3,'Plan CP'!$M:$M,1)=1,1,IF(IFERROR(VLOOKUP('PR Grupo'!X$3&amp;'PR Grupo'!$G29,'Plan CP'!$K:$P,3,FALSE)&gt;1,0),IFERROR(VLOOKUP('PR Grupo'!X$3&amp;'PR Grupo'!$G29,'Plan CP'!$K:$P,3,FALSE),0),0)))</f>
        <v>0</v>
      </c>
      <c r="Y29" s="58">
        <f>IF(X29&gt;1,X29-1,IF(COUNTIFS('Plan CP'!$O:$O,'PR Grupo'!$G29,'Plan CP'!$P:$P,'PR Grupo'!Y$3,'Plan CP'!$M:$M,1)=1,1,IF(IFERROR(VLOOKUP('PR Grupo'!Y$3&amp;'PR Grupo'!$G29,'Plan CP'!$K:$P,3,FALSE)&gt;1,0),IFERROR(VLOOKUP('PR Grupo'!Y$3&amp;'PR Grupo'!$G29,'Plan CP'!$K:$P,3,FALSE),0),0)))</f>
        <v>0</v>
      </c>
      <c r="Z29" s="58">
        <f>IF(Y29&gt;1,Y29-1,IF(COUNTIFS('Plan CP'!$O:$O,'PR Grupo'!$G29,'Plan CP'!$P:$P,'PR Grupo'!Z$3,'Plan CP'!$M:$M,1)=1,1,IF(IFERROR(VLOOKUP('PR Grupo'!Z$3&amp;'PR Grupo'!$G29,'Plan CP'!$K:$P,3,FALSE)&gt;1,0),IFERROR(VLOOKUP('PR Grupo'!Z$3&amp;'PR Grupo'!$G29,'Plan CP'!$K:$P,3,FALSE),0),0)))</f>
        <v>0</v>
      </c>
      <c r="AA29" s="58">
        <f>IF(Z29&gt;1,Z29-1,IF(COUNTIFS('Plan CP'!$O:$O,'PR Grupo'!$G29,'Plan CP'!$P:$P,'PR Grupo'!AA$3,'Plan CP'!$M:$M,1)=1,1,IF(IFERROR(VLOOKUP('PR Grupo'!AA$3&amp;'PR Grupo'!$G29,'Plan CP'!$K:$P,3,FALSE)&gt;1,0),IFERROR(VLOOKUP('PR Grupo'!AA$3&amp;'PR Grupo'!$G29,'Plan CP'!$K:$P,3,FALSE),0),0)))</f>
        <v>0</v>
      </c>
      <c r="AB29" s="58">
        <f>IF(AA29&gt;1,AA29-1,IF(COUNTIFS('Plan CP'!$O:$O,'PR Grupo'!$G29,'Plan CP'!$P:$P,'PR Grupo'!AB$3,'Plan CP'!$M:$M,1)=1,1,IF(IFERROR(VLOOKUP('PR Grupo'!AB$3&amp;'PR Grupo'!$G29,'Plan CP'!$K:$P,3,FALSE)&gt;1,0),IFERROR(VLOOKUP('PR Grupo'!AB$3&amp;'PR Grupo'!$G29,'Plan CP'!$K:$P,3,FALSE),0),0)))</f>
        <v>0</v>
      </c>
      <c r="AC29" s="58">
        <f>IF(AB29&gt;1,AB29-1,IF(COUNTIFS('Plan CP'!$O:$O,'PR Grupo'!$G29,'Plan CP'!$P:$P,'PR Grupo'!AC$3,'Plan CP'!$M:$M,1)=1,1,IF(IFERROR(VLOOKUP('PR Grupo'!AC$3&amp;'PR Grupo'!$G29,'Plan CP'!$K:$P,3,FALSE)&gt;1,0),IFERROR(VLOOKUP('PR Grupo'!AC$3&amp;'PR Grupo'!$G29,'Plan CP'!$K:$P,3,FALSE),0),0)))</f>
        <v>0</v>
      </c>
      <c r="AD29" s="58">
        <f>IF(AC29&gt;1,AC29-1,IF(COUNTIFS('Plan CP'!$O:$O,'PR Grupo'!$G29,'Plan CP'!$P:$P,'PR Grupo'!AD$3,'Plan CP'!$M:$M,1)=1,1,IF(IFERROR(VLOOKUP('PR Grupo'!AD$3&amp;'PR Grupo'!$G29,'Plan CP'!$K:$P,3,FALSE)&gt;1,0),IFERROR(VLOOKUP('PR Grupo'!AD$3&amp;'PR Grupo'!$G29,'Plan CP'!$K:$P,3,FALSE),0),0)))</f>
        <v>1</v>
      </c>
      <c r="AE29" s="58">
        <f>IF(AD29&gt;1,AD29-1,IF(COUNTIFS('Plan CP'!$O:$O,'PR Grupo'!$G29,'Plan CP'!$P:$P,'PR Grupo'!AE$3,'Plan CP'!$M:$M,1)=1,1,IF(IFERROR(VLOOKUP('PR Grupo'!AE$3&amp;'PR Grupo'!$G29,'Plan CP'!$K:$P,3,FALSE)&gt;1,0),IFERROR(VLOOKUP('PR Grupo'!AE$3&amp;'PR Grupo'!$G29,'Plan CP'!$K:$P,3,FALSE),0),0)))</f>
        <v>1</v>
      </c>
      <c r="AF29" s="58">
        <f>IF(AE29&gt;1,AE29-1,IF(COUNTIFS('Plan CP'!$O:$O,'PR Grupo'!$G29,'Plan CP'!$P:$P,'PR Grupo'!AF$3,'Plan CP'!$M:$M,1)=1,1,IF(IFERROR(VLOOKUP('PR Grupo'!AF$3&amp;'PR Grupo'!$G29,'Plan CP'!$K:$P,3,FALSE)&gt;1,0),IFERROR(VLOOKUP('PR Grupo'!AF$3&amp;'PR Grupo'!$G29,'Plan CP'!$K:$P,3,FALSE),0),0)))</f>
        <v>1</v>
      </c>
      <c r="AG29" s="58">
        <f>IF(AF29&gt;1,AF29-1,IF(COUNTIFS('Plan CP'!$O:$O,'PR Grupo'!$G29,'Plan CP'!$P:$P,'PR Grupo'!AG$3,'Plan CP'!$M:$M,1)=1,1,IF(IFERROR(VLOOKUP('PR Grupo'!AG$3&amp;'PR Grupo'!$G29,'Plan CP'!$K:$P,3,FALSE)&gt;1,0),IFERROR(VLOOKUP('PR Grupo'!AG$3&amp;'PR Grupo'!$G29,'Plan CP'!$K:$P,3,FALSE),0),0)))</f>
        <v>1</v>
      </c>
      <c r="AH29" s="58">
        <f>IF(AG29&gt;1,AG29-1,IF(COUNTIFS('Plan CP'!$O:$O,'PR Grupo'!$G29,'Plan CP'!$P:$P,'PR Grupo'!AH$3,'Plan CP'!$M:$M,1)=1,1,IF(IFERROR(VLOOKUP('PR Grupo'!AH$3&amp;'PR Grupo'!$G29,'Plan CP'!$K:$P,3,FALSE)&gt;1,0),IFERROR(VLOOKUP('PR Grupo'!AH$3&amp;'PR Grupo'!$G29,'Plan CP'!$K:$P,3,FALSE),0),0)))</f>
        <v>1</v>
      </c>
      <c r="AI29" s="58">
        <f>IF(AH29&gt;1,AH29-1,IF(COUNTIFS('Plan CP'!$O:$O,'PR Grupo'!$G29,'Plan CP'!$P:$P,'PR Grupo'!AI$3,'Plan CP'!$M:$M,1)=1,1,IF(IFERROR(VLOOKUP('PR Grupo'!AI$3&amp;'PR Grupo'!$G29,'Plan CP'!$K:$P,3,FALSE)&gt;1,0),IFERROR(VLOOKUP('PR Grupo'!AI$3&amp;'PR Grupo'!$G29,'Plan CP'!$K:$P,3,FALSE),0),0)))</f>
        <v>1</v>
      </c>
      <c r="AJ29" s="58">
        <f>IF(AI29&gt;1,AI29-1,IF(COUNTIFS('Plan CP'!$O:$O,'PR Grupo'!$G29,'Plan CP'!$P:$P,'PR Grupo'!AJ$3,'Plan CP'!$M:$M,1)=1,1,IF(IFERROR(VLOOKUP('PR Grupo'!AJ$3&amp;'PR Grupo'!$G29,'Plan CP'!$K:$P,3,FALSE)&gt;1,0),IFERROR(VLOOKUP('PR Grupo'!AJ$3&amp;'PR Grupo'!$G29,'Plan CP'!$K:$P,3,FALSE),0),0)))</f>
        <v>1</v>
      </c>
      <c r="AK29" s="58">
        <f>IF(AJ29&gt;1,AJ29-1,IF(COUNTIFS('Plan CP'!$O:$O,'PR Grupo'!$G29,'Plan CP'!$P:$P,'PR Grupo'!AK$3,'Plan CP'!$M:$M,1)=1,1,IF(IFERROR(VLOOKUP('PR Grupo'!AK$3&amp;'PR Grupo'!$G29,'Plan CP'!$K:$P,3,FALSE)&gt;1,0),IFERROR(VLOOKUP('PR Grupo'!AK$3&amp;'PR Grupo'!$G29,'Plan CP'!$K:$P,3,FALSE),0),0)))</f>
        <v>1</v>
      </c>
      <c r="AL29" s="58">
        <f>IF(AK29&gt;1,AK29-1,IF(COUNTIFS('Plan CP'!$O:$O,'PR Grupo'!$G29,'Plan CP'!$P:$P,'PR Grupo'!AL$3,'Plan CP'!$M:$M,1)=1,1,IF(IFERROR(VLOOKUP('PR Grupo'!AL$3&amp;'PR Grupo'!$G29,'Plan CP'!$K:$P,3,FALSE)&gt;1,0),IFERROR(VLOOKUP('PR Grupo'!AL$3&amp;'PR Grupo'!$G29,'Plan CP'!$K:$P,3,FALSE),0),0)))</f>
        <v>1</v>
      </c>
      <c r="AM29" s="58">
        <f>IF(AL29&gt;1,AL29-1,IF(COUNTIFS('Plan CP'!$O:$O,'PR Grupo'!$G29,'Plan CP'!$P:$P,'PR Grupo'!AM$3,'Plan CP'!$M:$M,1)=1,1,IF(IFERROR(VLOOKUP('PR Grupo'!AM$3&amp;'PR Grupo'!$G29,'Plan CP'!$K:$P,3,FALSE)&gt;1,0),IFERROR(VLOOKUP('PR Grupo'!AM$3&amp;'PR Grupo'!$G29,'Plan CP'!$K:$P,3,FALSE),0),0)))</f>
        <v>1</v>
      </c>
      <c r="AN29" s="58">
        <f>IF(AM29&gt;1,AM29-1,IF(COUNTIFS('Plan CP'!$O:$O,'PR Grupo'!$G29,'Plan CP'!$P:$P,'PR Grupo'!AN$3,'Plan CP'!$M:$M,1)=1,1,IF(IFERROR(VLOOKUP('PR Grupo'!AN$3&amp;'PR Grupo'!$G29,'Plan CP'!$K:$P,3,FALSE)&gt;1,0),IFERROR(VLOOKUP('PR Grupo'!AN$3&amp;'PR Grupo'!$G29,'Plan CP'!$K:$P,3,FALSE),0),0)))</f>
        <v>1</v>
      </c>
      <c r="AO29" s="58">
        <f>IF(AN29&gt;1,AN29-1,IF(COUNTIFS('Plan CP'!$O:$O,'PR Grupo'!$G29,'Plan CP'!$P:$P,'PR Grupo'!AO$3,'Plan CP'!$M:$M,1)=1,1,IF(IFERROR(VLOOKUP('PR Grupo'!AO$3&amp;'PR Grupo'!$G29,'Plan CP'!$K:$P,3,FALSE)&gt;1,0),IFERROR(VLOOKUP('PR Grupo'!AO$3&amp;'PR Grupo'!$G29,'Plan CP'!$K:$P,3,FALSE),0),0)))</f>
        <v>0</v>
      </c>
    </row>
    <row r="30" spans="1:41">
      <c r="A30" s="21" t="s">
        <v>33</v>
      </c>
      <c r="B30" s="21" t="s">
        <v>40</v>
      </c>
      <c r="C30" s="21" t="s">
        <v>222</v>
      </c>
      <c r="D30" s="21" t="s">
        <v>265</v>
      </c>
      <c r="E30" s="24" t="s">
        <v>177</v>
      </c>
      <c r="F30" s="21" t="s">
        <v>265</v>
      </c>
      <c r="G30" s="33" t="s">
        <v>191</v>
      </c>
      <c r="H30" s="24">
        <v>15</v>
      </c>
      <c r="I30" s="33">
        <f t="shared" si="2"/>
        <v>18</v>
      </c>
      <c r="J30" s="33" t="str">
        <f t="shared" si="3"/>
        <v>OK</v>
      </c>
      <c r="K30" s="58">
        <f>IF(COUNTIFS('Plan CP'!$O:$O,'PR Grupo'!$G30,'Plan CP'!$P:$P,'PR Grupo'!K$3,'Plan CP'!$M:$M,1)=1,1,IF(IFERROR(VLOOKUP('PR Grupo'!K$3&amp;'PR Grupo'!$G30,'Plan CP'!$K:$P,3,FALSE)&gt;1,0),IFERROR(VLOOKUP('PR Grupo'!K$3&amp;'PR Grupo'!$G30,'Plan CP'!$K:$P,3,FALSE),0),0))</f>
        <v>1</v>
      </c>
      <c r="L30" s="58">
        <f>IF(K30&gt;1,K30-1,IF(COUNTIFS('Plan CP'!$O:$O,'PR Grupo'!$G30,'Plan CP'!$P:$P,'PR Grupo'!L$3,'Plan CP'!$M:$M,1)=1,1,IF(IFERROR(VLOOKUP('PR Grupo'!L$3&amp;'PR Grupo'!$G30,'Plan CP'!$K:$P,3,FALSE)&gt;1,0),IFERROR(VLOOKUP('PR Grupo'!L$3&amp;'PR Grupo'!$G30,'Plan CP'!$K:$P,3,FALSE),0),0)))</f>
        <v>1</v>
      </c>
      <c r="M30" s="58">
        <f>IF(L30&gt;1,L30-1,IF(COUNTIFS('Plan CP'!$O:$O,'PR Grupo'!$G30,'Plan CP'!$P:$P,'PR Grupo'!M$3,'Plan CP'!$M:$M,1)=1,1,IF(IFERROR(VLOOKUP('PR Grupo'!M$3&amp;'PR Grupo'!$G30,'Plan CP'!$K:$P,3,FALSE)&gt;1,0),IFERROR(VLOOKUP('PR Grupo'!M$3&amp;'PR Grupo'!$G30,'Plan CP'!$K:$P,3,FALSE),0),0)))</f>
        <v>1</v>
      </c>
      <c r="N30" s="58">
        <f>IF(M30&gt;1,M30-1,IF(COUNTIFS('Plan CP'!$O:$O,'PR Grupo'!$G30,'Plan CP'!$P:$P,'PR Grupo'!N$3,'Plan CP'!$M:$M,1)=1,1,IF(IFERROR(VLOOKUP('PR Grupo'!N$3&amp;'PR Grupo'!$G30,'Plan CP'!$K:$P,3,FALSE)&gt;1,0),IFERROR(VLOOKUP('PR Grupo'!N$3&amp;'PR Grupo'!$G30,'Plan CP'!$K:$P,3,FALSE),0),0)))</f>
        <v>1</v>
      </c>
      <c r="O30" s="58">
        <f>IF(N30&gt;1,N30-1,IF(COUNTIFS('Plan CP'!$O:$O,'PR Grupo'!$G30,'Plan CP'!$P:$P,'PR Grupo'!O$3,'Plan CP'!$M:$M,1)=1,1,IF(IFERROR(VLOOKUP('PR Grupo'!O$3&amp;'PR Grupo'!$G30,'Plan CP'!$K:$P,3,FALSE)&gt;1,0),IFERROR(VLOOKUP('PR Grupo'!O$3&amp;'PR Grupo'!$G30,'Plan CP'!$K:$P,3,FALSE),0),0)))</f>
        <v>1</v>
      </c>
      <c r="P30" s="58">
        <f>IF(O30&gt;1,O30-1,IF(COUNTIFS('Plan CP'!$O:$O,'PR Grupo'!$G30,'Plan CP'!$P:$P,'PR Grupo'!P$3,'Plan CP'!$M:$M,1)=1,1,IF(IFERROR(VLOOKUP('PR Grupo'!P$3&amp;'PR Grupo'!$G30,'Plan CP'!$K:$P,3,FALSE)&gt;1,0),IFERROR(VLOOKUP('PR Grupo'!P$3&amp;'PR Grupo'!$G30,'Plan CP'!$K:$P,3,FALSE),0),0)))</f>
        <v>1</v>
      </c>
      <c r="Q30" s="58">
        <f>IF(P30&gt;1,P30-1,IF(COUNTIFS('Plan CP'!$O:$O,'PR Grupo'!$G30,'Plan CP'!$P:$P,'PR Grupo'!Q$3,'Plan CP'!$M:$M,1)=1,1,IF(IFERROR(VLOOKUP('PR Grupo'!Q$3&amp;'PR Grupo'!$G30,'Plan CP'!$K:$P,3,FALSE)&gt;1,0),IFERROR(VLOOKUP('PR Grupo'!Q$3&amp;'PR Grupo'!$G30,'Plan CP'!$K:$P,3,FALSE),0),0)))</f>
        <v>1</v>
      </c>
      <c r="R30" s="58">
        <f>IF(Q30&gt;1,Q30-1,IF(COUNTIFS('Plan CP'!$O:$O,'PR Grupo'!$G30,'Plan CP'!$P:$P,'PR Grupo'!R$3,'Plan CP'!$M:$M,1)=1,1,IF(IFERROR(VLOOKUP('PR Grupo'!R$3&amp;'PR Grupo'!$G30,'Plan CP'!$K:$P,3,FALSE)&gt;1,0),IFERROR(VLOOKUP('PR Grupo'!R$3&amp;'PR Grupo'!$G30,'Plan CP'!$K:$P,3,FALSE),0),0)))</f>
        <v>0</v>
      </c>
      <c r="S30" s="58">
        <f>IF(R30&gt;1,R30-1,IF(COUNTIFS('Plan CP'!$O:$O,'PR Grupo'!$G30,'Plan CP'!$P:$P,'PR Grupo'!S$3,'Plan CP'!$M:$M,1)=1,1,IF(IFERROR(VLOOKUP('PR Grupo'!S$3&amp;'PR Grupo'!$G30,'Plan CP'!$K:$P,3,FALSE)&gt;1,0),IFERROR(VLOOKUP('PR Grupo'!S$3&amp;'PR Grupo'!$G30,'Plan CP'!$K:$P,3,FALSE),0),0)))</f>
        <v>0</v>
      </c>
      <c r="T30" s="58">
        <f>IF(S30&gt;1,S30-1,IF(COUNTIFS('Plan CP'!$O:$O,'PR Grupo'!$G30,'Plan CP'!$P:$P,'PR Grupo'!T$3,'Plan CP'!$M:$M,1)=1,1,IF(IFERROR(VLOOKUP('PR Grupo'!T$3&amp;'PR Grupo'!$G30,'Plan CP'!$K:$P,3,FALSE)&gt;1,0),IFERROR(VLOOKUP('PR Grupo'!T$3&amp;'PR Grupo'!$G30,'Plan CP'!$K:$P,3,FALSE),0),0)))</f>
        <v>0</v>
      </c>
      <c r="U30" s="58">
        <f>IF(T30&gt;1,T30-1,IF(COUNTIFS('Plan CP'!$O:$O,'PR Grupo'!$G30,'Plan CP'!$P:$P,'PR Grupo'!U$3,'Plan CP'!$M:$M,1)=1,1,IF(IFERROR(VLOOKUP('PR Grupo'!U$3&amp;'PR Grupo'!$G30,'Plan CP'!$K:$P,3,FALSE)&gt;1,0),IFERROR(VLOOKUP('PR Grupo'!U$3&amp;'PR Grupo'!$G30,'Plan CP'!$K:$P,3,FALSE),0),0)))</f>
        <v>0</v>
      </c>
      <c r="V30" s="58">
        <f>IF(U30&gt;1,U30-1,IF(COUNTIFS('Plan CP'!$O:$O,'PR Grupo'!$G30,'Plan CP'!$P:$P,'PR Grupo'!V$3,'Plan CP'!$M:$M,1)=1,1,IF(IFERROR(VLOOKUP('PR Grupo'!V$3&amp;'PR Grupo'!$G30,'Plan CP'!$K:$P,3,FALSE)&gt;1,0),IFERROR(VLOOKUP('PR Grupo'!V$3&amp;'PR Grupo'!$G30,'Plan CP'!$K:$P,3,FALSE),0),0)))</f>
        <v>0</v>
      </c>
      <c r="W30" s="58">
        <f>IF(V30&gt;1,V30-1,IF(COUNTIFS('Plan CP'!$O:$O,'PR Grupo'!$G30,'Plan CP'!$P:$P,'PR Grupo'!W$3,'Plan CP'!$M:$M,1)=1,1,IF(IFERROR(VLOOKUP('PR Grupo'!W$3&amp;'PR Grupo'!$G30,'Plan CP'!$K:$P,3,FALSE)&gt;1,0),IFERROR(VLOOKUP('PR Grupo'!W$3&amp;'PR Grupo'!$G30,'Plan CP'!$K:$P,3,FALSE),0),0)))</f>
        <v>0</v>
      </c>
      <c r="X30" s="58">
        <f>IF(W30&gt;1,W30-1,IF(COUNTIFS('Plan CP'!$O:$O,'PR Grupo'!$G30,'Plan CP'!$P:$P,'PR Grupo'!X$3,'Plan CP'!$M:$M,1)=1,1,IF(IFERROR(VLOOKUP('PR Grupo'!X$3&amp;'PR Grupo'!$G30,'Plan CP'!$K:$P,3,FALSE)&gt;1,0),IFERROR(VLOOKUP('PR Grupo'!X$3&amp;'PR Grupo'!$G30,'Plan CP'!$K:$P,3,FALSE),0),0)))</f>
        <v>0</v>
      </c>
      <c r="Y30" s="58">
        <f>IF(X30&gt;1,X30-1,IF(COUNTIFS('Plan CP'!$O:$O,'PR Grupo'!$G30,'Plan CP'!$P:$P,'PR Grupo'!Y$3,'Plan CP'!$M:$M,1)=1,1,IF(IFERROR(VLOOKUP('PR Grupo'!Y$3&amp;'PR Grupo'!$G30,'Plan CP'!$K:$P,3,FALSE)&gt;1,0),IFERROR(VLOOKUP('PR Grupo'!Y$3&amp;'PR Grupo'!$G30,'Plan CP'!$K:$P,3,FALSE),0),0)))</f>
        <v>0</v>
      </c>
      <c r="Z30" s="58">
        <f>IF(Y30&gt;1,Y30-1,IF(COUNTIFS('Plan CP'!$O:$O,'PR Grupo'!$G30,'Plan CP'!$P:$P,'PR Grupo'!Z$3,'Plan CP'!$M:$M,1)=1,1,IF(IFERROR(VLOOKUP('PR Grupo'!Z$3&amp;'PR Grupo'!$G30,'Plan CP'!$K:$P,3,FALSE)&gt;1,0),IFERROR(VLOOKUP('PR Grupo'!Z$3&amp;'PR Grupo'!$G30,'Plan CP'!$K:$P,3,FALSE),0),0)))</f>
        <v>0</v>
      </c>
      <c r="AA30" s="58">
        <f>IF(Z30&gt;1,Z30-1,IF(COUNTIFS('Plan CP'!$O:$O,'PR Grupo'!$G30,'Plan CP'!$P:$P,'PR Grupo'!AA$3,'Plan CP'!$M:$M,1)=1,1,IF(IFERROR(VLOOKUP('PR Grupo'!AA$3&amp;'PR Grupo'!$G30,'Plan CP'!$K:$P,3,FALSE)&gt;1,0),IFERROR(VLOOKUP('PR Grupo'!AA$3&amp;'PR Grupo'!$G30,'Plan CP'!$K:$P,3,FALSE),0),0)))</f>
        <v>0</v>
      </c>
      <c r="AB30" s="58">
        <f>IF(AA30&gt;1,AA30-1,IF(COUNTIFS('Plan CP'!$O:$O,'PR Grupo'!$G30,'Plan CP'!$P:$P,'PR Grupo'!AB$3,'Plan CP'!$M:$M,1)=1,1,IF(IFERROR(VLOOKUP('PR Grupo'!AB$3&amp;'PR Grupo'!$G30,'Plan CP'!$K:$P,3,FALSE)&gt;1,0),IFERROR(VLOOKUP('PR Grupo'!AB$3&amp;'PR Grupo'!$G30,'Plan CP'!$K:$P,3,FALSE),0),0)))</f>
        <v>0</v>
      </c>
      <c r="AC30" s="58">
        <f>IF(AB30&gt;1,AB30-1,IF(COUNTIFS('Plan CP'!$O:$O,'PR Grupo'!$G30,'Plan CP'!$P:$P,'PR Grupo'!AC$3,'Plan CP'!$M:$M,1)=1,1,IF(IFERROR(VLOOKUP('PR Grupo'!AC$3&amp;'PR Grupo'!$G30,'Plan CP'!$K:$P,3,FALSE)&gt;1,0),IFERROR(VLOOKUP('PR Grupo'!AC$3&amp;'PR Grupo'!$G30,'Plan CP'!$K:$P,3,FALSE),0),0)))</f>
        <v>0</v>
      </c>
      <c r="AD30" s="58">
        <f>IF(AC30&gt;1,AC30-1,IF(COUNTIFS('Plan CP'!$O:$O,'PR Grupo'!$G30,'Plan CP'!$P:$P,'PR Grupo'!AD$3,'Plan CP'!$M:$M,1)=1,1,IF(IFERROR(VLOOKUP('PR Grupo'!AD$3&amp;'PR Grupo'!$G30,'Plan CP'!$K:$P,3,FALSE)&gt;1,0),IFERROR(VLOOKUP('PR Grupo'!AD$3&amp;'PR Grupo'!$G30,'Plan CP'!$K:$P,3,FALSE),0),0)))</f>
        <v>1</v>
      </c>
      <c r="AE30" s="58">
        <f>IF(AD30&gt;1,AD30-1,IF(COUNTIFS('Plan CP'!$O:$O,'PR Grupo'!$G30,'Plan CP'!$P:$P,'PR Grupo'!AE$3,'Plan CP'!$M:$M,1)=1,1,IF(IFERROR(VLOOKUP('PR Grupo'!AE$3&amp;'PR Grupo'!$G30,'Plan CP'!$K:$P,3,FALSE)&gt;1,0),IFERROR(VLOOKUP('PR Grupo'!AE$3&amp;'PR Grupo'!$G30,'Plan CP'!$K:$P,3,FALSE),0),0)))</f>
        <v>1</v>
      </c>
      <c r="AF30" s="58">
        <f>IF(AE30&gt;1,AE30-1,IF(COUNTIFS('Plan CP'!$O:$O,'PR Grupo'!$G30,'Plan CP'!$P:$P,'PR Grupo'!AF$3,'Plan CP'!$M:$M,1)=1,1,IF(IFERROR(VLOOKUP('PR Grupo'!AF$3&amp;'PR Grupo'!$G30,'Plan CP'!$K:$P,3,FALSE)&gt;1,0),IFERROR(VLOOKUP('PR Grupo'!AF$3&amp;'PR Grupo'!$G30,'Plan CP'!$K:$P,3,FALSE),0),0)))</f>
        <v>1</v>
      </c>
      <c r="AG30" s="58">
        <f>IF(AF30&gt;1,AF30-1,IF(COUNTIFS('Plan CP'!$O:$O,'PR Grupo'!$G30,'Plan CP'!$P:$P,'PR Grupo'!AG$3,'Plan CP'!$M:$M,1)=1,1,IF(IFERROR(VLOOKUP('PR Grupo'!AG$3&amp;'PR Grupo'!$G30,'Plan CP'!$K:$P,3,FALSE)&gt;1,0),IFERROR(VLOOKUP('PR Grupo'!AG$3&amp;'PR Grupo'!$G30,'Plan CP'!$K:$P,3,FALSE),0),0)))</f>
        <v>1</v>
      </c>
      <c r="AH30" s="58">
        <f>IF(AG30&gt;1,AG30-1,IF(COUNTIFS('Plan CP'!$O:$O,'PR Grupo'!$G30,'Plan CP'!$P:$P,'PR Grupo'!AH$3,'Plan CP'!$M:$M,1)=1,1,IF(IFERROR(VLOOKUP('PR Grupo'!AH$3&amp;'PR Grupo'!$G30,'Plan CP'!$K:$P,3,FALSE)&gt;1,0),IFERROR(VLOOKUP('PR Grupo'!AH$3&amp;'PR Grupo'!$G30,'Plan CP'!$K:$P,3,FALSE),0),0)))</f>
        <v>1</v>
      </c>
      <c r="AI30" s="58">
        <f>IF(AH30&gt;1,AH30-1,IF(COUNTIFS('Plan CP'!$O:$O,'PR Grupo'!$G30,'Plan CP'!$P:$P,'PR Grupo'!AI$3,'Plan CP'!$M:$M,1)=1,1,IF(IFERROR(VLOOKUP('PR Grupo'!AI$3&amp;'PR Grupo'!$G30,'Plan CP'!$K:$P,3,FALSE)&gt;1,0),IFERROR(VLOOKUP('PR Grupo'!AI$3&amp;'PR Grupo'!$G30,'Plan CP'!$K:$P,3,FALSE),0),0)))</f>
        <v>1</v>
      </c>
      <c r="AJ30" s="58">
        <f>IF(AI30&gt;1,AI30-1,IF(COUNTIFS('Plan CP'!$O:$O,'PR Grupo'!$G30,'Plan CP'!$P:$P,'PR Grupo'!AJ$3,'Plan CP'!$M:$M,1)=1,1,IF(IFERROR(VLOOKUP('PR Grupo'!AJ$3&amp;'PR Grupo'!$G30,'Plan CP'!$K:$P,3,FALSE)&gt;1,0),IFERROR(VLOOKUP('PR Grupo'!AJ$3&amp;'PR Grupo'!$G30,'Plan CP'!$K:$P,3,FALSE),0),0)))</f>
        <v>1</v>
      </c>
      <c r="AK30" s="58">
        <f>IF(AJ30&gt;1,AJ30-1,IF(COUNTIFS('Plan CP'!$O:$O,'PR Grupo'!$G30,'Plan CP'!$P:$P,'PR Grupo'!AK$3,'Plan CP'!$M:$M,1)=1,1,IF(IFERROR(VLOOKUP('PR Grupo'!AK$3&amp;'PR Grupo'!$G30,'Plan CP'!$K:$P,3,FALSE)&gt;1,0),IFERROR(VLOOKUP('PR Grupo'!AK$3&amp;'PR Grupo'!$G30,'Plan CP'!$K:$P,3,FALSE),0),0)))</f>
        <v>1</v>
      </c>
      <c r="AL30" s="58">
        <f>IF(AK30&gt;1,AK30-1,IF(COUNTIFS('Plan CP'!$O:$O,'PR Grupo'!$G30,'Plan CP'!$P:$P,'PR Grupo'!AL$3,'Plan CP'!$M:$M,1)=1,1,IF(IFERROR(VLOOKUP('PR Grupo'!AL$3&amp;'PR Grupo'!$G30,'Plan CP'!$K:$P,3,FALSE)&gt;1,0),IFERROR(VLOOKUP('PR Grupo'!AL$3&amp;'PR Grupo'!$G30,'Plan CP'!$K:$P,3,FALSE),0),0)))</f>
        <v>1</v>
      </c>
      <c r="AM30" s="58">
        <f>IF(AL30&gt;1,AL30-1,IF(COUNTIFS('Plan CP'!$O:$O,'PR Grupo'!$G30,'Plan CP'!$P:$P,'PR Grupo'!AM$3,'Plan CP'!$M:$M,1)=1,1,IF(IFERROR(VLOOKUP('PR Grupo'!AM$3&amp;'PR Grupo'!$G30,'Plan CP'!$K:$P,3,FALSE)&gt;1,0),IFERROR(VLOOKUP('PR Grupo'!AM$3&amp;'PR Grupo'!$G30,'Plan CP'!$K:$P,3,FALSE),0),0)))</f>
        <v>1</v>
      </c>
      <c r="AN30" s="58">
        <f>IF(AM30&gt;1,AM30-1,IF(COUNTIFS('Plan CP'!$O:$O,'PR Grupo'!$G30,'Plan CP'!$P:$P,'PR Grupo'!AN$3,'Plan CP'!$M:$M,1)=1,1,IF(IFERROR(VLOOKUP('PR Grupo'!AN$3&amp;'PR Grupo'!$G30,'Plan CP'!$K:$P,3,FALSE)&gt;1,0),IFERROR(VLOOKUP('PR Grupo'!AN$3&amp;'PR Grupo'!$G30,'Plan CP'!$K:$P,3,FALSE),0),0)))</f>
        <v>1</v>
      </c>
      <c r="AO30" s="58">
        <f>IF(AN30&gt;1,AN30-1,IF(COUNTIFS('Plan CP'!$O:$O,'PR Grupo'!$G30,'Plan CP'!$P:$P,'PR Grupo'!AO$3,'Plan CP'!$M:$M,1)=1,1,IF(IFERROR(VLOOKUP('PR Grupo'!AO$3&amp;'PR Grupo'!$G30,'Plan CP'!$K:$P,3,FALSE)&gt;1,0),IFERROR(VLOOKUP('PR Grupo'!AO$3&amp;'PR Grupo'!$G30,'Plan CP'!$K:$P,3,FALSE),0),0)))</f>
        <v>0</v>
      </c>
    </row>
    <row r="31" spans="1:41">
      <c r="A31" s="21" t="s">
        <v>33</v>
      </c>
      <c r="B31" s="21" t="s">
        <v>40</v>
      </c>
      <c r="C31" s="21" t="s">
        <v>223</v>
      </c>
      <c r="D31" s="21" t="s">
        <v>265</v>
      </c>
      <c r="E31" s="24" t="s">
        <v>177</v>
      </c>
      <c r="F31" s="21" t="s">
        <v>265</v>
      </c>
      <c r="G31" s="33" t="s">
        <v>191</v>
      </c>
      <c r="H31" s="24">
        <v>15</v>
      </c>
      <c r="I31" s="33">
        <f t="shared" si="2"/>
        <v>18</v>
      </c>
      <c r="J31" s="33" t="str">
        <f t="shared" si="3"/>
        <v>OK</v>
      </c>
      <c r="K31" s="58">
        <f>IF(COUNTIFS('Plan CP'!$O:$O,'PR Grupo'!$G31,'Plan CP'!$P:$P,'PR Grupo'!K$3,'Plan CP'!$M:$M,1)=1,1,IF(IFERROR(VLOOKUP('PR Grupo'!K$3&amp;'PR Grupo'!$G31,'Plan CP'!$K:$P,3,FALSE)&gt;1,0),IFERROR(VLOOKUP('PR Grupo'!K$3&amp;'PR Grupo'!$G31,'Plan CP'!$K:$P,3,FALSE),0),0))</f>
        <v>1</v>
      </c>
      <c r="L31" s="58">
        <f>IF(K31&gt;1,K31-1,IF(COUNTIFS('Plan CP'!$O:$O,'PR Grupo'!$G31,'Plan CP'!$P:$P,'PR Grupo'!L$3,'Plan CP'!$M:$M,1)=1,1,IF(IFERROR(VLOOKUP('PR Grupo'!L$3&amp;'PR Grupo'!$G31,'Plan CP'!$K:$P,3,FALSE)&gt;1,0),IFERROR(VLOOKUP('PR Grupo'!L$3&amp;'PR Grupo'!$G31,'Plan CP'!$K:$P,3,FALSE),0),0)))</f>
        <v>1</v>
      </c>
      <c r="M31" s="58">
        <f>IF(L31&gt;1,L31-1,IF(COUNTIFS('Plan CP'!$O:$O,'PR Grupo'!$G31,'Plan CP'!$P:$P,'PR Grupo'!M$3,'Plan CP'!$M:$M,1)=1,1,IF(IFERROR(VLOOKUP('PR Grupo'!M$3&amp;'PR Grupo'!$G31,'Plan CP'!$K:$P,3,FALSE)&gt;1,0),IFERROR(VLOOKUP('PR Grupo'!M$3&amp;'PR Grupo'!$G31,'Plan CP'!$K:$P,3,FALSE),0),0)))</f>
        <v>1</v>
      </c>
      <c r="N31" s="58">
        <f>IF(M31&gt;1,M31-1,IF(COUNTIFS('Plan CP'!$O:$O,'PR Grupo'!$G31,'Plan CP'!$P:$P,'PR Grupo'!N$3,'Plan CP'!$M:$M,1)=1,1,IF(IFERROR(VLOOKUP('PR Grupo'!N$3&amp;'PR Grupo'!$G31,'Plan CP'!$K:$P,3,FALSE)&gt;1,0),IFERROR(VLOOKUP('PR Grupo'!N$3&amp;'PR Grupo'!$G31,'Plan CP'!$K:$P,3,FALSE),0),0)))</f>
        <v>1</v>
      </c>
      <c r="O31" s="58">
        <f>IF(N31&gt;1,N31-1,IF(COUNTIFS('Plan CP'!$O:$O,'PR Grupo'!$G31,'Plan CP'!$P:$P,'PR Grupo'!O$3,'Plan CP'!$M:$M,1)=1,1,IF(IFERROR(VLOOKUP('PR Grupo'!O$3&amp;'PR Grupo'!$G31,'Plan CP'!$K:$P,3,FALSE)&gt;1,0),IFERROR(VLOOKUP('PR Grupo'!O$3&amp;'PR Grupo'!$G31,'Plan CP'!$K:$P,3,FALSE),0),0)))</f>
        <v>1</v>
      </c>
      <c r="P31" s="58">
        <f>IF(O31&gt;1,O31-1,IF(COUNTIFS('Plan CP'!$O:$O,'PR Grupo'!$G31,'Plan CP'!$P:$P,'PR Grupo'!P$3,'Plan CP'!$M:$M,1)=1,1,IF(IFERROR(VLOOKUP('PR Grupo'!P$3&amp;'PR Grupo'!$G31,'Plan CP'!$K:$P,3,FALSE)&gt;1,0),IFERROR(VLOOKUP('PR Grupo'!P$3&amp;'PR Grupo'!$G31,'Plan CP'!$K:$P,3,FALSE),0),0)))</f>
        <v>1</v>
      </c>
      <c r="Q31" s="58">
        <f>IF(P31&gt;1,P31-1,IF(COUNTIFS('Plan CP'!$O:$O,'PR Grupo'!$G31,'Plan CP'!$P:$P,'PR Grupo'!Q$3,'Plan CP'!$M:$M,1)=1,1,IF(IFERROR(VLOOKUP('PR Grupo'!Q$3&amp;'PR Grupo'!$G31,'Plan CP'!$K:$P,3,FALSE)&gt;1,0),IFERROR(VLOOKUP('PR Grupo'!Q$3&amp;'PR Grupo'!$G31,'Plan CP'!$K:$P,3,FALSE),0),0)))</f>
        <v>1</v>
      </c>
      <c r="R31" s="58">
        <f>IF(Q31&gt;1,Q31-1,IF(COUNTIFS('Plan CP'!$O:$O,'PR Grupo'!$G31,'Plan CP'!$P:$P,'PR Grupo'!R$3,'Plan CP'!$M:$M,1)=1,1,IF(IFERROR(VLOOKUP('PR Grupo'!R$3&amp;'PR Grupo'!$G31,'Plan CP'!$K:$P,3,FALSE)&gt;1,0),IFERROR(VLOOKUP('PR Grupo'!R$3&amp;'PR Grupo'!$G31,'Plan CP'!$K:$P,3,FALSE),0),0)))</f>
        <v>0</v>
      </c>
      <c r="S31" s="58">
        <f>IF(R31&gt;1,R31-1,IF(COUNTIFS('Plan CP'!$O:$O,'PR Grupo'!$G31,'Plan CP'!$P:$P,'PR Grupo'!S$3,'Plan CP'!$M:$M,1)=1,1,IF(IFERROR(VLOOKUP('PR Grupo'!S$3&amp;'PR Grupo'!$G31,'Plan CP'!$K:$P,3,FALSE)&gt;1,0),IFERROR(VLOOKUP('PR Grupo'!S$3&amp;'PR Grupo'!$G31,'Plan CP'!$K:$P,3,FALSE),0),0)))</f>
        <v>0</v>
      </c>
      <c r="T31" s="58">
        <f>IF(S31&gt;1,S31-1,IF(COUNTIFS('Plan CP'!$O:$O,'PR Grupo'!$G31,'Plan CP'!$P:$P,'PR Grupo'!T$3,'Plan CP'!$M:$M,1)=1,1,IF(IFERROR(VLOOKUP('PR Grupo'!T$3&amp;'PR Grupo'!$G31,'Plan CP'!$K:$P,3,FALSE)&gt;1,0),IFERROR(VLOOKUP('PR Grupo'!T$3&amp;'PR Grupo'!$G31,'Plan CP'!$K:$P,3,FALSE),0),0)))</f>
        <v>0</v>
      </c>
      <c r="U31" s="58">
        <f>IF(T31&gt;1,T31-1,IF(COUNTIFS('Plan CP'!$O:$O,'PR Grupo'!$G31,'Plan CP'!$P:$P,'PR Grupo'!U$3,'Plan CP'!$M:$M,1)=1,1,IF(IFERROR(VLOOKUP('PR Grupo'!U$3&amp;'PR Grupo'!$G31,'Plan CP'!$K:$P,3,FALSE)&gt;1,0),IFERROR(VLOOKUP('PR Grupo'!U$3&amp;'PR Grupo'!$G31,'Plan CP'!$K:$P,3,FALSE),0),0)))</f>
        <v>0</v>
      </c>
      <c r="V31" s="58">
        <f>IF(U31&gt;1,U31-1,IF(COUNTIFS('Plan CP'!$O:$O,'PR Grupo'!$G31,'Plan CP'!$P:$P,'PR Grupo'!V$3,'Plan CP'!$M:$M,1)=1,1,IF(IFERROR(VLOOKUP('PR Grupo'!V$3&amp;'PR Grupo'!$G31,'Plan CP'!$K:$P,3,FALSE)&gt;1,0),IFERROR(VLOOKUP('PR Grupo'!V$3&amp;'PR Grupo'!$G31,'Plan CP'!$K:$P,3,FALSE),0),0)))</f>
        <v>0</v>
      </c>
      <c r="W31" s="58">
        <f>IF(V31&gt;1,V31-1,IF(COUNTIFS('Plan CP'!$O:$O,'PR Grupo'!$G31,'Plan CP'!$P:$P,'PR Grupo'!W$3,'Plan CP'!$M:$M,1)=1,1,IF(IFERROR(VLOOKUP('PR Grupo'!W$3&amp;'PR Grupo'!$G31,'Plan CP'!$K:$P,3,FALSE)&gt;1,0),IFERROR(VLOOKUP('PR Grupo'!W$3&amp;'PR Grupo'!$G31,'Plan CP'!$K:$P,3,FALSE),0),0)))</f>
        <v>0</v>
      </c>
      <c r="X31" s="58">
        <f>IF(W31&gt;1,W31-1,IF(COUNTIFS('Plan CP'!$O:$O,'PR Grupo'!$G31,'Plan CP'!$P:$P,'PR Grupo'!X$3,'Plan CP'!$M:$M,1)=1,1,IF(IFERROR(VLOOKUP('PR Grupo'!X$3&amp;'PR Grupo'!$G31,'Plan CP'!$K:$P,3,FALSE)&gt;1,0),IFERROR(VLOOKUP('PR Grupo'!X$3&amp;'PR Grupo'!$G31,'Plan CP'!$K:$P,3,FALSE),0),0)))</f>
        <v>0</v>
      </c>
      <c r="Y31" s="58">
        <f>IF(X31&gt;1,X31-1,IF(COUNTIFS('Plan CP'!$O:$O,'PR Grupo'!$G31,'Plan CP'!$P:$P,'PR Grupo'!Y$3,'Plan CP'!$M:$M,1)=1,1,IF(IFERROR(VLOOKUP('PR Grupo'!Y$3&amp;'PR Grupo'!$G31,'Plan CP'!$K:$P,3,FALSE)&gt;1,0),IFERROR(VLOOKUP('PR Grupo'!Y$3&amp;'PR Grupo'!$G31,'Plan CP'!$K:$P,3,FALSE),0),0)))</f>
        <v>0</v>
      </c>
      <c r="Z31" s="58">
        <f>IF(Y31&gt;1,Y31-1,IF(COUNTIFS('Plan CP'!$O:$O,'PR Grupo'!$G31,'Plan CP'!$P:$P,'PR Grupo'!Z$3,'Plan CP'!$M:$M,1)=1,1,IF(IFERROR(VLOOKUP('PR Grupo'!Z$3&amp;'PR Grupo'!$G31,'Plan CP'!$K:$P,3,FALSE)&gt;1,0),IFERROR(VLOOKUP('PR Grupo'!Z$3&amp;'PR Grupo'!$G31,'Plan CP'!$K:$P,3,FALSE),0),0)))</f>
        <v>0</v>
      </c>
      <c r="AA31" s="58">
        <f>IF(Z31&gt;1,Z31-1,IF(COUNTIFS('Plan CP'!$O:$O,'PR Grupo'!$G31,'Plan CP'!$P:$P,'PR Grupo'!AA$3,'Plan CP'!$M:$M,1)=1,1,IF(IFERROR(VLOOKUP('PR Grupo'!AA$3&amp;'PR Grupo'!$G31,'Plan CP'!$K:$P,3,FALSE)&gt;1,0),IFERROR(VLOOKUP('PR Grupo'!AA$3&amp;'PR Grupo'!$G31,'Plan CP'!$K:$P,3,FALSE),0),0)))</f>
        <v>0</v>
      </c>
      <c r="AB31" s="58">
        <f>IF(AA31&gt;1,AA31-1,IF(COUNTIFS('Plan CP'!$O:$O,'PR Grupo'!$G31,'Plan CP'!$P:$P,'PR Grupo'!AB$3,'Plan CP'!$M:$M,1)=1,1,IF(IFERROR(VLOOKUP('PR Grupo'!AB$3&amp;'PR Grupo'!$G31,'Plan CP'!$K:$P,3,FALSE)&gt;1,0),IFERROR(VLOOKUP('PR Grupo'!AB$3&amp;'PR Grupo'!$G31,'Plan CP'!$K:$P,3,FALSE),0),0)))</f>
        <v>0</v>
      </c>
      <c r="AC31" s="58">
        <f>IF(AB31&gt;1,AB31-1,IF(COUNTIFS('Plan CP'!$O:$O,'PR Grupo'!$G31,'Plan CP'!$P:$P,'PR Grupo'!AC$3,'Plan CP'!$M:$M,1)=1,1,IF(IFERROR(VLOOKUP('PR Grupo'!AC$3&amp;'PR Grupo'!$G31,'Plan CP'!$K:$P,3,FALSE)&gt;1,0),IFERROR(VLOOKUP('PR Grupo'!AC$3&amp;'PR Grupo'!$G31,'Plan CP'!$K:$P,3,FALSE),0),0)))</f>
        <v>0</v>
      </c>
      <c r="AD31" s="58">
        <f>IF(AC31&gt;1,AC31-1,IF(COUNTIFS('Plan CP'!$O:$O,'PR Grupo'!$G31,'Plan CP'!$P:$P,'PR Grupo'!AD$3,'Plan CP'!$M:$M,1)=1,1,IF(IFERROR(VLOOKUP('PR Grupo'!AD$3&amp;'PR Grupo'!$G31,'Plan CP'!$K:$P,3,FALSE)&gt;1,0),IFERROR(VLOOKUP('PR Grupo'!AD$3&amp;'PR Grupo'!$G31,'Plan CP'!$K:$P,3,FALSE),0),0)))</f>
        <v>1</v>
      </c>
      <c r="AE31" s="58">
        <f>IF(AD31&gt;1,AD31-1,IF(COUNTIFS('Plan CP'!$O:$O,'PR Grupo'!$G31,'Plan CP'!$P:$P,'PR Grupo'!AE$3,'Plan CP'!$M:$M,1)=1,1,IF(IFERROR(VLOOKUP('PR Grupo'!AE$3&amp;'PR Grupo'!$G31,'Plan CP'!$K:$P,3,FALSE)&gt;1,0),IFERROR(VLOOKUP('PR Grupo'!AE$3&amp;'PR Grupo'!$G31,'Plan CP'!$K:$P,3,FALSE),0),0)))</f>
        <v>1</v>
      </c>
      <c r="AF31" s="58">
        <f>IF(AE31&gt;1,AE31-1,IF(COUNTIFS('Plan CP'!$O:$O,'PR Grupo'!$G31,'Plan CP'!$P:$P,'PR Grupo'!AF$3,'Plan CP'!$M:$M,1)=1,1,IF(IFERROR(VLOOKUP('PR Grupo'!AF$3&amp;'PR Grupo'!$G31,'Plan CP'!$K:$P,3,FALSE)&gt;1,0),IFERROR(VLOOKUP('PR Grupo'!AF$3&amp;'PR Grupo'!$G31,'Plan CP'!$K:$P,3,FALSE),0),0)))</f>
        <v>1</v>
      </c>
      <c r="AG31" s="58">
        <f>IF(AF31&gt;1,AF31-1,IF(COUNTIFS('Plan CP'!$O:$O,'PR Grupo'!$G31,'Plan CP'!$P:$P,'PR Grupo'!AG$3,'Plan CP'!$M:$M,1)=1,1,IF(IFERROR(VLOOKUP('PR Grupo'!AG$3&amp;'PR Grupo'!$G31,'Plan CP'!$K:$P,3,FALSE)&gt;1,0),IFERROR(VLOOKUP('PR Grupo'!AG$3&amp;'PR Grupo'!$G31,'Plan CP'!$K:$P,3,FALSE),0),0)))</f>
        <v>1</v>
      </c>
      <c r="AH31" s="58">
        <f>IF(AG31&gt;1,AG31-1,IF(COUNTIFS('Plan CP'!$O:$O,'PR Grupo'!$G31,'Plan CP'!$P:$P,'PR Grupo'!AH$3,'Plan CP'!$M:$M,1)=1,1,IF(IFERROR(VLOOKUP('PR Grupo'!AH$3&amp;'PR Grupo'!$G31,'Plan CP'!$K:$P,3,FALSE)&gt;1,0),IFERROR(VLOOKUP('PR Grupo'!AH$3&amp;'PR Grupo'!$G31,'Plan CP'!$K:$P,3,FALSE),0),0)))</f>
        <v>1</v>
      </c>
      <c r="AI31" s="58">
        <f>IF(AH31&gt;1,AH31-1,IF(COUNTIFS('Plan CP'!$O:$O,'PR Grupo'!$G31,'Plan CP'!$P:$P,'PR Grupo'!AI$3,'Plan CP'!$M:$M,1)=1,1,IF(IFERROR(VLOOKUP('PR Grupo'!AI$3&amp;'PR Grupo'!$G31,'Plan CP'!$K:$P,3,FALSE)&gt;1,0),IFERROR(VLOOKUP('PR Grupo'!AI$3&amp;'PR Grupo'!$G31,'Plan CP'!$K:$P,3,FALSE),0),0)))</f>
        <v>1</v>
      </c>
      <c r="AJ31" s="58">
        <f>IF(AI31&gt;1,AI31-1,IF(COUNTIFS('Plan CP'!$O:$O,'PR Grupo'!$G31,'Plan CP'!$P:$P,'PR Grupo'!AJ$3,'Plan CP'!$M:$M,1)=1,1,IF(IFERROR(VLOOKUP('PR Grupo'!AJ$3&amp;'PR Grupo'!$G31,'Plan CP'!$K:$P,3,FALSE)&gt;1,0),IFERROR(VLOOKUP('PR Grupo'!AJ$3&amp;'PR Grupo'!$G31,'Plan CP'!$K:$P,3,FALSE),0),0)))</f>
        <v>1</v>
      </c>
      <c r="AK31" s="58">
        <f>IF(AJ31&gt;1,AJ31-1,IF(COUNTIFS('Plan CP'!$O:$O,'PR Grupo'!$G31,'Plan CP'!$P:$P,'PR Grupo'!AK$3,'Plan CP'!$M:$M,1)=1,1,IF(IFERROR(VLOOKUP('PR Grupo'!AK$3&amp;'PR Grupo'!$G31,'Plan CP'!$K:$P,3,FALSE)&gt;1,0),IFERROR(VLOOKUP('PR Grupo'!AK$3&amp;'PR Grupo'!$G31,'Plan CP'!$K:$P,3,FALSE),0),0)))</f>
        <v>1</v>
      </c>
      <c r="AL31" s="58">
        <f>IF(AK31&gt;1,AK31-1,IF(COUNTIFS('Plan CP'!$O:$O,'PR Grupo'!$G31,'Plan CP'!$P:$P,'PR Grupo'!AL$3,'Plan CP'!$M:$M,1)=1,1,IF(IFERROR(VLOOKUP('PR Grupo'!AL$3&amp;'PR Grupo'!$G31,'Plan CP'!$K:$P,3,FALSE)&gt;1,0),IFERROR(VLOOKUP('PR Grupo'!AL$3&amp;'PR Grupo'!$G31,'Plan CP'!$K:$P,3,FALSE),0),0)))</f>
        <v>1</v>
      </c>
      <c r="AM31" s="58">
        <f>IF(AL31&gt;1,AL31-1,IF(COUNTIFS('Plan CP'!$O:$O,'PR Grupo'!$G31,'Plan CP'!$P:$P,'PR Grupo'!AM$3,'Plan CP'!$M:$M,1)=1,1,IF(IFERROR(VLOOKUP('PR Grupo'!AM$3&amp;'PR Grupo'!$G31,'Plan CP'!$K:$P,3,FALSE)&gt;1,0),IFERROR(VLOOKUP('PR Grupo'!AM$3&amp;'PR Grupo'!$G31,'Plan CP'!$K:$P,3,FALSE),0),0)))</f>
        <v>1</v>
      </c>
      <c r="AN31" s="58">
        <f>IF(AM31&gt;1,AM31-1,IF(COUNTIFS('Plan CP'!$O:$O,'PR Grupo'!$G31,'Plan CP'!$P:$P,'PR Grupo'!AN$3,'Plan CP'!$M:$M,1)=1,1,IF(IFERROR(VLOOKUP('PR Grupo'!AN$3&amp;'PR Grupo'!$G31,'Plan CP'!$K:$P,3,FALSE)&gt;1,0),IFERROR(VLOOKUP('PR Grupo'!AN$3&amp;'PR Grupo'!$G31,'Plan CP'!$K:$P,3,FALSE),0),0)))</f>
        <v>1</v>
      </c>
      <c r="AO31" s="58">
        <f>IF(AN31&gt;1,AN31-1,IF(COUNTIFS('Plan CP'!$O:$O,'PR Grupo'!$G31,'Plan CP'!$P:$P,'PR Grupo'!AO$3,'Plan CP'!$M:$M,1)=1,1,IF(IFERROR(VLOOKUP('PR Grupo'!AO$3&amp;'PR Grupo'!$G31,'Plan CP'!$K:$P,3,FALSE)&gt;1,0),IFERROR(VLOOKUP('PR Grupo'!AO$3&amp;'PR Grupo'!$G31,'Plan CP'!$K:$P,3,FALSE),0),0)))</f>
        <v>0</v>
      </c>
    </row>
    <row r="32" spans="1:41">
      <c r="A32" s="21" t="s">
        <v>33</v>
      </c>
      <c r="B32" s="21" t="s">
        <v>44</v>
      </c>
      <c r="C32" s="21" t="s">
        <v>224</v>
      </c>
      <c r="D32" s="21" t="s">
        <v>266</v>
      </c>
      <c r="E32" s="24" t="s">
        <v>177</v>
      </c>
      <c r="F32" s="21" t="s">
        <v>266</v>
      </c>
      <c r="G32" s="33" t="s">
        <v>191</v>
      </c>
      <c r="H32" s="24">
        <v>15</v>
      </c>
      <c r="I32" s="33">
        <f t="shared" si="2"/>
        <v>18</v>
      </c>
      <c r="J32" s="33" t="str">
        <f t="shared" si="3"/>
        <v>OK</v>
      </c>
      <c r="K32" s="58">
        <f>IF(COUNTIFS('Plan CP'!$O:$O,'PR Grupo'!$G32,'Plan CP'!$P:$P,'PR Grupo'!K$3,'Plan CP'!$M:$M,1)=1,1,IF(IFERROR(VLOOKUP('PR Grupo'!K$3&amp;'PR Grupo'!$G32,'Plan CP'!$K:$P,3,FALSE)&gt;1,0),IFERROR(VLOOKUP('PR Grupo'!K$3&amp;'PR Grupo'!$G32,'Plan CP'!$K:$P,3,FALSE),0),0))</f>
        <v>1</v>
      </c>
      <c r="L32" s="58">
        <f>IF(K32&gt;1,K32-1,IF(COUNTIFS('Plan CP'!$O:$O,'PR Grupo'!$G32,'Plan CP'!$P:$P,'PR Grupo'!L$3,'Plan CP'!$M:$M,1)=1,1,IF(IFERROR(VLOOKUP('PR Grupo'!L$3&amp;'PR Grupo'!$G32,'Plan CP'!$K:$P,3,FALSE)&gt;1,0),IFERROR(VLOOKUP('PR Grupo'!L$3&amp;'PR Grupo'!$G32,'Plan CP'!$K:$P,3,FALSE),0),0)))</f>
        <v>1</v>
      </c>
      <c r="M32" s="58">
        <f>IF(L32&gt;1,L32-1,IF(COUNTIFS('Plan CP'!$O:$O,'PR Grupo'!$G32,'Plan CP'!$P:$P,'PR Grupo'!M$3,'Plan CP'!$M:$M,1)=1,1,IF(IFERROR(VLOOKUP('PR Grupo'!M$3&amp;'PR Grupo'!$G32,'Plan CP'!$K:$P,3,FALSE)&gt;1,0),IFERROR(VLOOKUP('PR Grupo'!M$3&amp;'PR Grupo'!$G32,'Plan CP'!$K:$P,3,FALSE),0),0)))</f>
        <v>1</v>
      </c>
      <c r="N32" s="58">
        <f>IF(M32&gt;1,M32-1,IF(COUNTIFS('Plan CP'!$O:$O,'PR Grupo'!$G32,'Plan CP'!$P:$P,'PR Grupo'!N$3,'Plan CP'!$M:$M,1)=1,1,IF(IFERROR(VLOOKUP('PR Grupo'!N$3&amp;'PR Grupo'!$G32,'Plan CP'!$K:$P,3,FALSE)&gt;1,0),IFERROR(VLOOKUP('PR Grupo'!N$3&amp;'PR Grupo'!$G32,'Plan CP'!$K:$P,3,FALSE),0),0)))</f>
        <v>1</v>
      </c>
      <c r="O32" s="58">
        <f>IF(N32&gt;1,N32-1,IF(COUNTIFS('Plan CP'!$O:$O,'PR Grupo'!$G32,'Plan CP'!$P:$P,'PR Grupo'!O$3,'Plan CP'!$M:$M,1)=1,1,IF(IFERROR(VLOOKUP('PR Grupo'!O$3&amp;'PR Grupo'!$G32,'Plan CP'!$K:$P,3,FALSE)&gt;1,0),IFERROR(VLOOKUP('PR Grupo'!O$3&amp;'PR Grupo'!$G32,'Plan CP'!$K:$P,3,FALSE),0),0)))</f>
        <v>1</v>
      </c>
      <c r="P32" s="58">
        <f>IF(O32&gt;1,O32-1,IF(COUNTIFS('Plan CP'!$O:$O,'PR Grupo'!$G32,'Plan CP'!$P:$P,'PR Grupo'!P$3,'Plan CP'!$M:$M,1)=1,1,IF(IFERROR(VLOOKUP('PR Grupo'!P$3&amp;'PR Grupo'!$G32,'Plan CP'!$K:$P,3,FALSE)&gt;1,0),IFERROR(VLOOKUP('PR Grupo'!P$3&amp;'PR Grupo'!$G32,'Plan CP'!$K:$P,3,FALSE),0),0)))</f>
        <v>1</v>
      </c>
      <c r="Q32" s="58">
        <f>IF(P32&gt;1,P32-1,IF(COUNTIFS('Plan CP'!$O:$O,'PR Grupo'!$G32,'Plan CP'!$P:$P,'PR Grupo'!Q$3,'Plan CP'!$M:$M,1)=1,1,IF(IFERROR(VLOOKUP('PR Grupo'!Q$3&amp;'PR Grupo'!$G32,'Plan CP'!$K:$P,3,FALSE)&gt;1,0),IFERROR(VLOOKUP('PR Grupo'!Q$3&amp;'PR Grupo'!$G32,'Plan CP'!$K:$P,3,FALSE),0),0)))</f>
        <v>1</v>
      </c>
      <c r="R32" s="58">
        <f>IF(Q32&gt;1,Q32-1,IF(COUNTIFS('Plan CP'!$O:$O,'PR Grupo'!$G32,'Plan CP'!$P:$P,'PR Grupo'!R$3,'Plan CP'!$M:$M,1)=1,1,IF(IFERROR(VLOOKUP('PR Grupo'!R$3&amp;'PR Grupo'!$G32,'Plan CP'!$K:$P,3,FALSE)&gt;1,0),IFERROR(VLOOKUP('PR Grupo'!R$3&amp;'PR Grupo'!$G32,'Plan CP'!$K:$P,3,FALSE),0),0)))</f>
        <v>0</v>
      </c>
      <c r="S32" s="58">
        <f>IF(R32&gt;1,R32-1,IF(COUNTIFS('Plan CP'!$O:$O,'PR Grupo'!$G32,'Plan CP'!$P:$P,'PR Grupo'!S$3,'Plan CP'!$M:$M,1)=1,1,IF(IFERROR(VLOOKUP('PR Grupo'!S$3&amp;'PR Grupo'!$G32,'Plan CP'!$K:$P,3,FALSE)&gt;1,0),IFERROR(VLOOKUP('PR Grupo'!S$3&amp;'PR Grupo'!$G32,'Plan CP'!$K:$P,3,FALSE),0),0)))</f>
        <v>0</v>
      </c>
      <c r="T32" s="58">
        <f>IF(S32&gt;1,S32-1,IF(COUNTIFS('Plan CP'!$O:$O,'PR Grupo'!$G32,'Plan CP'!$P:$P,'PR Grupo'!T$3,'Plan CP'!$M:$M,1)=1,1,IF(IFERROR(VLOOKUP('PR Grupo'!T$3&amp;'PR Grupo'!$G32,'Plan CP'!$K:$P,3,FALSE)&gt;1,0),IFERROR(VLOOKUP('PR Grupo'!T$3&amp;'PR Grupo'!$G32,'Plan CP'!$K:$P,3,FALSE),0),0)))</f>
        <v>0</v>
      </c>
      <c r="U32" s="58">
        <f>IF(T32&gt;1,T32-1,IF(COUNTIFS('Plan CP'!$O:$O,'PR Grupo'!$G32,'Plan CP'!$P:$P,'PR Grupo'!U$3,'Plan CP'!$M:$M,1)=1,1,IF(IFERROR(VLOOKUP('PR Grupo'!U$3&amp;'PR Grupo'!$G32,'Plan CP'!$K:$P,3,FALSE)&gt;1,0),IFERROR(VLOOKUP('PR Grupo'!U$3&amp;'PR Grupo'!$G32,'Plan CP'!$K:$P,3,FALSE),0),0)))</f>
        <v>0</v>
      </c>
      <c r="V32" s="58">
        <f>IF(U32&gt;1,U32-1,IF(COUNTIFS('Plan CP'!$O:$O,'PR Grupo'!$G32,'Plan CP'!$P:$P,'PR Grupo'!V$3,'Plan CP'!$M:$M,1)=1,1,IF(IFERROR(VLOOKUP('PR Grupo'!V$3&amp;'PR Grupo'!$G32,'Plan CP'!$K:$P,3,FALSE)&gt;1,0),IFERROR(VLOOKUP('PR Grupo'!V$3&amp;'PR Grupo'!$G32,'Plan CP'!$K:$P,3,FALSE),0),0)))</f>
        <v>0</v>
      </c>
      <c r="W32" s="58">
        <f>IF(V32&gt;1,V32-1,IF(COUNTIFS('Plan CP'!$O:$O,'PR Grupo'!$G32,'Plan CP'!$P:$P,'PR Grupo'!W$3,'Plan CP'!$M:$M,1)=1,1,IF(IFERROR(VLOOKUP('PR Grupo'!W$3&amp;'PR Grupo'!$G32,'Plan CP'!$K:$P,3,FALSE)&gt;1,0),IFERROR(VLOOKUP('PR Grupo'!W$3&amp;'PR Grupo'!$G32,'Plan CP'!$K:$P,3,FALSE),0),0)))</f>
        <v>0</v>
      </c>
      <c r="X32" s="58">
        <f>IF(W32&gt;1,W32-1,IF(COUNTIFS('Plan CP'!$O:$O,'PR Grupo'!$G32,'Plan CP'!$P:$P,'PR Grupo'!X$3,'Plan CP'!$M:$M,1)=1,1,IF(IFERROR(VLOOKUP('PR Grupo'!X$3&amp;'PR Grupo'!$G32,'Plan CP'!$K:$P,3,FALSE)&gt;1,0),IFERROR(VLOOKUP('PR Grupo'!X$3&amp;'PR Grupo'!$G32,'Plan CP'!$K:$P,3,FALSE),0),0)))</f>
        <v>0</v>
      </c>
      <c r="Y32" s="58">
        <f>IF(X32&gt;1,X32-1,IF(COUNTIFS('Plan CP'!$O:$O,'PR Grupo'!$G32,'Plan CP'!$P:$P,'PR Grupo'!Y$3,'Plan CP'!$M:$M,1)=1,1,IF(IFERROR(VLOOKUP('PR Grupo'!Y$3&amp;'PR Grupo'!$G32,'Plan CP'!$K:$P,3,FALSE)&gt;1,0),IFERROR(VLOOKUP('PR Grupo'!Y$3&amp;'PR Grupo'!$G32,'Plan CP'!$K:$P,3,FALSE),0),0)))</f>
        <v>0</v>
      </c>
      <c r="Z32" s="58">
        <f>IF(Y32&gt;1,Y32-1,IF(COUNTIFS('Plan CP'!$O:$O,'PR Grupo'!$G32,'Plan CP'!$P:$P,'PR Grupo'!Z$3,'Plan CP'!$M:$M,1)=1,1,IF(IFERROR(VLOOKUP('PR Grupo'!Z$3&amp;'PR Grupo'!$G32,'Plan CP'!$K:$P,3,FALSE)&gt;1,0),IFERROR(VLOOKUP('PR Grupo'!Z$3&amp;'PR Grupo'!$G32,'Plan CP'!$K:$P,3,FALSE),0),0)))</f>
        <v>0</v>
      </c>
      <c r="AA32" s="58">
        <f>IF(Z32&gt;1,Z32-1,IF(COUNTIFS('Plan CP'!$O:$O,'PR Grupo'!$G32,'Plan CP'!$P:$P,'PR Grupo'!AA$3,'Plan CP'!$M:$M,1)=1,1,IF(IFERROR(VLOOKUP('PR Grupo'!AA$3&amp;'PR Grupo'!$G32,'Plan CP'!$K:$P,3,FALSE)&gt;1,0),IFERROR(VLOOKUP('PR Grupo'!AA$3&amp;'PR Grupo'!$G32,'Plan CP'!$K:$P,3,FALSE),0),0)))</f>
        <v>0</v>
      </c>
      <c r="AB32" s="58">
        <f>IF(AA32&gt;1,AA32-1,IF(COUNTIFS('Plan CP'!$O:$O,'PR Grupo'!$G32,'Plan CP'!$P:$P,'PR Grupo'!AB$3,'Plan CP'!$M:$M,1)=1,1,IF(IFERROR(VLOOKUP('PR Grupo'!AB$3&amp;'PR Grupo'!$G32,'Plan CP'!$K:$P,3,FALSE)&gt;1,0),IFERROR(VLOOKUP('PR Grupo'!AB$3&amp;'PR Grupo'!$G32,'Plan CP'!$K:$P,3,FALSE),0),0)))</f>
        <v>0</v>
      </c>
      <c r="AC32" s="58">
        <f>IF(AB32&gt;1,AB32-1,IF(COUNTIFS('Plan CP'!$O:$O,'PR Grupo'!$G32,'Plan CP'!$P:$P,'PR Grupo'!AC$3,'Plan CP'!$M:$M,1)=1,1,IF(IFERROR(VLOOKUP('PR Grupo'!AC$3&amp;'PR Grupo'!$G32,'Plan CP'!$K:$P,3,FALSE)&gt;1,0),IFERROR(VLOOKUP('PR Grupo'!AC$3&amp;'PR Grupo'!$G32,'Plan CP'!$K:$P,3,FALSE),0),0)))</f>
        <v>0</v>
      </c>
      <c r="AD32" s="58">
        <f>IF(AC32&gt;1,AC32-1,IF(COUNTIFS('Plan CP'!$O:$O,'PR Grupo'!$G32,'Plan CP'!$P:$P,'PR Grupo'!AD$3,'Plan CP'!$M:$M,1)=1,1,IF(IFERROR(VLOOKUP('PR Grupo'!AD$3&amp;'PR Grupo'!$G32,'Plan CP'!$K:$P,3,FALSE)&gt;1,0),IFERROR(VLOOKUP('PR Grupo'!AD$3&amp;'PR Grupo'!$G32,'Plan CP'!$K:$P,3,FALSE),0),0)))</f>
        <v>1</v>
      </c>
      <c r="AE32" s="58">
        <f>IF(AD32&gt;1,AD32-1,IF(COUNTIFS('Plan CP'!$O:$O,'PR Grupo'!$G32,'Plan CP'!$P:$P,'PR Grupo'!AE$3,'Plan CP'!$M:$M,1)=1,1,IF(IFERROR(VLOOKUP('PR Grupo'!AE$3&amp;'PR Grupo'!$G32,'Plan CP'!$K:$P,3,FALSE)&gt;1,0),IFERROR(VLOOKUP('PR Grupo'!AE$3&amp;'PR Grupo'!$G32,'Plan CP'!$K:$P,3,FALSE),0),0)))</f>
        <v>1</v>
      </c>
      <c r="AF32" s="58">
        <f>IF(AE32&gt;1,AE32-1,IF(COUNTIFS('Plan CP'!$O:$O,'PR Grupo'!$G32,'Plan CP'!$P:$P,'PR Grupo'!AF$3,'Plan CP'!$M:$M,1)=1,1,IF(IFERROR(VLOOKUP('PR Grupo'!AF$3&amp;'PR Grupo'!$G32,'Plan CP'!$K:$P,3,FALSE)&gt;1,0),IFERROR(VLOOKUP('PR Grupo'!AF$3&amp;'PR Grupo'!$G32,'Plan CP'!$K:$P,3,FALSE),0),0)))</f>
        <v>1</v>
      </c>
      <c r="AG32" s="58">
        <f>IF(AF32&gt;1,AF32-1,IF(COUNTIFS('Plan CP'!$O:$O,'PR Grupo'!$G32,'Plan CP'!$P:$P,'PR Grupo'!AG$3,'Plan CP'!$M:$M,1)=1,1,IF(IFERROR(VLOOKUP('PR Grupo'!AG$3&amp;'PR Grupo'!$G32,'Plan CP'!$K:$P,3,FALSE)&gt;1,0),IFERROR(VLOOKUP('PR Grupo'!AG$3&amp;'PR Grupo'!$G32,'Plan CP'!$K:$P,3,FALSE),0),0)))</f>
        <v>1</v>
      </c>
      <c r="AH32" s="58">
        <f>IF(AG32&gt;1,AG32-1,IF(COUNTIFS('Plan CP'!$O:$O,'PR Grupo'!$G32,'Plan CP'!$P:$P,'PR Grupo'!AH$3,'Plan CP'!$M:$M,1)=1,1,IF(IFERROR(VLOOKUP('PR Grupo'!AH$3&amp;'PR Grupo'!$G32,'Plan CP'!$K:$P,3,FALSE)&gt;1,0),IFERROR(VLOOKUP('PR Grupo'!AH$3&amp;'PR Grupo'!$G32,'Plan CP'!$K:$P,3,FALSE),0),0)))</f>
        <v>1</v>
      </c>
      <c r="AI32" s="58">
        <f>IF(AH32&gt;1,AH32-1,IF(COUNTIFS('Plan CP'!$O:$O,'PR Grupo'!$G32,'Plan CP'!$P:$P,'PR Grupo'!AI$3,'Plan CP'!$M:$M,1)=1,1,IF(IFERROR(VLOOKUP('PR Grupo'!AI$3&amp;'PR Grupo'!$G32,'Plan CP'!$K:$P,3,FALSE)&gt;1,0),IFERROR(VLOOKUP('PR Grupo'!AI$3&amp;'PR Grupo'!$G32,'Plan CP'!$K:$P,3,FALSE),0),0)))</f>
        <v>1</v>
      </c>
      <c r="AJ32" s="58">
        <f>IF(AI32&gt;1,AI32-1,IF(COUNTIFS('Plan CP'!$O:$O,'PR Grupo'!$G32,'Plan CP'!$P:$P,'PR Grupo'!AJ$3,'Plan CP'!$M:$M,1)=1,1,IF(IFERROR(VLOOKUP('PR Grupo'!AJ$3&amp;'PR Grupo'!$G32,'Plan CP'!$K:$P,3,FALSE)&gt;1,0),IFERROR(VLOOKUP('PR Grupo'!AJ$3&amp;'PR Grupo'!$G32,'Plan CP'!$K:$P,3,FALSE),0),0)))</f>
        <v>1</v>
      </c>
      <c r="AK32" s="58">
        <f>IF(AJ32&gt;1,AJ32-1,IF(COUNTIFS('Plan CP'!$O:$O,'PR Grupo'!$G32,'Plan CP'!$P:$P,'PR Grupo'!AK$3,'Plan CP'!$M:$M,1)=1,1,IF(IFERROR(VLOOKUP('PR Grupo'!AK$3&amp;'PR Grupo'!$G32,'Plan CP'!$K:$P,3,FALSE)&gt;1,0),IFERROR(VLOOKUP('PR Grupo'!AK$3&amp;'PR Grupo'!$G32,'Plan CP'!$K:$P,3,FALSE),0),0)))</f>
        <v>1</v>
      </c>
      <c r="AL32" s="58">
        <f>IF(AK32&gt;1,AK32-1,IF(COUNTIFS('Plan CP'!$O:$O,'PR Grupo'!$G32,'Plan CP'!$P:$P,'PR Grupo'!AL$3,'Plan CP'!$M:$M,1)=1,1,IF(IFERROR(VLOOKUP('PR Grupo'!AL$3&amp;'PR Grupo'!$G32,'Plan CP'!$K:$P,3,FALSE)&gt;1,0),IFERROR(VLOOKUP('PR Grupo'!AL$3&amp;'PR Grupo'!$G32,'Plan CP'!$K:$P,3,FALSE),0),0)))</f>
        <v>1</v>
      </c>
      <c r="AM32" s="58">
        <f>IF(AL32&gt;1,AL32-1,IF(COUNTIFS('Plan CP'!$O:$O,'PR Grupo'!$G32,'Plan CP'!$P:$P,'PR Grupo'!AM$3,'Plan CP'!$M:$M,1)=1,1,IF(IFERROR(VLOOKUP('PR Grupo'!AM$3&amp;'PR Grupo'!$G32,'Plan CP'!$K:$P,3,FALSE)&gt;1,0),IFERROR(VLOOKUP('PR Grupo'!AM$3&amp;'PR Grupo'!$G32,'Plan CP'!$K:$P,3,FALSE),0),0)))</f>
        <v>1</v>
      </c>
      <c r="AN32" s="58">
        <f>IF(AM32&gt;1,AM32-1,IF(COUNTIFS('Plan CP'!$O:$O,'PR Grupo'!$G32,'Plan CP'!$P:$P,'PR Grupo'!AN$3,'Plan CP'!$M:$M,1)=1,1,IF(IFERROR(VLOOKUP('PR Grupo'!AN$3&amp;'PR Grupo'!$G32,'Plan CP'!$K:$P,3,FALSE)&gt;1,0),IFERROR(VLOOKUP('PR Grupo'!AN$3&amp;'PR Grupo'!$G32,'Plan CP'!$K:$P,3,FALSE),0),0)))</f>
        <v>1</v>
      </c>
      <c r="AO32" s="58">
        <f>IF(AN32&gt;1,AN32-1,IF(COUNTIFS('Plan CP'!$O:$O,'PR Grupo'!$G32,'Plan CP'!$P:$P,'PR Grupo'!AO$3,'Plan CP'!$M:$M,1)=1,1,IF(IFERROR(VLOOKUP('PR Grupo'!AO$3&amp;'PR Grupo'!$G32,'Plan CP'!$K:$P,3,FALSE)&gt;1,0),IFERROR(VLOOKUP('PR Grupo'!AO$3&amp;'PR Grupo'!$G32,'Plan CP'!$K:$P,3,FALSE),0),0)))</f>
        <v>0</v>
      </c>
    </row>
    <row r="33" spans="1:41">
      <c r="A33" s="21" t="s">
        <v>33</v>
      </c>
      <c r="B33" s="21" t="s">
        <v>39</v>
      </c>
      <c r="C33" s="21" t="s">
        <v>225</v>
      </c>
      <c r="D33" s="21" t="s">
        <v>268</v>
      </c>
      <c r="E33" s="24" t="s">
        <v>177</v>
      </c>
      <c r="F33" s="21" t="s">
        <v>268</v>
      </c>
      <c r="G33" s="33" t="s">
        <v>191</v>
      </c>
      <c r="H33" s="24">
        <v>15</v>
      </c>
      <c r="I33" s="33">
        <f t="shared" si="2"/>
        <v>18</v>
      </c>
      <c r="J33" s="33" t="str">
        <f t="shared" si="3"/>
        <v>OK</v>
      </c>
      <c r="K33" s="58">
        <f>IF(COUNTIFS('Plan CP'!$O:$O,'PR Grupo'!$G33,'Plan CP'!$P:$P,'PR Grupo'!K$3,'Plan CP'!$M:$M,1)=1,1,IF(IFERROR(VLOOKUP('PR Grupo'!K$3&amp;'PR Grupo'!$G33,'Plan CP'!$K:$P,3,FALSE)&gt;1,0),IFERROR(VLOOKUP('PR Grupo'!K$3&amp;'PR Grupo'!$G33,'Plan CP'!$K:$P,3,FALSE),0),0))</f>
        <v>1</v>
      </c>
      <c r="L33" s="58">
        <f>IF(K33&gt;1,K33-1,IF(COUNTIFS('Plan CP'!$O:$O,'PR Grupo'!$G33,'Plan CP'!$P:$P,'PR Grupo'!L$3,'Plan CP'!$M:$M,1)=1,1,IF(IFERROR(VLOOKUP('PR Grupo'!L$3&amp;'PR Grupo'!$G33,'Plan CP'!$K:$P,3,FALSE)&gt;1,0),IFERROR(VLOOKUP('PR Grupo'!L$3&amp;'PR Grupo'!$G33,'Plan CP'!$K:$P,3,FALSE),0),0)))</f>
        <v>1</v>
      </c>
      <c r="M33" s="58">
        <f>IF(L33&gt;1,L33-1,IF(COUNTIFS('Plan CP'!$O:$O,'PR Grupo'!$G33,'Plan CP'!$P:$P,'PR Grupo'!M$3,'Plan CP'!$M:$M,1)=1,1,IF(IFERROR(VLOOKUP('PR Grupo'!M$3&amp;'PR Grupo'!$G33,'Plan CP'!$K:$P,3,FALSE)&gt;1,0),IFERROR(VLOOKUP('PR Grupo'!M$3&amp;'PR Grupo'!$G33,'Plan CP'!$K:$P,3,FALSE),0),0)))</f>
        <v>1</v>
      </c>
      <c r="N33" s="58">
        <f>IF(M33&gt;1,M33-1,IF(COUNTIFS('Plan CP'!$O:$O,'PR Grupo'!$G33,'Plan CP'!$P:$P,'PR Grupo'!N$3,'Plan CP'!$M:$M,1)=1,1,IF(IFERROR(VLOOKUP('PR Grupo'!N$3&amp;'PR Grupo'!$G33,'Plan CP'!$K:$P,3,FALSE)&gt;1,0),IFERROR(VLOOKUP('PR Grupo'!N$3&amp;'PR Grupo'!$G33,'Plan CP'!$K:$P,3,FALSE),0),0)))</f>
        <v>1</v>
      </c>
      <c r="O33" s="58">
        <f>IF(N33&gt;1,N33-1,IF(COUNTIFS('Plan CP'!$O:$O,'PR Grupo'!$G33,'Plan CP'!$P:$P,'PR Grupo'!O$3,'Plan CP'!$M:$M,1)=1,1,IF(IFERROR(VLOOKUP('PR Grupo'!O$3&amp;'PR Grupo'!$G33,'Plan CP'!$K:$P,3,FALSE)&gt;1,0),IFERROR(VLOOKUP('PR Grupo'!O$3&amp;'PR Grupo'!$G33,'Plan CP'!$K:$P,3,FALSE),0),0)))</f>
        <v>1</v>
      </c>
      <c r="P33" s="58">
        <f>IF(O33&gt;1,O33-1,IF(COUNTIFS('Plan CP'!$O:$O,'PR Grupo'!$G33,'Plan CP'!$P:$P,'PR Grupo'!P$3,'Plan CP'!$M:$M,1)=1,1,IF(IFERROR(VLOOKUP('PR Grupo'!P$3&amp;'PR Grupo'!$G33,'Plan CP'!$K:$P,3,FALSE)&gt;1,0),IFERROR(VLOOKUP('PR Grupo'!P$3&amp;'PR Grupo'!$G33,'Plan CP'!$K:$P,3,FALSE),0),0)))</f>
        <v>1</v>
      </c>
      <c r="Q33" s="58">
        <f>IF(P33&gt;1,P33-1,IF(COUNTIFS('Plan CP'!$O:$O,'PR Grupo'!$G33,'Plan CP'!$P:$P,'PR Grupo'!Q$3,'Plan CP'!$M:$M,1)=1,1,IF(IFERROR(VLOOKUP('PR Grupo'!Q$3&amp;'PR Grupo'!$G33,'Plan CP'!$K:$P,3,FALSE)&gt;1,0),IFERROR(VLOOKUP('PR Grupo'!Q$3&amp;'PR Grupo'!$G33,'Plan CP'!$K:$P,3,FALSE),0),0)))</f>
        <v>1</v>
      </c>
      <c r="R33" s="58">
        <f>IF(Q33&gt;1,Q33-1,IF(COUNTIFS('Plan CP'!$O:$O,'PR Grupo'!$G33,'Plan CP'!$P:$P,'PR Grupo'!R$3,'Plan CP'!$M:$M,1)=1,1,IF(IFERROR(VLOOKUP('PR Grupo'!R$3&amp;'PR Grupo'!$G33,'Plan CP'!$K:$P,3,FALSE)&gt;1,0),IFERROR(VLOOKUP('PR Grupo'!R$3&amp;'PR Grupo'!$G33,'Plan CP'!$K:$P,3,FALSE),0),0)))</f>
        <v>0</v>
      </c>
      <c r="S33" s="58">
        <f>IF(R33&gt;1,R33-1,IF(COUNTIFS('Plan CP'!$O:$O,'PR Grupo'!$G33,'Plan CP'!$P:$P,'PR Grupo'!S$3,'Plan CP'!$M:$M,1)=1,1,IF(IFERROR(VLOOKUP('PR Grupo'!S$3&amp;'PR Grupo'!$G33,'Plan CP'!$K:$P,3,FALSE)&gt;1,0),IFERROR(VLOOKUP('PR Grupo'!S$3&amp;'PR Grupo'!$G33,'Plan CP'!$K:$P,3,FALSE),0),0)))</f>
        <v>0</v>
      </c>
      <c r="T33" s="58">
        <f>IF(S33&gt;1,S33-1,IF(COUNTIFS('Plan CP'!$O:$O,'PR Grupo'!$G33,'Plan CP'!$P:$P,'PR Grupo'!T$3,'Plan CP'!$M:$M,1)=1,1,IF(IFERROR(VLOOKUP('PR Grupo'!T$3&amp;'PR Grupo'!$G33,'Plan CP'!$K:$P,3,FALSE)&gt;1,0),IFERROR(VLOOKUP('PR Grupo'!T$3&amp;'PR Grupo'!$G33,'Plan CP'!$K:$P,3,FALSE),0),0)))</f>
        <v>0</v>
      </c>
      <c r="U33" s="58">
        <f>IF(T33&gt;1,T33-1,IF(COUNTIFS('Plan CP'!$O:$O,'PR Grupo'!$G33,'Plan CP'!$P:$P,'PR Grupo'!U$3,'Plan CP'!$M:$M,1)=1,1,IF(IFERROR(VLOOKUP('PR Grupo'!U$3&amp;'PR Grupo'!$G33,'Plan CP'!$K:$P,3,FALSE)&gt;1,0),IFERROR(VLOOKUP('PR Grupo'!U$3&amp;'PR Grupo'!$G33,'Plan CP'!$K:$P,3,FALSE),0),0)))</f>
        <v>0</v>
      </c>
      <c r="V33" s="58">
        <f>IF(U33&gt;1,U33-1,IF(COUNTIFS('Plan CP'!$O:$O,'PR Grupo'!$G33,'Plan CP'!$P:$P,'PR Grupo'!V$3,'Plan CP'!$M:$M,1)=1,1,IF(IFERROR(VLOOKUP('PR Grupo'!V$3&amp;'PR Grupo'!$G33,'Plan CP'!$K:$P,3,FALSE)&gt;1,0),IFERROR(VLOOKUP('PR Grupo'!V$3&amp;'PR Grupo'!$G33,'Plan CP'!$K:$P,3,FALSE),0),0)))</f>
        <v>0</v>
      </c>
      <c r="W33" s="58">
        <f>IF(V33&gt;1,V33-1,IF(COUNTIFS('Plan CP'!$O:$O,'PR Grupo'!$G33,'Plan CP'!$P:$P,'PR Grupo'!W$3,'Plan CP'!$M:$M,1)=1,1,IF(IFERROR(VLOOKUP('PR Grupo'!W$3&amp;'PR Grupo'!$G33,'Plan CP'!$K:$P,3,FALSE)&gt;1,0),IFERROR(VLOOKUP('PR Grupo'!W$3&amp;'PR Grupo'!$G33,'Plan CP'!$K:$P,3,FALSE),0),0)))</f>
        <v>0</v>
      </c>
      <c r="X33" s="58">
        <f>IF(W33&gt;1,W33-1,IF(COUNTIFS('Plan CP'!$O:$O,'PR Grupo'!$G33,'Plan CP'!$P:$P,'PR Grupo'!X$3,'Plan CP'!$M:$M,1)=1,1,IF(IFERROR(VLOOKUP('PR Grupo'!X$3&amp;'PR Grupo'!$G33,'Plan CP'!$K:$P,3,FALSE)&gt;1,0),IFERROR(VLOOKUP('PR Grupo'!X$3&amp;'PR Grupo'!$G33,'Plan CP'!$K:$P,3,FALSE),0),0)))</f>
        <v>0</v>
      </c>
      <c r="Y33" s="58">
        <f>IF(X33&gt;1,X33-1,IF(COUNTIFS('Plan CP'!$O:$O,'PR Grupo'!$G33,'Plan CP'!$P:$P,'PR Grupo'!Y$3,'Plan CP'!$M:$M,1)=1,1,IF(IFERROR(VLOOKUP('PR Grupo'!Y$3&amp;'PR Grupo'!$G33,'Plan CP'!$K:$P,3,FALSE)&gt;1,0),IFERROR(VLOOKUP('PR Grupo'!Y$3&amp;'PR Grupo'!$G33,'Plan CP'!$K:$P,3,FALSE),0),0)))</f>
        <v>0</v>
      </c>
      <c r="Z33" s="58">
        <f>IF(Y33&gt;1,Y33-1,IF(COUNTIFS('Plan CP'!$O:$O,'PR Grupo'!$G33,'Plan CP'!$P:$P,'PR Grupo'!Z$3,'Plan CP'!$M:$M,1)=1,1,IF(IFERROR(VLOOKUP('PR Grupo'!Z$3&amp;'PR Grupo'!$G33,'Plan CP'!$K:$P,3,FALSE)&gt;1,0),IFERROR(VLOOKUP('PR Grupo'!Z$3&amp;'PR Grupo'!$G33,'Plan CP'!$K:$P,3,FALSE),0),0)))</f>
        <v>0</v>
      </c>
      <c r="AA33" s="58">
        <f>IF(Z33&gt;1,Z33-1,IF(COUNTIFS('Plan CP'!$O:$O,'PR Grupo'!$G33,'Plan CP'!$P:$P,'PR Grupo'!AA$3,'Plan CP'!$M:$M,1)=1,1,IF(IFERROR(VLOOKUP('PR Grupo'!AA$3&amp;'PR Grupo'!$G33,'Plan CP'!$K:$P,3,FALSE)&gt;1,0),IFERROR(VLOOKUP('PR Grupo'!AA$3&amp;'PR Grupo'!$G33,'Plan CP'!$K:$P,3,FALSE),0),0)))</f>
        <v>0</v>
      </c>
      <c r="AB33" s="58">
        <f>IF(AA33&gt;1,AA33-1,IF(COUNTIFS('Plan CP'!$O:$O,'PR Grupo'!$G33,'Plan CP'!$P:$P,'PR Grupo'!AB$3,'Plan CP'!$M:$M,1)=1,1,IF(IFERROR(VLOOKUP('PR Grupo'!AB$3&amp;'PR Grupo'!$G33,'Plan CP'!$K:$P,3,FALSE)&gt;1,0),IFERROR(VLOOKUP('PR Grupo'!AB$3&amp;'PR Grupo'!$G33,'Plan CP'!$K:$P,3,FALSE),0),0)))</f>
        <v>0</v>
      </c>
      <c r="AC33" s="58">
        <f>IF(AB33&gt;1,AB33-1,IF(COUNTIFS('Plan CP'!$O:$O,'PR Grupo'!$G33,'Plan CP'!$P:$P,'PR Grupo'!AC$3,'Plan CP'!$M:$M,1)=1,1,IF(IFERROR(VLOOKUP('PR Grupo'!AC$3&amp;'PR Grupo'!$G33,'Plan CP'!$K:$P,3,FALSE)&gt;1,0),IFERROR(VLOOKUP('PR Grupo'!AC$3&amp;'PR Grupo'!$G33,'Plan CP'!$K:$P,3,FALSE),0),0)))</f>
        <v>0</v>
      </c>
      <c r="AD33" s="58">
        <f>IF(AC33&gt;1,AC33-1,IF(COUNTIFS('Plan CP'!$O:$O,'PR Grupo'!$G33,'Plan CP'!$P:$P,'PR Grupo'!AD$3,'Plan CP'!$M:$M,1)=1,1,IF(IFERROR(VLOOKUP('PR Grupo'!AD$3&amp;'PR Grupo'!$G33,'Plan CP'!$K:$P,3,FALSE)&gt;1,0),IFERROR(VLOOKUP('PR Grupo'!AD$3&amp;'PR Grupo'!$G33,'Plan CP'!$K:$P,3,FALSE),0),0)))</f>
        <v>1</v>
      </c>
      <c r="AE33" s="58">
        <f>IF(AD33&gt;1,AD33-1,IF(COUNTIFS('Plan CP'!$O:$O,'PR Grupo'!$G33,'Plan CP'!$P:$P,'PR Grupo'!AE$3,'Plan CP'!$M:$M,1)=1,1,IF(IFERROR(VLOOKUP('PR Grupo'!AE$3&amp;'PR Grupo'!$G33,'Plan CP'!$K:$P,3,FALSE)&gt;1,0),IFERROR(VLOOKUP('PR Grupo'!AE$3&amp;'PR Grupo'!$G33,'Plan CP'!$K:$P,3,FALSE),0),0)))</f>
        <v>1</v>
      </c>
      <c r="AF33" s="58">
        <f>IF(AE33&gt;1,AE33-1,IF(COUNTIFS('Plan CP'!$O:$O,'PR Grupo'!$G33,'Plan CP'!$P:$P,'PR Grupo'!AF$3,'Plan CP'!$M:$M,1)=1,1,IF(IFERROR(VLOOKUP('PR Grupo'!AF$3&amp;'PR Grupo'!$G33,'Plan CP'!$K:$P,3,FALSE)&gt;1,0),IFERROR(VLOOKUP('PR Grupo'!AF$3&amp;'PR Grupo'!$G33,'Plan CP'!$K:$P,3,FALSE),0),0)))</f>
        <v>1</v>
      </c>
      <c r="AG33" s="58">
        <f>IF(AF33&gt;1,AF33-1,IF(COUNTIFS('Plan CP'!$O:$O,'PR Grupo'!$G33,'Plan CP'!$P:$P,'PR Grupo'!AG$3,'Plan CP'!$M:$M,1)=1,1,IF(IFERROR(VLOOKUP('PR Grupo'!AG$3&amp;'PR Grupo'!$G33,'Plan CP'!$K:$P,3,FALSE)&gt;1,0),IFERROR(VLOOKUP('PR Grupo'!AG$3&amp;'PR Grupo'!$G33,'Plan CP'!$K:$P,3,FALSE),0),0)))</f>
        <v>1</v>
      </c>
      <c r="AH33" s="58">
        <f>IF(AG33&gt;1,AG33-1,IF(COUNTIFS('Plan CP'!$O:$O,'PR Grupo'!$G33,'Plan CP'!$P:$P,'PR Grupo'!AH$3,'Plan CP'!$M:$M,1)=1,1,IF(IFERROR(VLOOKUP('PR Grupo'!AH$3&amp;'PR Grupo'!$G33,'Plan CP'!$K:$P,3,FALSE)&gt;1,0),IFERROR(VLOOKUP('PR Grupo'!AH$3&amp;'PR Grupo'!$G33,'Plan CP'!$K:$P,3,FALSE),0),0)))</f>
        <v>1</v>
      </c>
      <c r="AI33" s="58">
        <f>IF(AH33&gt;1,AH33-1,IF(COUNTIFS('Plan CP'!$O:$O,'PR Grupo'!$G33,'Plan CP'!$P:$P,'PR Grupo'!AI$3,'Plan CP'!$M:$M,1)=1,1,IF(IFERROR(VLOOKUP('PR Grupo'!AI$3&amp;'PR Grupo'!$G33,'Plan CP'!$K:$P,3,FALSE)&gt;1,0),IFERROR(VLOOKUP('PR Grupo'!AI$3&amp;'PR Grupo'!$G33,'Plan CP'!$K:$P,3,FALSE),0),0)))</f>
        <v>1</v>
      </c>
      <c r="AJ33" s="58">
        <f>IF(AI33&gt;1,AI33-1,IF(COUNTIFS('Plan CP'!$O:$O,'PR Grupo'!$G33,'Plan CP'!$P:$P,'PR Grupo'!AJ$3,'Plan CP'!$M:$M,1)=1,1,IF(IFERROR(VLOOKUP('PR Grupo'!AJ$3&amp;'PR Grupo'!$G33,'Plan CP'!$K:$P,3,FALSE)&gt;1,0),IFERROR(VLOOKUP('PR Grupo'!AJ$3&amp;'PR Grupo'!$G33,'Plan CP'!$K:$P,3,FALSE),0),0)))</f>
        <v>1</v>
      </c>
      <c r="AK33" s="58">
        <f>IF(AJ33&gt;1,AJ33-1,IF(COUNTIFS('Plan CP'!$O:$O,'PR Grupo'!$G33,'Plan CP'!$P:$P,'PR Grupo'!AK$3,'Plan CP'!$M:$M,1)=1,1,IF(IFERROR(VLOOKUP('PR Grupo'!AK$3&amp;'PR Grupo'!$G33,'Plan CP'!$K:$P,3,FALSE)&gt;1,0),IFERROR(VLOOKUP('PR Grupo'!AK$3&amp;'PR Grupo'!$G33,'Plan CP'!$K:$P,3,FALSE),0),0)))</f>
        <v>1</v>
      </c>
      <c r="AL33" s="58">
        <f>IF(AK33&gt;1,AK33-1,IF(COUNTIFS('Plan CP'!$O:$O,'PR Grupo'!$G33,'Plan CP'!$P:$P,'PR Grupo'!AL$3,'Plan CP'!$M:$M,1)=1,1,IF(IFERROR(VLOOKUP('PR Grupo'!AL$3&amp;'PR Grupo'!$G33,'Plan CP'!$K:$P,3,FALSE)&gt;1,0),IFERROR(VLOOKUP('PR Grupo'!AL$3&amp;'PR Grupo'!$G33,'Plan CP'!$K:$P,3,FALSE),0),0)))</f>
        <v>1</v>
      </c>
      <c r="AM33" s="58">
        <f>IF(AL33&gt;1,AL33-1,IF(COUNTIFS('Plan CP'!$O:$O,'PR Grupo'!$G33,'Plan CP'!$P:$P,'PR Grupo'!AM$3,'Plan CP'!$M:$M,1)=1,1,IF(IFERROR(VLOOKUP('PR Grupo'!AM$3&amp;'PR Grupo'!$G33,'Plan CP'!$K:$P,3,FALSE)&gt;1,0),IFERROR(VLOOKUP('PR Grupo'!AM$3&amp;'PR Grupo'!$G33,'Plan CP'!$K:$P,3,FALSE),0),0)))</f>
        <v>1</v>
      </c>
      <c r="AN33" s="58">
        <f>IF(AM33&gt;1,AM33-1,IF(COUNTIFS('Plan CP'!$O:$O,'PR Grupo'!$G33,'Plan CP'!$P:$P,'PR Grupo'!AN$3,'Plan CP'!$M:$M,1)=1,1,IF(IFERROR(VLOOKUP('PR Grupo'!AN$3&amp;'PR Grupo'!$G33,'Plan CP'!$K:$P,3,FALSE)&gt;1,0),IFERROR(VLOOKUP('PR Grupo'!AN$3&amp;'PR Grupo'!$G33,'Plan CP'!$K:$P,3,FALSE),0),0)))</f>
        <v>1</v>
      </c>
      <c r="AO33" s="58">
        <f>IF(AN33&gt;1,AN33-1,IF(COUNTIFS('Plan CP'!$O:$O,'PR Grupo'!$G33,'Plan CP'!$P:$P,'PR Grupo'!AO$3,'Plan CP'!$M:$M,1)=1,1,IF(IFERROR(VLOOKUP('PR Grupo'!AO$3&amp;'PR Grupo'!$G33,'Plan CP'!$K:$P,3,FALSE)&gt;1,0),IFERROR(VLOOKUP('PR Grupo'!AO$3&amp;'PR Grupo'!$G33,'Plan CP'!$K:$P,3,FALSE),0),0)))</f>
        <v>0</v>
      </c>
    </row>
    <row r="34" spans="1:41">
      <c r="A34" s="21" t="s">
        <v>33</v>
      </c>
      <c r="B34" s="21" t="s">
        <v>40</v>
      </c>
      <c r="C34" s="21" t="s">
        <v>226</v>
      </c>
      <c r="D34" s="21" t="s">
        <v>265</v>
      </c>
      <c r="E34" s="24" t="s">
        <v>177</v>
      </c>
      <c r="F34" s="21" t="s">
        <v>265</v>
      </c>
      <c r="G34" s="33" t="s">
        <v>191</v>
      </c>
      <c r="H34" s="24">
        <v>15</v>
      </c>
      <c r="I34" s="33">
        <f t="shared" si="2"/>
        <v>18</v>
      </c>
      <c r="J34" s="33" t="str">
        <f t="shared" si="3"/>
        <v>OK</v>
      </c>
      <c r="K34" s="58">
        <f>IF(COUNTIFS('Plan CP'!$O:$O,'PR Grupo'!$G34,'Plan CP'!$P:$P,'PR Grupo'!K$3,'Plan CP'!$M:$M,1)=1,1,IF(IFERROR(VLOOKUP('PR Grupo'!K$3&amp;'PR Grupo'!$G34,'Plan CP'!$K:$P,3,FALSE)&gt;1,0),IFERROR(VLOOKUP('PR Grupo'!K$3&amp;'PR Grupo'!$G34,'Plan CP'!$K:$P,3,FALSE),0),0))</f>
        <v>1</v>
      </c>
      <c r="L34" s="58">
        <f>IF(K34&gt;1,K34-1,IF(COUNTIFS('Plan CP'!$O:$O,'PR Grupo'!$G34,'Plan CP'!$P:$P,'PR Grupo'!L$3,'Plan CP'!$M:$M,1)=1,1,IF(IFERROR(VLOOKUP('PR Grupo'!L$3&amp;'PR Grupo'!$G34,'Plan CP'!$K:$P,3,FALSE)&gt;1,0),IFERROR(VLOOKUP('PR Grupo'!L$3&amp;'PR Grupo'!$G34,'Plan CP'!$K:$P,3,FALSE),0),0)))</f>
        <v>1</v>
      </c>
      <c r="M34" s="58">
        <f>IF(L34&gt;1,L34-1,IF(COUNTIFS('Plan CP'!$O:$O,'PR Grupo'!$G34,'Plan CP'!$P:$P,'PR Grupo'!M$3,'Plan CP'!$M:$M,1)=1,1,IF(IFERROR(VLOOKUP('PR Grupo'!M$3&amp;'PR Grupo'!$G34,'Plan CP'!$K:$P,3,FALSE)&gt;1,0),IFERROR(VLOOKUP('PR Grupo'!M$3&amp;'PR Grupo'!$G34,'Plan CP'!$K:$P,3,FALSE),0),0)))</f>
        <v>1</v>
      </c>
      <c r="N34" s="58">
        <f>IF(M34&gt;1,M34-1,IF(COUNTIFS('Plan CP'!$O:$O,'PR Grupo'!$G34,'Plan CP'!$P:$P,'PR Grupo'!N$3,'Plan CP'!$M:$M,1)=1,1,IF(IFERROR(VLOOKUP('PR Grupo'!N$3&amp;'PR Grupo'!$G34,'Plan CP'!$K:$P,3,FALSE)&gt;1,0),IFERROR(VLOOKUP('PR Grupo'!N$3&amp;'PR Grupo'!$G34,'Plan CP'!$K:$P,3,FALSE),0),0)))</f>
        <v>1</v>
      </c>
      <c r="O34" s="58">
        <f>IF(N34&gt;1,N34-1,IF(COUNTIFS('Plan CP'!$O:$O,'PR Grupo'!$G34,'Plan CP'!$P:$P,'PR Grupo'!O$3,'Plan CP'!$M:$M,1)=1,1,IF(IFERROR(VLOOKUP('PR Grupo'!O$3&amp;'PR Grupo'!$G34,'Plan CP'!$K:$P,3,FALSE)&gt;1,0),IFERROR(VLOOKUP('PR Grupo'!O$3&amp;'PR Grupo'!$G34,'Plan CP'!$K:$P,3,FALSE),0),0)))</f>
        <v>1</v>
      </c>
      <c r="P34" s="58">
        <f>IF(O34&gt;1,O34-1,IF(COUNTIFS('Plan CP'!$O:$O,'PR Grupo'!$G34,'Plan CP'!$P:$P,'PR Grupo'!P$3,'Plan CP'!$M:$M,1)=1,1,IF(IFERROR(VLOOKUP('PR Grupo'!P$3&amp;'PR Grupo'!$G34,'Plan CP'!$K:$P,3,FALSE)&gt;1,0),IFERROR(VLOOKUP('PR Grupo'!P$3&amp;'PR Grupo'!$G34,'Plan CP'!$K:$P,3,FALSE),0),0)))</f>
        <v>1</v>
      </c>
      <c r="Q34" s="58">
        <f>IF(P34&gt;1,P34-1,IF(COUNTIFS('Plan CP'!$O:$O,'PR Grupo'!$G34,'Plan CP'!$P:$P,'PR Grupo'!Q$3,'Plan CP'!$M:$M,1)=1,1,IF(IFERROR(VLOOKUP('PR Grupo'!Q$3&amp;'PR Grupo'!$G34,'Plan CP'!$K:$P,3,FALSE)&gt;1,0),IFERROR(VLOOKUP('PR Grupo'!Q$3&amp;'PR Grupo'!$G34,'Plan CP'!$K:$P,3,FALSE),0),0)))</f>
        <v>1</v>
      </c>
      <c r="R34" s="58">
        <f>IF(Q34&gt;1,Q34-1,IF(COUNTIFS('Plan CP'!$O:$O,'PR Grupo'!$G34,'Plan CP'!$P:$P,'PR Grupo'!R$3,'Plan CP'!$M:$M,1)=1,1,IF(IFERROR(VLOOKUP('PR Grupo'!R$3&amp;'PR Grupo'!$G34,'Plan CP'!$K:$P,3,FALSE)&gt;1,0),IFERROR(VLOOKUP('PR Grupo'!R$3&amp;'PR Grupo'!$G34,'Plan CP'!$K:$P,3,FALSE),0),0)))</f>
        <v>0</v>
      </c>
      <c r="S34" s="58">
        <f>IF(R34&gt;1,R34-1,IF(COUNTIFS('Plan CP'!$O:$O,'PR Grupo'!$G34,'Plan CP'!$P:$P,'PR Grupo'!S$3,'Plan CP'!$M:$M,1)=1,1,IF(IFERROR(VLOOKUP('PR Grupo'!S$3&amp;'PR Grupo'!$G34,'Plan CP'!$K:$P,3,FALSE)&gt;1,0),IFERROR(VLOOKUP('PR Grupo'!S$3&amp;'PR Grupo'!$G34,'Plan CP'!$K:$P,3,FALSE),0),0)))</f>
        <v>0</v>
      </c>
      <c r="T34" s="58">
        <f>IF(S34&gt;1,S34-1,IF(COUNTIFS('Plan CP'!$O:$O,'PR Grupo'!$G34,'Plan CP'!$P:$P,'PR Grupo'!T$3,'Plan CP'!$M:$M,1)=1,1,IF(IFERROR(VLOOKUP('PR Grupo'!T$3&amp;'PR Grupo'!$G34,'Plan CP'!$K:$P,3,FALSE)&gt;1,0),IFERROR(VLOOKUP('PR Grupo'!T$3&amp;'PR Grupo'!$G34,'Plan CP'!$K:$P,3,FALSE),0),0)))</f>
        <v>0</v>
      </c>
      <c r="U34" s="58">
        <f>IF(T34&gt;1,T34-1,IF(COUNTIFS('Plan CP'!$O:$O,'PR Grupo'!$G34,'Plan CP'!$P:$P,'PR Grupo'!U$3,'Plan CP'!$M:$M,1)=1,1,IF(IFERROR(VLOOKUP('PR Grupo'!U$3&amp;'PR Grupo'!$G34,'Plan CP'!$K:$P,3,FALSE)&gt;1,0),IFERROR(VLOOKUP('PR Grupo'!U$3&amp;'PR Grupo'!$G34,'Plan CP'!$K:$P,3,FALSE),0),0)))</f>
        <v>0</v>
      </c>
      <c r="V34" s="58">
        <f>IF(U34&gt;1,U34-1,IF(COUNTIFS('Plan CP'!$O:$O,'PR Grupo'!$G34,'Plan CP'!$P:$P,'PR Grupo'!V$3,'Plan CP'!$M:$M,1)=1,1,IF(IFERROR(VLOOKUP('PR Grupo'!V$3&amp;'PR Grupo'!$G34,'Plan CP'!$K:$P,3,FALSE)&gt;1,0),IFERROR(VLOOKUP('PR Grupo'!V$3&amp;'PR Grupo'!$G34,'Plan CP'!$K:$P,3,FALSE),0),0)))</f>
        <v>0</v>
      </c>
      <c r="W34" s="58">
        <f>IF(V34&gt;1,V34-1,IF(COUNTIFS('Plan CP'!$O:$O,'PR Grupo'!$G34,'Plan CP'!$P:$P,'PR Grupo'!W$3,'Plan CP'!$M:$M,1)=1,1,IF(IFERROR(VLOOKUP('PR Grupo'!W$3&amp;'PR Grupo'!$G34,'Plan CP'!$K:$P,3,FALSE)&gt;1,0),IFERROR(VLOOKUP('PR Grupo'!W$3&amp;'PR Grupo'!$G34,'Plan CP'!$K:$P,3,FALSE),0),0)))</f>
        <v>0</v>
      </c>
      <c r="X34" s="58">
        <f>IF(W34&gt;1,W34-1,IF(COUNTIFS('Plan CP'!$O:$O,'PR Grupo'!$G34,'Plan CP'!$P:$P,'PR Grupo'!X$3,'Plan CP'!$M:$M,1)=1,1,IF(IFERROR(VLOOKUP('PR Grupo'!X$3&amp;'PR Grupo'!$G34,'Plan CP'!$K:$P,3,FALSE)&gt;1,0),IFERROR(VLOOKUP('PR Grupo'!X$3&amp;'PR Grupo'!$G34,'Plan CP'!$K:$P,3,FALSE),0),0)))</f>
        <v>0</v>
      </c>
      <c r="Y34" s="58">
        <f>IF(X34&gt;1,X34-1,IF(COUNTIFS('Plan CP'!$O:$O,'PR Grupo'!$G34,'Plan CP'!$P:$P,'PR Grupo'!Y$3,'Plan CP'!$M:$M,1)=1,1,IF(IFERROR(VLOOKUP('PR Grupo'!Y$3&amp;'PR Grupo'!$G34,'Plan CP'!$K:$P,3,FALSE)&gt;1,0),IFERROR(VLOOKUP('PR Grupo'!Y$3&amp;'PR Grupo'!$G34,'Plan CP'!$K:$P,3,FALSE),0),0)))</f>
        <v>0</v>
      </c>
      <c r="Z34" s="58">
        <f>IF(Y34&gt;1,Y34-1,IF(COUNTIFS('Plan CP'!$O:$O,'PR Grupo'!$G34,'Plan CP'!$P:$P,'PR Grupo'!Z$3,'Plan CP'!$M:$M,1)=1,1,IF(IFERROR(VLOOKUP('PR Grupo'!Z$3&amp;'PR Grupo'!$G34,'Plan CP'!$K:$P,3,FALSE)&gt;1,0),IFERROR(VLOOKUP('PR Grupo'!Z$3&amp;'PR Grupo'!$G34,'Plan CP'!$K:$P,3,FALSE),0),0)))</f>
        <v>0</v>
      </c>
      <c r="AA34" s="58">
        <f>IF(Z34&gt;1,Z34-1,IF(COUNTIFS('Plan CP'!$O:$O,'PR Grupo'!$G34,'Plan CP'!$P:$P,'PR Grupo'!AA$3,'Plan CP'!$M:$M,1)=1,1,IF(IFERROR(VLOOKUP('PR Grupo'!AA$3&amp;'PR Grupo'!$G34,'Plan CP'!$K:$P,3,FALSE)&gt;1,0),IFERROR(VLOOKUP('PR Grupo'!AA$3&amp;'PR Grupo'!$G34,'Plan CP'!$K:$P,3,FALSE),0),0)))</f>
        <v>0</v>
      </c>
      <c r="AB34" s="58">
        <f>IF(AA34&gt;1,AA34-1,IF(COUNTIFS('Plan CP'!$O:$O,'PR Grupo'!$G34,'Plan CP'!$P:$P,'PR Grupo'!AB$3,'Plan CP'!$M:$M,1)=1,1,IF(IFERROR(VLOOKUP('PR Grupo'!AB$3&amp;'PR Grupo'!$G34,'Plan CP'!$K:$P,3,FALSE)&gt;1,0),IFERROR(VLOOKUP('PR Grupo'!AB$3&amp;'PR Grupo'!$G34,'Plan CP'!$K:$P,3,FALSE),0),0)))</f>
        <v>0</v>
      </c>
      <c r="AC34" s="58">
        <f>IF(AB34&gt;1,AB34-1,IF(COUNTIFS('Plan CP'!$O:$O,'PR Grupo'!$G34,'Plan CP'!$P:$P,'PR Grupo'!AC$3,'Plan CP'!$M:$M,1)=1,1,IF(IFERROR(VLOOKUP('PR Grupo'!AC$3&amp;'PR Grupo'!$G34,'Plan CP'!$K:$P,3,FALSE)&gt;1,0),IFERROR(VLOOKUP('PR Grupo'!AC$3&amp;'PR Grupo'!$G34,'Plan CP'!$K:$P,3,FALSE),0),0)))</f>
        <v>0</v>
      </c>
      <c r="AD34" s="58">
        <f>IF(AC34&gt;1,AC34-1,IF(COUNTIFS('Plan CP'!$O:$O,'PR Grupo'!$G34,'Plan CP'!$P:$P,'PR Grupo'!AD$3,'Plan CP'!$M:$M,1)=1,1,IF(IFERROR(VLOOKUP('PR Grupo'!AD$3&amp;'PR Grupo'!$G34,'Plan CP'!$K:$P,3,FALSE)&gt;1,0),IFERROR(VLOOKUP('PR Grupo'!AD$3&amp;'PR Grupo'!$G34,'Plan CP'!$K:$P,3,FALSE),0),0)))</f>
        <v>1</v>
      </c>
      <c r="AE34" s="58">
        <f>IF(AD34&gt;1,AD34-1,IF(COUNTIFS('Plan CP'!$O:$O,'PR Grupo'!$G34,'Plan CP'!$P:$P,'PR Grupo'!AE$3,'Plan CP'!$M:$M,1)=1,1,IF(IFERROR(VLOOKUP('PR Grupo'!AE$3&amp;'PR Grupo'!$G34,'Plan CP'!$K:$P,3,FALSE)&gt;1,0),IFERROR(VLOOKUP('PR Grupo'!AE$3&amp;'PR Grupo'!$G34,'Plan CP'!$K:$P,3,FALSE),0),0)))</f>
        <v>1</v>
      </c>
      <c r="AF34" s="58">
        <f>IF(AE34&gt;1,AE34-1,IF(COUNTIFS('Plan CP'!$O:$O,'PR Grupo'!$G34,'Plan CP'!$P:$P,'PR Grupo'!AF$3,'Plan CP'!$M:$M,1)=1,1,IF(IFERROR(VLOOKUP('PR Grupo'!AF$3&amp;'PR Grupo'!$G34,'Plan CP'!$K:$P,3,FALSE)&gt;1,0),IFERROR(VLOOKUP('PR Grupo'!AF$3&amp;'PR Grupo'!$G34,'Plan CP'!$K:$P,3,FALSE),0),0)))</f>
        <v>1</v>
      </c>
      <c r="AG34" s="58">
        <f>IF(AF34&gt;1,AF34-1,IF(COUNTIFS('Plan CP'!$O:$O,'PR Grupo'!$G34,'Plan CP'!$P:$P,'PR Grupo'!AG$3,'Plan CP'!$M:$M,1)=1,1,IF(IFERROR(VLOOKUP('PR Grupo'!AG$3&amp;'PR Grupo'!$G34,'Plan CP'!$K:$P,3,FALSE)&gt;1,0),IFERROR(VLOOKUP('PR Grupo'!AG$3&amp;'PR Grupo'!$G34,'Plan CP'!$K:$P,3,FALSE),0),0)))</f>
        <v>1</v>
      </c>
      <c r="AH34" s="58">
        <f>IF(AG34&gt;1,AG34-1,IF(COUNTIFS('Plan CP'!$O:$O,'PR Grupo'!$G34,'Plan CP'!$P:$P,'PR Grupo'!AH$3,'Plan CP'!$M:$M,1)=1,1,IF(IFERROR(VLOOKUP('PR Grupo'!AH$3&amp;'PR Grupo'!$G34,'Plan CP'!$K:$P,3,FALSE)&gt;1,0),IFERROR(VLOOKUP('PR Grupo'!AH$3&amp;'PR Grupo'!$G34,'Plan CP'!$K:$P,3,FALSE),0),0)))</f>
        <v>1</v>
      </c>
      <c r="AI34" s="58">
        <f>IF(AH34&gt;1,AH34-1,IF(COUNTIFS('Plan CP'!$O:$O,'PR Grupo'!$G34,'Plan CP'!$P:$P,'PR Grupo'!AI$3,'Plan CP'!$M:$M,1)=1,1,IF(IFERROR(VLOOKUP('PR Grupo'!AI$3&amp;'PR Grupo'!$G34,'Plan CP'!$K:$P,3,FALSE)&gt;1,0),IFERROR(VLOOKUP('PR Grupo'!AI$3&amp;'PR Grupo'!$G34,'Plan CP'!$K:$P,3,FALSE),0),0)))</f>
        <v>1</v>
      </c>
      <c r="AJ34" s="58">
        <f>IF(AI34&gt;1,AI34-1,IF(COUNTIFS('Plan CP'!$O:$O,'PR Grupo'!$G34,'Plan CP'!$P:$P,'PR Grupo'!AJ$3,'Plan CP'!$M:$M,1)=1,1,IF(IFERROR(VLOOKUP('PR Grupo'!AJ$3&amp;'PR Grupo'!$G34,'Plan CP'!$K:$P,3,FALSE)&gt;1,0),IFERROR(VLOOKUP('PR Grupo'!AJ$3&amp;'PR Grupo'!$G34,'Plan CP'!$K:$P,3,FALSE),0),0)))</f>
        <v>1</v>
      </c>
      <c r="AK34" s="58">
        <f>IF(AJ34&gt;1,AJ34-1,IF(COUNTIFS('Plan CP'!$O:$O,'PR Grupo'!$G34,'Plan CP'!$P:$P,'PR Grupo'!AK$3,'Plan CP'!$M:$M,1)=1,1,IF(IFERROR(VLOOKUP('PR Grupo'!AK$3&amp;'PR Grupo'!$G34,'Plan CP'!$K:$P,3,FALSE)&gt;1,0),IFERROR(VLOOKUP('PR Grupo'!AK$3&amp;'PR Grupo'!$G34,'Plan CP'!$K:$P,3,FALSE),0),0)))</f>
        <v>1</v>
      </c>
      <c r="AL34" s="58">
        <f>IF(AK34&gt;1,AK34-1,IF(COUNTIFS('Plan CP'!$O:$O,'PR Grupo'!$G34,'Plan CP'!$P:$P,'PR Grupo'!AL$3,'Plan CP'!$M:$M,1)=1,1,IF(IFERROR(VLOOKUP('PR Grupo'!AL$3&amp;'PR Grupo'!$G34,'Plan CP'!$K:$P,3,FALSE)&gt;1,0),IFERROR(VLOOKUP('PR Grupo'!AL$3&amp;'PR Grupo'!$G34,'Plan CP'!$K:$P,3,FALSE),0),0)))</f>
        <v>1</v>
      </c>
      <c r="AM34" s="58">
        <f>IF(AL34&gt;1,AL34-1,IF(COUNTIFS('Plan CP'!$O:$O,'PR Grupo'!$G34,'Plan CP'!$P:$P,'PR Grupo'!AM$3,'Plan CP'!$M:$M,1)=1,1,IF(IFERROR(VLOOKUP('PR Grupo'!AM$3&amp;'PR Grupo'!$G34,'Plan CP'!$K:$P,3,FALSE)&gt;1,0),IFERROR(VLOOKUP('PR Grupo'!AM$3&amp;'PR Grupo'!$G34,'Plan CP'!$K:$P,3,FALSE),0),0)))</f>
        <v>1</v>
      </c>
      <c r="AN34" s="58">
        <f>IF(AM34&gt;1,AM34-1,IF(COUNTIFS('Plan CP'!$O:$O,'PR Grupo'!$G34,'Plan CP'!$P:$P,'PR Grupo'!AN$3,'Plan CP'!$M:$M,1)=1,1,IF(IFERROR(VLOOKUP('PR Grupo'!AN$3&amp;'PR Grupo'!$G34,'Plan CP'!$K:$P,3,FALSE)&gt;1,0),IFERROR(VLOOKUP('PR Grupo'!AN$3&amp;'PR Grupo'!$G34,'Plan CP'!$K:$P,3,FALSE),0),0)))</f>
        <v>1</v>
      </c>
      <c r="AO34" s="58">
        <f>IF(AN34&gt;1,AN34-1,IF(COUNTIFS('Plan CP'!$O:$O,'PR Grupo'!$G34,'Plan CP'!$P:$P,'PR Grupo'!AO$3,'Plan CP'!$M:$M,1)=1,1,IF(IFERROR(VLOOKUP('PR Grupo'!AO$3&amp;'PR Grupo'!$G34,'Plan CP'!$K:$P,3,FALSE)&gt;1,0),IFERROR(VLOOKUP('PR Grupo'!AO$3&amp;'PR Grupo'!$G34,'Plan CP'!$K:$P,3,FALSE),0),0)))</f>
        <v>0</v>
      </c>
    </row>
    <row r="35" spans="1:41">
      <c r="A35" s="21" t="s">
        <v>33</v>
      </c>
      <c r="B35" s="21" t="s">
        <v>40</v>
      </c>
      <c r="C35" s="21" t="s">
        <v>227</v>
      </c>
      <c r="D35" s="21" t="s">
        <v>265</v>
      </c>
      <c r="E35" s="24" t="s">
        <v>177</v>
      </c>
      <c r="F35" s="21" t="s">
        <v>265</v>
      </c>
      <c r="G35" s="33" t="s">
        <v>191</v>
      </c>
      <c r="H35" s="24">
        <v>15</v>
      </c>
      <c r="I35" s="33">
        <f t="shared" si="2"/>
        <v>18</v>
      </c>
      <c r="J35" s="33" t="str">
        <f t="shared" si="3"/>
        <v>OK</v>
      </c>
      <c r="K35" s="58">
        <f>IF(COUNTIFS('Plan CP'!$O:$O,'PR Grupo'!$G35,'Plan CP'!$P:$P,'PR Grupo'!K$3,'Plan CP'!$M:$M,1)=1,1,IF(IFERROR(VLOOKUP('PR Grupo'!K$3&amp;'PR Grupo'!$G35,'Plan CP'!$K:$P,3,FALSE)&gt;1,0),IFERROR(VLOOKUP('PR Grupo'!K$3&amp;'PR Grupo'!$G35,'Plan CP'!$K:$P,3,FALSE),0),0))</f>
        <v>1</v>
      </c>
      <c r="L35" s="58">
        <f>IF(K35&gt;1,K35-1,IF(COUNTIFS('Plan CP'!$O:$O,'PR Grupo'!$G35,'Plan CP'!$P:$P,'PR Grupo'!L$3,'Plan CP'!$M:$M,1)=1,1,IF(IFERROR(VLOOKUP('PR Grupo'!L$3&amp;'PR Grupo'!$G35,'Plan CP'!$K:$P,3,FALSE)&gt;1,0),IFERROR(VLOOKUP('PR Grupo'!L$3&amp;'PR Grupo'!$G35,'Plan CP'!$K:$P,3,FALSE),0),0)))</f>
        <v>1</v>
      </c>
      <c r="M35" s="58">
        <f>IF(L35&gt;1,L35-1,IF(COUNTIFS('Plan CP'!$O:$O,'PR Grupo'!$G35,'Plan CP'!$P:$P,'PR Grupo'!M$3,'Plan CP'!$M:$M,1)=1,1,IF(IFERROR(VLOOKUP('PR Grupo'!M$3&amp;'PR Grupo'!$G35,'Plan CP'!$K:$P,3,FALSE)&gt;1,0),IFERROR(VLOOKUP('PR Grupo'!M$3&amp;'PR Grupo'!$G35,'Plan CP'!$K:$P,3,FALSE),0),0)))</f>
        <v>1</v>
      </c>
      <c r="N35" s="58">
        <f>IF(M35&gt;1,M35-1,IF(COUNTIFS('Plan CP'!$O:$O,'PR Grupo'!$G35,'Plan CP'!$P:$P,'PR Grupo'!N$3,'Plan CP'!$M:$M,1)=1,1,IF(IFERROR(VLOOKUP('PR Grupo'!N$3&amp;'PR Grupo'!$G35,'Plan CP'!$K:$P,3,FALSE)&gt;1,0),IFERROR(VLOOKUP('PR Grupo'!N$3&amp;'PR Grupo'!$G35,'Plan CP'!$K:$P,3,FALSE),0),0)))</f>
        <v>1</v>
      </c>
      <c r="O35" s="58">
        <f>IF(N35&gt;1,N35-1,IF(COUNTIFS('Plan CP'!$O:$O,'PR Grupo'!$G35,'Plan CP'!$P:$P,'PR Grupo'!O$3,'Plan CP'!$M:$M,1)=1,1,IF(IFERROR(VLOOKUP('PR Grupo'!O$3&amp;'PR Grupo'!$G35,'Plan CP'!$K:$P,3,FALSE)&gt;1,0),IFERROR(VLOOKUP('PR Grupo'!O$3&amp;'PR Grupo'!$G35,'Plan CP'!$K:$P,3,FALSE),0),0)))</f>
        <v>1</v>
      </c>
      <c r="P35" s="58">
        <f>IF(O35&gt;1,O35-1,IF(COUNTIFS('Plan CP'!$O:$O,'PR Grupo'!$G35,'Plan CP'!$P:$P,'PR Grupo'!P$3,'Plan CP'!$M:$M,1)=1,1,IF(IFERROR(VLOOKUP('PR Grupo'!P$3&amp;'PR Grupo'!$G35,'Plan CP'!$K:$P,3,FALSE)&gt;1,0),IFERROR(VLOOKUP('PR Grupo'!P$3&amp;'PR Grupo'!$G35,'Plan CP'!$K:$P,3,FALSE),0),0)))</f>
        <v>1</v>
      </c>
      <c r="Q35" s="58">
        <f>IF(P35&gt;1,P35-1,IF(COUNTIFS('Plan CP'!$O:$O,'PR Grupo'!$G35,'Plan CP'!$P:$P,'PR Grupo'!Q$3,'Plan CP'!$M:$M,1)=1,1,IF(IFERROR(VLOOKUP('PR Grupo'!Q$3&amp;'PR Grupo'!$G35,'Plan CP'!$K:$P,3,FALSE)&gt;1,0),IFERROR(VLOOKUP('PR Grupo'!Q$3&amp;'PR Grupo'!$G35,'Plan CP'!$K:$P,3,FALSE),0),0)))</f>
        <v>1</v>
      </c>
      <c r="R35" s="58">
        <f>IF(Q35&gt;1,Q35-1,IF(COUNTIFS('Plan CP'!$O:$O,'PR Grupo'!$G35,'Plan CP'!$P:$P,'PR Grupo'!R$3,'Plan CP'!$M:$M,1)=1,1,IF(IFERROR(VLOOKUP('PR Grupo'!R$3&amp;'PR Grupo'!$G35,'Plan CP'!$K:$P,3,FALSE)&gt;1,0),IFERROR(VLOOKUP('PR Grupo'!R$3&amp;'PR Grupo'!$G35,'Plan CP'!$K:$P,3,FALSE),0),0)))</f>
        <v>0</v>
      </c>
      <c r="S35" s="58">
        <f>IF(R35&gt;1,R35-1,IF(COUNTIFS('Plan CP'!$O:$O,'PR Grupo'!$G35,'Plan CP'!$P:$P,'PR Grupo'!S$3,'Plan CP'!$M:$M,1)=1,1,IF(IFERROR(VLOOKUP('PR Grupo'!S$3&amp;'PR Grupo'!$G35,'Plan CP'!$K:$P,3,FALSE)&gt;1,0),IFERROR(VLOOKUP('PR Grupo'!S$3&amp;'PR Grupo'!$G35,'Plan CP'!$K:$P,3,FALSE),0),0)))</f>
        <v>0</v>
      </c>
      <c r="T35" s="58">
        <f>IF(S35&gt;1,S35-1,IF(COUNTIFS('Plan CP'!$O:$O,'PR Grupo'!$G35,'Plan CP'!$P:$P,'PR Grupo'!T$3,'Plan CP'!$M:$M,1)=1,1,IF(IFERROR(VLOOKUP('PR Grupo'!T$3&amp;'PR Grupo'!$G35,'Plan CP'!$K:$P,3,FALSE)&gt;1,0),IFERROR(VLOOKUP('PR Grupo'!T$3&amp;'PR Grupo'!$G35,'Plan CP'!$K:$P,3,FALSE),0),0)))</f>
        <v>0</v>
      </c>
      <c r="U35" s="58">
        <f>IF(T35&gt;1,T35-1,IF(COUNTIFS('Plan CP'!$O:$O,'PR Grupo'!$G35,'Plan CP'!$P:$P,'PR Grupo'!U$3,'Plan CP'!$M:$M,1)=1,1,IF(IFERROR(VLOOKUP('PR Grupo'!U$3&amp;'PR Grupo'!$G35,'Plan CP'!$K:$P,3,FALSE)&gt;1,0),IFERROR(VLOOKUP('PR Grupo'!U$3&amp;'PR Grupo'!$G35,'Plan CP'!$K:$P,3,FALSE),0),0)))</f>
        <v>0</v>
      </c>
      <c r="V35" s="58">
        <f>IF(U35&gt;1,U35-1,IF(COUNTIFS('Plan CP'!$O:$O,'PR Grupo'!$G35,'Plan CP'!$P:$P,'PR Grupo'!V$3,'Plan CP'!$M:$M,1)=1,1,IF(IFERROR(VLOOKUP('PR Grupo'!V$3&amp;'PR Grupo'!$G35,'Plan CP'!$K:$P,3,FALSE)&gt;1,0),IFERROR(VLOOKUP('PR Grupo'!V$3&amp;'PR Grupo'!$G35,'Plan CP'!$K:$P,3,FALSE),0),0)))</f>
        <v>0</v>
      </c>
      <c r="W35" s="58">
        <f>IF(V35&gt;1,V35-1,IF(COUNTIFS('Plan CP'!$O:$O,'PR Grupo'!$G35,'Plan CP'!$P:$P,'PR Grupo'!W$3,'Plan CP'!$M:$M,1)=1,1,IF(IFERROR(VLOOKUP('PR Grupo'!W$3&amp;'PR Grupo'!$G35,'Plan CP'!$K:$P,3,FALSE)&gt;1,0),IFERROR(VLOOKUP('PR Grupo'!W$3&amp;'PR Grupo'!$G35,'Plan CP'!$K:$P,3,FALSE),0),0)))</f>
        <v>0</v>
      </c>
      <c r="X35" s="58">
        <f>IF(W35&gt;1,W35-1,IF(COUNTIFS('Plan CP'!$O:$O,'PR Grupo'!$G35,'Plan CP'!$P:$P,'PR Grupo'!X$3,'Plan CP'!$M:$M,1)=1,1,IF(IFERROR(VLOOKUP('PR Grupo'!X$3&amp;'PR Grupo'!$G35,'Plan CP'!$K:$P,3,FALSE)&gt;1,0),IFERROR(VLOOKUP('PR Grupo'!X$3&amp;'PR Grupo'!$G35,'Plan CP'!$K:$P,3,FALSE),0),0)))</f>
        <v>0</v>
      </c>
      <c r="Y35" s="58">
        <f>IF(X35&gt;1,X35-1,IF(COUNTIFS('Plan CP'!$O:$O,'PR Grupo'!$G35,'Plan CP'!$P:$P,'PR Grupo'!Y$3,'Plan CP'!$M:$M,1)=1,1,IF(IFERROR(VLOOKUP('PR Grupo'!Y$3&amp;'PR Grupo'!$G35,'Plan CP'!$K:$P,3,FALSE)&gt;1,0),IFERROR(VLOOKUP('PR Grupo'!Y$3&amp;'PR Grupo'!$G35,'Plan CP'!$K:$P,3,FALSE),0),0)))</f>
        <v>0</v>
      </c>
      <c r="Z35" s="58">
        <f>IF(Y35&gt;1,Y35-1,IF(COUNTIFS('Plan CP'!$O:$O,'PR Grupo'!$G35,'Plan CP'!$P:$P,'PR Grupo'!Z$3,'Plan CP'!$M:$M,1)=1,1,IF(IFERROR(VLOOKUP('PR Grupo'!Z$3&amp;'PR Grupo'!$G35,'Plan CP'!$K:$P,3,FALSE)&gt;1,0),IFERROR(VLOOKUP('PR Grupo'!Z$3&amp;'PR Grupo'!$G35,'Plan CP'!$K:$P,3,FALSE),0),0)))</f>
        <v>0</v>
      </c>
      <c r="AA35" s="58">
        <f>IF(Z35&gt;1,Z35-1,IF(COUNTIFS('Plan CP'!$O:$O,'PR Grupo'!$G35,'Plan CP'!$P:$P,'PR Grupo'!AA$3,'Plan CP'!$M:$M,1)=1,1,IF(IFERROR(VLOOKUP('PR Grupo'!AA$3&amp;'PR Grupo'!$G35,'Plan CP'!$K:$P,3,FALSE)&gt;1,0),IFERROR(VLOOKUP('PR Grupo'!AA$3&amp;'PR Grupo'!$G35,'Plan CP'!$K:$P,3,FALSE),0),0)))</f>
        <v>0</v>
      </c>
      <c r="AB35" s="58">
        <f>IF(AA35&gt;1,AA35-1,IF(COUNTIFS('Plan CP'!$O:$O,'PR Grupo'!$G35,'Plan CP'!$P:$P,'PR Grupo'!AB$3,'Plan CP'!$M:$M,1)=1,1,IF(IFERROR(VLOOKUP('PR Grupo'!AB$3&amp;'PR Grupo'!$G35,'Plan CP'!$K:$P,3,FALSE)&gt;1,0),IFERROR(VLOOKUP('PR Grupo'!AB$3&amp;'PR Grupo'!$G35,'Plan CP'!$K:$P,3,FALSE),0),0)))</f>
        <v>0</v>
      </c>
      <c r="AC35" s="58">
        <f>IF(AB35&gt;1,AB35-1,IF(COUNTIFS('Plan CP'!$O:$O,'PR Grupo'!$G35,'Plan CP'!$P:$P,'PR Grupo'!AC$3,'Plan CP'!$M:$M,1)=1,1,IF(IFERROR(VLOOKUP('PR Grupo'!AC$3&amp;'PR Grupo'!$G35,'Plan CP'!$K:$P,3,FALSE)&gt;1,0),IFERROR(VLOOKUP('PR Grupo'!AC$3&amp;'PR Grupo'!$G35,'Plan CP'!$K:$P,3,FALSE),0),0)))</f>
        <v>0</v>
      </c>
      <c r="AD35" s="58">
        <f>IF(AC35&gt;1,AC35-1,IF(COUNTIFS('Plan CP'!$O:$O,'PR Grupo'!$G35,'Plan CP'!$P:$P,'PR Grupo'!AD$3,'Plan CP'!$M:$M,1)=1,1,IF(IFERROR(VLOOKUP('PR Grupo'!AD$3&amp;'PR Grupo'!$G35,'Plan CP'!$K:$P,3,FALSE)&gt;1,0),IFERROR(VLOOKUP('PR Grupo'!AD$3&amp;'PR Grupo'!$G35,'Plan CP'!$K:$P,3,FALSE),0),0)))</f>
        <v>1</v>
      </c>
      <c r="AE35" s="58">
        <f>IF(AD35&gt;1,AD35-1,IF(COUNTIFS('Plan CP'!$O:$O,'PR Grupo'!$G35,'Plan CP'!$P:$P,'PR Grupo'!AE$3,'Plan CP'!$M:$M,1)=1,1,IF(IFERROR(VLOOKUP('PR Grupo'!AE$3&amp;'PR Grupo'!$G35,'Plan CP'!$K:$P,3,FALSE)&gt;1,0),IFERROR(VLOOKUP('PR Grupo'!AE$3&amp;'PR Grupo'!$G35,'Plan CP'!$K:$P,3,FALSE),0),0)))</f>
        <v>1</v>
      </c>
      <c r="AF35" s="58">
        <f>IF(AE35&gt;1,AE35-1,IF(COUNTIFS('Plan CP'!$O:$O,'PR Grupo'!$G35,'Plan CP'!$P:$P,'PR Grupo'!AF$3,'Plan CP'!$M:$M,1)=1,1,IF(IFERROR(VLOOKUP('PR Grupo'!AF$3&amp;'PR Grupo'!$G35,'Plan CP'!$K:$P,3,FALSE)&gt;1,0),IFERROR(VLOOKUP('PR Grupo'!AF$3&amp;'PR Grupo'!$G35,'Plan CP'!$K:$P,3,FALSE),0),0)))</f>
        <v>1</v>
      </c>
      <c r="AG35" s="58">
        <f>IF(AF35&gt;1,AF35-1,IF(COUNTIFS('Plan CP'!$O:$O,'PR Grupo'!$G35,'Plan CP'!$P:$P,'PR Grupo'!AG$3,'Plan CP'!$M:$M,1)=1,1,IF(IFERROR(VLOOKUP('PR Grupo'!AG$3&amp;'PR Grupo'!$G35,'Plan CP'!$K:$P,3,FALSE)&gt;1,0),IFERROR(VLOOKUP('PR Grupo'!AG$3&amp;'PR Grupo'!$G35,'Plan CP'!$K:$P,3,FALSE),0),0)))</f>
        <v>1</v>
      </c>
      <c r="AH35" s="58">
        <f>IF(AG35&gt;1,AG35-1,IF(COUNTIFS('Plan CP'!$O:$O,'PR Grupo'!$G35,'Plan CP'!$P:$P,'PR Grupo'!AH$3,'Plan CP'!$M:$M,1)=1,1,IF(IFERROR(VLOOKUP('PR Grupo'!AH$3&amp;'PR Grupo'!$G35,'Plan CP'!$K:$P,3,FALSE)&gt;1,0),IFERROR(VLOOKUP('PR Grupo'!AH$3&amp;'PR Grupo'!$G35,'Plan CP'!$K:$P,3,FALSE),0),0)))</f>
        <v>1</v>
      </c>
      <c r="AI35" s="58">
        <f>IF(AH35&gt;1,AH35-1,IF(COUNTIFS('Plan CP'!$O:$O,'PR Grupo'!$G35,'Plan CP'!$P:$P,'PR Grupo'!AI$3,'Plan CP'!$M:$M,1)=1,1,IF(IFERROR(VLOOKUP('PR Grupo'!AI$3&amp;'PR Grupo'!$G35,'Plan CP'!$K:$P,3,FALSE)&gt;1,0),IFERROR(VLOOKUP('PR Grupo'!AI$3&amp;'PR Grupo'!$G35,'Plan CP'!$K:$P,3,FALSE),0),0)))</f>
        <v>1</v>
      </c>
      <c r="AJ35" s="58">
        <f>IF(AI35&gt;1,AI35-1,IF(COUNTIFS('Plan CP'!$O:$O,'PR Grupo'!$G35,'Plan CP'!$P:$P,'PR Grupo'!AJ$3,'Plan CP'!$M:$M,1)=1,1,IF(IFERROR(VLOOKUP('PR Grupo'!AJ$3&amp;'PR Grupo'!$G35,'Plan CP'!$K:$P,3,FALSE)&gt;1,0),IFERROR(VLOOKUP('PR Grupo'!AJ$3&amp;'PR Grupo'!$G35,'Plan CP'!$K:$P,3,FALSE),0),0)))</f>
        <v>1</v>
      </c>
      <c r="AK35" s="58">
        <f>IF(AJ35&gt;1,AJ35-1,IF(COUNTIFS('Plan CP'!$O:$O,'PR Grupo'!$G35,'Plan CP'!$P:$P,'PR Grupo'!AK$3,'Plan CP'!$M:$M,1)=1,1,IF(IFERROR(VLOOKUP('PR Grupo'!AK$3&amp;'PR Grupo'!$G35,'Plan CP'!$K:$P,3,FALSE)&gt;1,0),IFERROR(VLOOKUP('PR Grupo'!AK$3&amp;'PR Grupo'!$G35,'Plan CP'!$K:$P,3,FALSE),0),0)))</f>
        <v>1</v>
      </c>
      <c r="AL35" s="58">
        <f>IF(AK35&gt;1,AK35-1,IF(COUNTIFS('Plan CP'!$O:$O,'PR Grupo'!$G35,'Plan CP'!$P:$P,'PR Grupo'!AL$3,'Plan CP'!$M:$M,1)=1,1,IF(IFERROR(VLOOKUP('PR Grupo'!AL$3&amp;'PR Grupo'!$G35,'Plan CP'!$K:$P,3,FALSE)&gt;1,0),IFERROR(VLOOKUP('PR Grupo'!AL$3&amp;'PR Grupo'!$G35,'Plan CP'!$K:$P,3,FALSE),0),0)))</f>
        <v>1</v>
      </c>
      <c r="AM35" s="58">
        <f>IF(AL35&gt;1,AL35-1,IF(COUNTIFS('Plan CP'!$O:$O,'PR Grupo'!$G35,'Plan CP'!$P:$P,'PR Grupo'!AM$3,'Plan CP'!$M:$M,1)=1,1,IF(IFERROR(VLOOKUP('PR Grupo'!AM$3&amp;'PR Grupo'!$G35,'Plan CP'!$K:$P,3,FALSE)&gt;1,0),IFERROR(VLOOKUP('PR Grupo'!AM$3&amp;'PR Grupo'!$G35,'Plan CP'!$K:$P,3,FALSE),0),0)))</f>
        <v>1</v>
      </c>
      <c r="AN35" s="58">
        <f>IF(AM35&gt;1,AM35-1,IF(COUNTIFS('Plan CP'!$O:$O,'PR Grupo'!$G35,'Plan CP'!$P:$P,'PR Grupo'!AN$3,'Plan CP'!$M:$M,1)=1,1,IF(IFERROR(VLOOKUP('PR Grupo'!AN$3&amp;'PR Grupo'!$G35,'Plan CP'!$K:$P,3,FALSE)&gt;1,0),IFERROR(VLOOKUP('PR Grupo'!AN$3&amp;'PR Grupo'!$G35,'Plan CP'!$K:$P,3,FALSE),0),0)))</f>
        <v>1</v>
      </c>
      <c r="AO35" s="58">
        <f>IF(AN35&gt;1,AN35-1,IF(COUNTIFS('Plan CP'!$O:$O,'PR Grupo'!$G35,'Plan CP'!$P:$P,'PR Grupo'!AO$3,'Plan CP'!$M:$M,1)=1,1,IF(IFERROR(VLOOKUP('PR Grupo'!AO$3&amp;'PR Grupo'!$G35,'Plan CP'!$K:$P,3,FALSE)&gt;1,0),IFERROR(VLOOKUP('PR Grupo'!AO$3&amp;'PR Grupo'!$G35,'Plan CP'!$K:$P,3,FALSE),0),0)))</f>
        <v>0</v>
      </c>
    </row>
    <row r="36" spans="1:41">
      <c r="A36" s="21" t="s">
        <v>33</v>
      </c>
      <c r="B36" s="21" t="s">
        <v>46</v>
      </c>
      <c r="C36" s="21" t="s">
        <v>228</v>
      </c>
      <c r="D36" s="21" t="s">
        <v>272</v>
      </c>
      <c r="E36" s="24" t="s">
        <v>177</v>
      </c>
      <c r="F36" s="21" t="s">
        <v>272</v>
      </c>
      <c r="G36" s="33" t="s">
        <v>191</v>
      </c>
      <c r="H36" s="24">
        <v>15</v>
      </c>
      <c r="I36" s="33">
        <f t="shared" si="2"/>
        <v>18</v>
      </c>
      <c r="J36" s="33" t="str">
        <f t="shared" si="3"/>
        <v>OK</v>
      </c>
      <c r="K36" s="58">
        <f>IF(COUNTIFS('Plan CP'!$O:$O,'PR Grupo'!$G36,'Plan CP'!$P:$P,'PR Grupo'!K$3,'Plan CP'!$M:$M,1)=1,1,IF(IFERROR(VLOOKUP('PR Grupo'!K$3&amp;'PR Grupo'!$G36,'Plan CP'!$K:$P,3,FALSE)&gt;1,0),IFERROR(VLOOKUP('PR Grupo'!K$3&amp;'PR Grupo'!$G36,'Plan CP'!$K:$P,3,FALSE),0),0))</f>
        <v>1</v>
      </c>
      <c r="L36" s="58">
        <f>IF(K36&gt;1,K36-1,IF(COUNTIFS('Plan CP'!$O:$O,'PR Grupo'!$G36,'Plan CP'!$P:$P,'PR Grupo'!L$3,'Plan CP'!$M:$M,1)=1,1,IF(IFERROR(VLOOKUP('PR Grupo'!L$3&amp;'PR Grupo'!$G36,'Plan CP'!$K:$P,3,FALSE)&gt;1,0),IFERROR(VLOOKUP('PR Grupo'!L$3&amp;'PR Grupo'!$G36,'Plan CP'!$K:$P,3,FALSE),0),0)))</f>
        <v>1</v>
      </c>
      <c r="M36" s="58">
        <f>IF(L36&gt;1,L36-1,IF(COUNTIFS('Plan CP'!$O:$O,'PR Grupo'!$G36,'Plan CP'!$P:$P,'PR Grupo'!M$3,'Plan CP'!$M:$M,1)=1,1,IF(IFERROR(VLOOKUP('PR Grupo'!M$3&amp;'PR Grupo'!$G36,'Plan CP'!$K:$P,3,FALSE)&gt;1,0),IFERROR(VLOOKUP('PR Grupo'!M$3&amp;'PR Grupo'!$G36,'Plan CP'!$K:$P,3,FALSE),0),0)))</f>
        <v>1</v>
      </c>
      <c r="N36" s="58">
        <f>IF(M36&gt;1,M36-1,IF(COUNTIFS('Plan CP'!$O:$O,'PR Grupo'!$G36,'Plan CP'!$P:$P,'PR Grupo'!N$3,'Plan CP'!$M:$M,1)=1,1,IF(IFERROR(VLOOKUP('PR Grupo'!N$3&amp;'PR Grupo'!$G36,'Plan CP'!$K:$P,3,FALSE)&gt;1,0),IFERROR(VLOOKUP('PR Grupo'!N$3&amp;'PR Grupo'!$G36,'Plan CP'!$K:$P,3,FALSE),0),0)))</f>
        <v>1</v>
      </c>
      <c r="O36" s="58">
        <f>IF(N36&gt;1,N36-1,IF(COUNTIFS('Plan CP'!$O:$O,'PR Grupo'!$G36,'Plan CP'!$P:$P,'PR Grupo'!O$3,'Plan CP'!$M:$M,1)=1,1,IF(IFERROR(VLOOKUP('PR Grupo'!O$3&amp;'PR Grupo'!$G36,'Plan CP'!$K:$P,3,FALSE)&gt;1,0),IFERROR(VLOOKUP('PR Grupo'!O$3&amp;'PR Grupo'!$G36,'Plan CP'!$K:$P,3,FALSE),0),0)))</f>
        <v>1</v>
      </c>
      <c r="P36" s="58">
        <f>IF(O36&gt;1,O36-1,IF(COUNTIFS('Plan CP'!$O:$O,'PR Grupo'!$G36,'Plan CP'!$P:$P,'PR Grupo'!P$3,'Plan CP'!$M:$M,1)=1,1,IF(IFERROR(VLOOKUP('PR Grupo'!P$3&amp;'PR Grupo'!$G36,'Plan CP'!$K:$P,3,FALSE)&gt;1,0),IFERROR(VLOOKUP('PR Grupo'!P$3&amp;'PR Grupo'!$G36,'Plan CP'!$K:$P,3,FALSE),0),0)))</f>
        <v>1</v>
      </c>
      <c r="Q36" s="58">
        <f>IF(P36&gt;1,P36-1,IF(COUNTIFS('Plan CP'!$O:$O,'PR Grupo'!$G36,'Plan CP'!$P:$P,'PR Grupo'!Q$3,'Plan CP'!$M:$M,1)=1,1,IF(IFERROR(VLOOKUP('PR Grupo'!Q$3&amp;'PR Grupo'!$G36,'Plan CP'!$K:$P,3,FALSE)&gt;1,0),IFERROR(VLOOKUP('PR Grupo'!Q$3&amp;'PR Grupo'!$G36,'Plan CP'!$K:$P,3,FALSE),0),0)))</f>
        <v>1</v>
      </c>
      <c r="R36" s="58">
        <f>IF(Q36&gt;1,Q36-1,IF(COUNTIFS('Plan CP'!$O:$O,'PR Grupo'!$G36,'Plan CP'!$P:$P,'PR Grupo'!R$3,'Plan CP'!$M:$M,1)=1,1,IF(IFERROR(VLOOKUP('PR Grupo'!R$3&amp;'PR Grupo'!$G36,'Plan CP'!$K:$P,3,FALSE)&gt;1,0),IFERROR(VLOOKUP('PR Grupo'!R$3&amp;'PR Grupo'!$G36,'Plan CP'!$K:$P,3,FALSE),0),0)))</f>
        <v>0</v>
      </c>
      <c r="S36" s="58">
        <f>IF(R36&gt;1,R36-1,IF(COUNTIFS('Plan CP'!$O:$O,'PR Grupo'!$G36,'Plan CP'!$P:$P,'PR Grupo'!S$3,'Plan CP'!$M:$M,1)=1,1,IF(IFERROR(VLOOKUP('PR Grupo'!S$3&amp;'PR Grupo'!$G36,'Plan CP'!$K:$P,3,FALSE)&gt;1,0),IFERROR(VLOOKUP('PR Grupo'!S$3&amp;'PR Grupo'!$G36,'Plan CP'!$K:$P,3,FALSE),0),0)))</f>
        <v>0</v>
      </c>
      <c r="T36" s="58">
        <f>IF(S36&gt;1,S36-1,IF(COUNTIFS('Plan CP'!$O:$O,'PR Grupo'!$G36,'Plan CP'!$P:$P,'PR Grupo'!T$3,'Plan CP'!$M:$M,1)=1,1,IF(IFERROR(VLOOKUP('PR Grupo'!T$3&amp;'PR Grupo'!$G36,'Plan CP'!$K:$P,3,FALSE)&gt;1,0),IFERROR(VLOOKUP('PR Grupo'!T$3&amp;'PR Grupo'!$G36,'Plan CP'!$K:$P,3,FALSE),0),0)))</f>
        <v>0</v>
      </c>
      <c r="U36" s="58">
        <f>IF(T36&gt;1,T36-1,IF(COUNTIFS('Plan CP'!$O:$O,'PR Grupo'!$G36,'Plan CP'!$P:$P,'PR Grupo'!U$3,'Plan CP'!$M:$M,1)=1,1,IF(IFERROR(VLOOKUP('PR Grupo'!U$3&amp;'PR Grupo'!$G36,'Plan CP'!$K:$P,3,FALSE)&gt;1,0),IFERROR(VLOOKUP('PR Grupo'!U$3&amp;'PR Grupo'!$G36,'Plan CP'!$K:$P,3,FALSE),0),0)))</f>
        <v>0</v>
      </c>
      <c r="V36" s="58">
        <f>IF(U36&gt;1,U36-1,IF(COUNTIFS('Plan CP'!$O:$O,'PR Grupo'!$G36,'Plan CP'!$P:$P,'PR Grupo'!V$3,'Plan CP'!$M:$M,1)=1,1,IF(IFERROR(VLOOKUP('PR Grupo'!V$3&amp;'PR Grupo'!$G36,'Plan CP'!$K:$P,3,FALSE)&gt;1,0),IFERROR(VLOOKUP('PR Grupo'!V$3&amp;'PR Grupo'!$G36,'Plan CP'!$K:$P,3,FALSE),0),0)))</f>
        <v>0</v>
      </c>
      <c r="W36" s="58">
        <f>IF(V36&gt;1,V36-1,IF(COUNTIFS('Plan CP'!$O:$O,'PR Grupo'!$G36,'Plan CP'!$P:$P,'PR Grupo'!W$3,'Plan CP'!$M:$M,1)=1,1,IF(IFERROR(VLOOKUP('PR Grupo'!W$3&amp;'PR Grupo'!$G36,'Plan CP'!$K:$P,3,FALSE)&gt;1,0),IFERROR(VLOOKUP('PR Grupo'!W$3&amp;'PR Grupo'!$G36,'Plan CP'!$K:$P,3,FALSE),0),0)))</f>
        <v>0</v>
      </c>
      <c r="X36" s="58">
        <f>IF(W36&gt;1,W36-1,IF(COUNTIFS('Plan CP'!$O:$O,'PR Grupo'!$G36,'Plan CP'!$P:$P,'PR Grupo'!X$3,'Plan CP'!$M:$M,1)=1,1,IF(IFERROR(VLOOKUP('PR Grupo'!X$3&amp;'PR Grupo'!$G36,'Plan CP'!$K:$P,3,FALSE)&gt;1,0),IFERROR(VLOOKUP('PR Grupo'!X$3&amp;'PR Grupo'!$G36,'Plan CP'!$K:$P,3,FALSE),0),0)))</f>
        <v>0</v>
      </c>
      <c r="Y36" s="58">
        <f>IF(X36&gt;1,X36-1,IF(COUNTIFS('Plan CP'!$O:$O,'PR Grupo'!$G36,'Plan CP'!$P:$P,'PR Grupo'!Y$3,'Plan CP'!$M:$M,1)=1,1,IF(IFERROR(VLOOKUP('PR Grupo'!Y$3&amp;'PR Grupo'!$G36,'Plan CP'!$K:$P,3,FALSE)&gt;1,0),IFERROR(VLOOKUP('PR Grupo'!Y$3&amp;'PR Grupo'!$G36,'Plan CP'!$K:$P,3,FALSE),0),0)))</f>
        <v>0</v>
      </c>
      <c r="Z36" s="58">
        <f>IF(Y36&gt;1,Y36-1,IF(COUNTIFS('Plan CP'!$O:$O,'PR Grupo'!$G36,'Plan CP'!$P:$P,'PR Grupo'!Z$3,'Plan CP'!$M:$M,1)=1,1,IF(IFERROR(VLOOKUP('PR Grupo'!Z$3&amp;'PR Grupo'!$G36,'Plan CP'!$K:$P,3,FALSE)&gt;1,0),IFERROR(VLOOKUP('PR Grupo'!Z$3&amp;'PR Grupo'!$G36,'Plan CP'!$K:$P,3,FALSE),0),0)))</f>
        <v>0</v>
      </c>
      <c r="AA36" s="58">
        <f>IF(Z36&gt;1,Z36-1,IF(COUNTIFS('Plan CP'!$O:$O,'PR Grupo'!$G36,'Plan CP'!$P:$P,'PR Grupo'!AA$3,'Plan CP'!$M:$M,1)=1,1,IF(IFERROR(VLOOKUP('PR Grupo'!AA$3&amp;'PR Grupo'!$G36,'Plan CP'!$K:$P,3,FALSE)&gt;1,0),IFERROR(VLOOKUP('PR Grupo'!AA$3&amp;'PR Grupo'!$G36,'Plan CP'!$K:$P,3,FALSE),0),0)))</f>
        <v>0</v>
      </c>
      <c r="AB36" s="58">
        <f>IF(AA36&gt;1,AA36-1,IF(COUNTIFS('Plan CP'!$O:$O,'PR Grupo'!$G36,'Plan CP'!$P:$P,'PR Grupo'!AB$3,'Plan CP'!$M:$M,1)=1,1,IF(IFERROR(VLOOKUP('PR Grupo'!AB$3&amp;'PR Grupo'!$G36,'Plan CP'!$K:$P,3,FALSE)&gt;1,0),IFERROR(VLOOKUP('PR Grupo'!AB$3&amp;'PR Grupo'!$G36,'Plan CP'!$K:$P,3,FALSE),0),0)))</f>
        <v>0</v>
      </c>
      <c r="AC36" s="58">
        <f>IF(AB36&gt;1,AB36-1,IF(COUNTIFS('Plan CP'!$O:$O,'PR Grupo'!$G36,'Plan CP'!$P:$P,'PR Grupo'!AC$3,'Plan CP'!$M:$M,1)=1,1,IF(IFERROR(VLOOKUP('PR Grupo'!AC$3&amp;'PR Grupo'!$G36,'Plan CP'!$K:$P,3,FALSE)&gt;1,0),IFERROR(VLOOKUP('PR Grupo'!AC$3&amp;'PR Grupo'!$G36,'Plan CP'!$K:$P,3,FALSE),0),0)))</f>
        <v>0</v>
      </c>
      <c r="AD36" s="58">
        <f>IF(AC36&gt;1,AC36-1,IF(COUNTIFS('Plan CP'!$O:$O,'PR Grupo'!$G36,'Plan CP'!$P:$P,'PR Grupo'!AD$3,'Plan CP'!$M:$M,1)=1,1,IF(IFERROR(VLOOKUP('PR Grupo'!AD$3&amp;'PR Grupo'!$G36,'Plan CP'!$K:$P,3,FALSE)&gt;1,0),IFERROR(VLOOKUP('PR Grupo'!AD$3&amp;'PR Grupo'!$G36,'Plan CP'!$K:$P,3,FALSE),0),0)))</f>
        <v>1</v>
      </c>
      <c r="AE36" s="58">
        <f>IF(AD36&gt;1,AD36-1,IF(COUNTIFS('Plan CP'!$O:$O,'PR Grupo'!$G36,'Plan CP'!$P:$P,'PR Grupo'!AE$3,'Plan CP'!$M:$M,1)=1,1,IF(IFERROR(VLOOKUP('PR Grupo'!AE$3&amp;'PR Grupo'!$G36,'Plan CP'!$K:$P,3,FALSE)&gt;1,0),IFERROR(VLOOKUP('PR Grupo'!AE$3&amp;'PR Grupo'!$G36,'Plan CP'!$K:$P,3,FALSE),0),0)))</f>
        <v>1</v>
      </c>
      <c r="AF36" s="58">
        <f>IF(AE36&gt;1,AE36-1,IF(COUNTIFS('Plan CP'!$O:$O,'PR Grupo'!$G36,'Plan CP'!$P:$P,'PR Grupo'!AF$3,'Plan CP'!$M:$M,1)=1,1,IF(IFERROR(VLOOKUP('PR Grupo'!AF$3&amp;'PR Grupo'!$G36,'Plan CP'!$K:$P,3,FALSE)&gt;1,0),IFERROR(VLOOKUP('PR Grupo'!AF$3&amp;'PR Grupo'!$G36,'Plan CP'!$K:$P,3,FALSE),0),0)))</f>
        <v>1</v>
      </c>
      <c r="AG36" s="58">
        <f>IF(AF36&gt;1,AF36-1,IF(COUNTIFS('Plan CP'!$O:$O,'PR Grupo'!$G36,'Plan CP'!$P:$P,'PR Grupo'!AG$3,'Plan CP'!$M:$M,1)=1,1,IF(IFERROR(VLOOKUP('PR Grupo'!AG$3&amp;'PR Grupo'!$G36,'Plan CP'!$K:$P,3,FALSE)&gt;1,0),IFERROR(VLOOKUP('PR Grupo'!AG$3&amp;'PR Grupo'!$G36,'Plan CP'!$K:$P,3,FALSE),0),0)))</f>
        <v>1</v>
      </c>
      <c r="AH36" s="58">
        <f>IF(AG36&gt;1,AG36-1,IF(COUNTIFS('Plan CP'!$O:$O,'PR Grupo'!$G36,'Plan CP'!$P:$P,'PR Grupo'!AH$3,'Plan CP'!$M:$M,1)=1,1,IF(IFERROR(VLOOKUP('PR Grupo'!AH$3&amp;'PR Grupo'!$G36,'Plan CP'!$K:$P,3,FALSE)&gt;1,0),IFERROR(VLOOKUP('PR Grupo'!AH$3&amp;'PR Grupo'!$G36,'Plan CP'!$K:$P,3,FALSE),0),0)))</f>
        <v>1</v>
      </c>
      <c r="AI36" s="58">
        <f>IF(AH36&gt;1,AH36-1,IF(COUNTIFS('Plan CP'!$O:$O,'PR Grupo'!$G36,'Plan CP'!$P:$P,'PR Grupo'!AI$3,'Plan CP'!$M:$M,1)=1,1,IF(IFERROR(VLOOKUP('PR Grupo'!AI$3&amp;'PR Grupo'!$G36,'Plan CP'!$K:$P,3,FALSE)&gt;1,0),IFERROR(VLOOKUP('PR Grupo'!AI$3&amp;'PR Grupo'!$G36,'Plan CP'!$K:$P,3,FALSE),0),0)))</f>
        <v>1</v>
      </c>
      <c r="AJ36" s="58">
        <f>IF(AI36&gt;1,AI36-1,IF(COUNTIFS('Plan CP'!$O:$O,'PR Grupo'!$G36,'Plan CP'!$P:$P,'PR Grupo'!AJ$3,'Plan CP'!$M:$M,1)=1,1,IF(IFERROR(VLOOKUP('PR Grupo'!AJ$3&amp;'PR Grupo'!$G36,'Plan CP'!$K:$P,3,FALSE)&gt;1,0),IFERROR(VLOOKUP('PR Grupo'!AJ$3&amp;'PR Grupo'!$G36,'Plan CP'!$K:$P,3,FALSE),0),0)))</f>
        <v>1</v>
      </c>
      <c r="AK36" s="58">
        <f>IF(AJ36&gt;1,AJ36-1,IF(COUNTIFS('Plan CP'!$O:$O,'PR Grupo'!$G36,'Plan CP'!$P:$P,'PR Grupo'!AK$3,'Plan CP'!$M:$M,1)=1,1,IF(IFERROR(VLOOKUP('PR Grupo'!AK$3&amp;'PR Grupo'!$G36,'Plan CP'!$K:$P,3,FALSE)&gt;1,0),IFERROR(VLOOKUP('PR Grupo'!AK$3&amp;'PR Grupo'!$G36,'Plan CP'!$K:$P,3,FALSE),0),0)))</f>
        <v>1</v>
      </c>
      <c r="AL36" s="58">
        <f>IF(AK36&gt;1,AK36-1,IF(COUNTIFS('Plan CP'!$O:$O,'PR Grupo'!$G36,'Plan CP'!$P:$P,'PR Grupo'!AL$3,'Plan CP'!$M:$M,1)=1,1,IF(IFERROR(VLOOKUP('PR Grupo'!AL$3&amp;'PR Grupo'!$G36,'Plan CP'!$K:$P,3,FALSE)&gt;1,0),IFERROR(VLOOKUP('PR Grupo'!AL$3&amp;'PR Grupo'!$G36,'Plan CP'!$K:$P,3,FALSE),0),0)))</f>
        <v>1</v>
      </c>
      <c r="AM36" s="58">
        <f>IF(AL36&gt;1,AL36-1,IF(COUNTIFS('Plan CP'!$O:$O,'PR Grupo'!$G36,'Plan CP'!$P:$P,'PR Grupo'!AM$3,'Plan CP'!$M:$M,1)=1,1,IF(IFERROR(VLOOKUP('PR Grupo'!AM$3&amp;'PR Grupo'!$G36,'Plan CP'!$K:$P,3,FALSE)&gt;1,0),IFERROR(VLOOKUP('PR Grupo'!AM$3&amp;'PR Grupo'!$G36,'Plan CP'!$K:$P,3,FALSE),0),0)))</f>
        <v>1</v>
      </c>
      <c r="AN36" s="58">
        <f>IF(AM36&gt;1,AM36-1,IF(COUNTIFS('Plan CP'!$O:$O,'PR Grupo'!$G36,'Plan CP'!$P:$P,'PR Grupo'!AN$3,'Plan CP'!$M:$M,1)=1,1,IF(IFERROR(VLOOKUP('PR Grupo'!AN$3&amp;'PR Grupo'!$G36,'Plan CP'!$K:$P,3,FALSE)&gt;1,0),IFERROR(VLOOKUP('PR Grupo'!AN$3&amp;'PR Grupo'!$G36,'Plan CP'!$K:$P,3,FALSE),0),0)))</f>
        <v>1</v>
      </c>
      <c r="AO36" s="58">
        <f>IF(AN36&gt;1,AN36-1,IF(COUNTIFS('Plan CP'!$O:$O,'PR Grupo'!$G36,'Plan CP'!$P:$P,'PR Grupo'!AO$3,'Plan CP'!$M:$M,1)=1,1,IF(IFERROR(VLOOKUP('PR Grupo'!AO$3&amp;'PR Grupo'!$G36,'Plan CP'!$K:$P,3,FALSE)&gt;1,0),IFERROR(VLOOKUP('PR Grupo'!AO$3&amp;'PR Grupo'!$G36,'Plan CP'!$K:$P,3,FALSE),0),0)))</f>
        <v>0</v>
      </c>
    </row>
    <row r="37" spans="1:41">
      <c r="A37" s="21" t="s">
        <v>33</v>
      </c>
      <c r="B37" s="21" t="s">
        <v>40</v>
      </c>
      <c r="C37" s="21" t="s">
        <v>229</v>
      </c>
      <c r="D37" s="21" t="s">
        <v>265</v>
      </c>
      <c r="E37" s="24" t="s">
        <v>177</v>
      </c>
      <c r="F37" s="21" t="s">
        <v>265</v>
      </c>
      <c r="G37" s="33" t="s">
        <v>191</v>
      </c>
      <c r="H37" s="24">
        <v>15</v>
      </c>
      <c r="I37" s="33">
        <f t="shared" si="2"/>
        <v>18</v>
      </c>
      <c r="J37" s="33" t="str">
        <f t="shared" si="3"/>
        <v>OK</v>
      </c>
      <c r="K37" s="58">
        <f>IF(COUNTIFS('Plan CP'!$O:$O,'PR Grupo'!$G37,'Plan CP'!$P:$P,'PR Grupo'!K$3,'Plan CP'!$M:$M,1)=1,1,IF(IFERROR(VLOOKUP('PR Grupo'!K$3&amp;'PR Grupo'!$G37,'Plan CP'!$K:$P,3,FALSE)&gt;1,0),IFERROR(VLOOKUP('PR Grupo'!K$3&amp;'PR Grupo'!$G37,'Plan CP'!$K:$P,3,FALSE),0),0))</f>
        <v>1</v>
      </c>
      <c r="L37" s="58">
        <f>IF(K37&gt;1,K37-1,IF(COUNTIFS('Plan CP'!$O:$O,'PR Grupo'!$G37,'Plan CP'!$P:$P,'PR Grupo'!L$3,'Plan CP'!$M:$M,1)=1,1,IF(IFERROR(VLOOKUP('PR Grupo'!L$3&amp;'PR Grupo'!$G37,'Plan CP'!$K:$P,3,FALSE)&gt;1,0),IFERROR(VLOOKUP('PR Grupo'!L$3&amp;'PR Grupo'!$G37,'Plan CP'!$K:$P,3,FALSE),0),0)))</f>
        <v>1</v>
      </c>
      <c r="M37" s="58">
        <f>IF(L37&gt;1,L37-1,IF(COUNTIFS('Plan CP'!$O:$O,'PR Grupo'!$G37,'Plan CP'!$P:$P,'PR Grupo'!M$3,'Plan CP'!$M:$M,1)=1,1,IF(IFERROR(VLOOKUP('PR Grupo'!M$3&amp;'PR Grupo'!$G37,'Plan CP'!$K:$P,3,FALSE)&gt;1,0),IFERROR(VLOOKUP('PR Grupo'!M$3&amp;'PR Grupo'!$G37,'Plan CP'!$K:$P,3,FALSE),0),0)))</f>
        <v>1</v>
      </c>
      <c r="N37" s="58">
        <f>IF(M37&gt;1,M37-1,IF(COUNTIFS('Plan CP'!$O:$O,'PR Grupo'!$G37,'Plan CP'!$P:$P,'PR Grupo'!N$3,'Plan CP'!$M:$M,1)=1,1,IF(IFERROR(VLOOKUP('PR Grupo'!N$3&amp;'PR Grupo'!$G37,'Plan CP'!$K:$P,3,FALSE)&gt;1,0),IFERROR(VLOOKUP('PR Grupo'!N$3&amp;'PR Grupo'!$G37,'Plan CP'!$K:$P,3,FALSE),0),0)))</f>
        <v>1</v>
      </c>
      <c r="O37" s="58">
        <f>IF(N37&gt;1,N37-1,IF(COUNTIFS('Plan CP'!$O:$O,'PR Grupo'!$G37,'Plan CP'!$P:$P,'PR Grupo'!O$3,'Plan CP'!$M:$M,1)=1,1,IF(IFERROR(VLOOKUP('PR Grupo'!O$3&amp;'PR Grupo'!$G37,'Plan CP'!$K:$P,3,FALSE)&gt;1,0),IFERROR(VLOOKUP('PR Grupo'!O$3&amp;'PR Grupo'!$G37,'Plan CP'!$K:$P,3,FALSE),0),0)))</f>
        <v>1</v>
      </c>
      <c r="P37" s="58">
        <f>IF(O37&gt;1,O37-1,IF(COUNTIFS('Plan CP'!$O:$O,'PR Grupo'!$G37,'Plan CP'!$P:$P,'PR Grupo'!P$3,'Plan CP'!$M:$M,1)=1,1,IF(IFERROR(VLOOKUP('PR Grupo'!P$3&amp;'PR Grupo'!$G37,'Plan CP'!$K:$P,3,FALSE)&gt;1,0),IFERROR(VLOOKUP('PR Grupo'!P$3&amp;'PR Grupo'!$G37,'Plan CP'!$K:$P,3,FALSE),0),0)))</f>
        <v>1</v>
      </c>
      <c r="Q37" s="58">
        <f>IF(P37&gt;1,P37-1,IF(COUNTIFS('Plan CP'!$O:$O,'PR Grupo'!$G37,'Plan CP'!$P:$P,'PR Grupo'!Q$3,'Plan CP'!$M:$M,1)=1,1,IF(IFERROR(VLOOKUP('PR Grupo'!Q$3&amp;'PR Grupo'!$G37,'Plan CP'!$K:$P,3,FALSE)&gt;1,0),IFERROR(VLOOKUP('PR Grupo'!Q$3&amp;'PR Grupo'!$G37,'Plan CP'!$K:$P,3,FALSE),0),0)))</f>
        <v>1</v>
      </c>
      <c r="R37" s="58">
        <f>IF(Q37&gt;1,Q37-1,IF(COUNTIFS('Plan CP'!$O:$O,'PR Grupo'!$G37,'Plan CP'!$P:$P,'PR Grupo'!R$3,'Plan CP'!$M:$M,1)=1,1,IF(IFERROR(VLOOKUP('PR Grupo'!R$3&amp;'PR Grupo'!$G37,'Plan CP'!$K:$P,3,FALSE)&gt;1,0),IFERROR(VLOOKUP('PR Grupo'!R$3&amp;'PR Grupo'!$G37,'Plan CP'!$K:$P,3,FALSE),0),0)))</f>
        <v>0</v>
      </c>
      <c r="S37" s="58">
        <f>IF(R37&gt;1,R37-1,IF(COUNTIFS('Plan CP'!$O:$O,'PR Grupo'!$G37,'Plan CP'!$P:$P,'PR Grupo'!S$3,'Plan CP'!$M:$M,1)=1,1,IF(IFERROR(VLOOKUP('PR Grupo'!S$3&amp;'PR Grupo'!$G37,'Plan CP'!$K:$P,3,FALSE)&gt;1,0),IFERROR(VLOOKUP('PR Grupo'!S$3&amp;'PR Grupo'!$G37,'Plan CP'!$K:$P,3,FALSE),0),0)))</f>
        <v>0</v>
      </c>
      <c r="T37" s="58">
        <f>IF(S37&gt;1,S37-1,IF(COUNTIFS('Plan CP'!$O:$O,'PR Grupo'!$G37,'Plan CP'!$P:$P,'PR Grupo'!T$3,'Plan CP'!$M:$M,1)=1,1,IF(IFERROR(VLOOKUP('PR Grupo'!T$3&amp;'PR Grupo'!$G37,'Plan CP'!$K:$P,3,FALSE)&gt;1,0),IFERROR(VLOOKUP('PR Grupo'!T$3&amp;'PR Grupo'!$G37,'Plan CP'!$K:$P,3,FALSE),0),0)))</f>
        <v>0</v>
      </c>
      <c r="U37" s="58">
        <f>IF(T37&gt;1,T37-1,IF(COUNTIFS('Plan CP'!$O:$O,'PR Grupo'!$G37,'Plan CP'!$P:$P,'PR Grupo'!U$3,'Plan CP'!$M:$M,1)=1,1,IF(IFERROR(VLOOKUP('PR Grupo'!U$3&amp;'PR Grupo'!$G37,'Plan CP'!$K:$P,3,FALSE)&gt;1,0),IFERROR(VLOOKUP('PR Grupo'!U$3&amp;'PR Grupo'!$G37,'Plan CP'!$K:$P,3,FALSE),0),0)))</f>
        <v>0</v>
      </c>
      <c r="V37" s="58">
        <f>IF(U37&gt;1,U37-1,IF(COUNTIFS('Plan CP'!$O:$O,'PR Grupo'!$G37,'Plan CP'!$P:$P,'PR Grupo'!V$3,'Plan CP'!$M:$M,1)=1,1,IF(IFERROR(VLOOKUP('PR Grupo'!V$3&amp;'PR Grupo'!$G37,'Plan CP'!$K:$P,3,FALSE)&gt;1,0),IFERROR(VLOOKUP('PR Grupo'!V$3&amp;'PR Grupo'!$G37,'Plan CP'!$K:$P,3,FALSE),0),0)))</f>
        <v>0</v>
      </c>
      <c r="W37" s="58">
        <f>IF(V37&gt;1,V37-1,IF(COUNTIFS('Plan CP'!$O:$O,'PR Grupo'!$G37,'Plan CP'!$P:$P,'PR Grupo'!W$3,'Plan CP'!$M:$M,1)=1,1,IF(IFERROR(VLOOKUP('PR Grupo'!W$3&amp;'PR Grupo'!$G37,'Plan CP'!$K:$P,3,FALSE)&gt;1,0),IFERROR(VLOOKUP('PR Grupo'!W$3&amp;'PR Grupo'!$G37,'Plan CP'!$K:$P,3,FALSE),0),0)))</f>
        <v>0</v>
      </c>
      <c r="X37" s="58">
        <f>IF(W37&gt;1,W37-1,IF(COUNTIFS('Plan CP'!$O:$O,'PR Grupo'!$G37,'Plan CP'!$P:$P,'PR Grupo'!X$3,'Plan CP'!$M:$M,1)=1,1,IF(IFERROR(VLOOKUP('PR Grupo'!X$3&amp;'PR Grupo'!$G37,'Plan CP'!$K:$P,3,FALSE)&gt;1,0),IFERROR(VLOOKUP('PR Grupo'!X$3&amp;'PR Grupo'!$G37,'Plan CP'!$K:$P,3,FALSE),0),0)))</f>
        <v>0</v>
      </c>
      <c r="Y37" s="58">
        <f>IF(X37&gt;1,X37-1,IF(COUNTIFS('Plan CP'!$O:$O,'PR Grupo'!$G37,'Plan CP'!$P:$P,'PR Grupo'!Y$3,'Plan CP'!$M:$M,1)=1,1,IF(IFERROR(VLOOKUP('PR Grupo'!Y$3&amp;'PR Grupo'!$G37,'Plan CP'!$K:$P,3,FALSE)&gt;1,0),IFERROR(VLOOKUP('PR Grupo'!Y$3&amp;'PR Grupo'!$G37,'Plan CP'!$K:$P,3,FALSE),0),0)))</f>
        <v>0</v>
      </c>
      <c r="Z37" s="58">
        <f>IF(Y37&gt;1,Y37-1,IF(COUNTIFS('Plan CP'!$O:$O,'PR Grupo'!$G37,'Plan CP'!$P:$P,'PR Grupo'!Z$3,'Plan CP'!$M:$M,1)=1,1,IF(IFERROR(VLOOKUP('PR Grupo'!Z$3&amp;'PR Grupo'!$G37,'Plan CP'!$K:$P,3,FALSE)&gt;1,0),IFERROR(VLOOKUP('PR Grupo'!Z$3&amp;'PR Grupo'!$G37,'Plan CP'!$K:$P,3,FALSE),0),0)))</f>
        <v>0</v>
      </c>
      <c r="AA37" s="58">
        <f>IF(Z37&gt;1,Z37-1,IF(COUNTIFS('Plan CP'!$O:$O,'PR Grupo'!$G37,'Plan CP'!$P:$P,'PR Grupo'!AA$3,'Plan CP'!$M:$M,1)=1,1,IF(IFERROR(VLOOKUP('PR Grupo'!AA$3&amp;'PR Grupo'!$G37,'Plan CP'!$K:$P,3,FALSE)&gt;1,0),IFERROR(VLOOKUP('PR Grupo'!AA$3&amp;'PR Grupo'!$G37,'Plan CP'!$K:$P,3,FALSE),0),0)))</f>
        <v>0</v>
      </c>
      <c r="AB37" s="58">
        <f>IF(AA37&gt;1,AA37-1,IF(COUNTIFS('Plan CP'!$O:$O,'PR Grupo'!$G37,'Plan CP'!$P:$P,'PR Grupo'!AB$3,'Plan CP'!$M:$M,1)=1,1,IF(IFERROR(VLOOKUP('PR Grupo'!AB$3&amp;'PR Grupo'!$G37,'Plan CP'!$K:$P,3,FALSE)&gt;1,0),IFERROR(VLOOKUP('PR Grupo'!AB$3&amp;'PR Grupo'!$G37,'Plan CP'!$K:$P,3,FALSE),0),0)))</f>
        <v>0</v>
      </c>
      <c r="AC37" s="58">
        <f>IF(AB37&gt;1,AB37-1,IF(COUNTIFS('Plan CP'!$O:$O,'PR Grupo'!$G37,'Plan CP'!$P:$P,'PR Grupo'!AC$3,'Plan CP'!$M:$M,1)=1,1,IF(IFERROR(VLOOKUP('PR Grupo'!AC$3&amp;'PR Grupo'!$G37,'Plan CP'!$K:$P,3,FALSE)&gt;1,0),IFERROR(VLOOKUP('PR Grupo'!AC$3&amp;'PR Grupo'!$G37,'Plan CP'!$K:$P,3,FALSE),0),0)))</f>
        <v>0</v>
      </c>
      <c r="AD37" s="58">
        <f>IF(AC37&gt;1,AC37-1,IF(COUNTIFS('Plan CP'!$O:$O,'PR Grupo'!$G37,'Plan CP'!$P:$P,'PR Grupo'!AD$3,'Plan CP'!$M:$M,1)=1,1,IF(IFERROR(VLOOKUP('PR Grupo'!AD$3&amp;'PR Grupo'!$G37,'Plan CP'!$K:$P,3,FALSE)&gt;1,0),IFERROR(VLOOKUP('PR Grupo'!AD$3&amp;'PR Grupo'!$G37,'Plan CP'!$K:$P,3,FALSE),0),0)))</f>
        <v>1</v>
      </c>
      <c r="AE37" s="58">
        <f>IF(AD37&gt;1,AD37-1,IF(COUNTIFS('Plan CP'!$O:$O,'PR Grupo'!$G37,'Plan CP'!$P:$P,'PR Grupo'!AE$3,'Plan CP'!$M:$M,1)=1,1,IF(IFERROR(VLOOKUP('PR Grupo'!AE$3&amp;'PR Grupo'!$G37,'Plan CP'!$K:$P,3,FALSE)&gt;1,0),IFERROR(VLOOKUP('PR Grupo'!AE$3&amp;'PR Grupo'!$G37,'Plan CP'!$K:$P,3,FALSE),0),0)))</f>
        <v>1</v>
      </c>
      <c r="AF37" s="58">
        <f>IF(AE37&gt;1,AE37-1,IF(COUNTIFS('Plan CP'!$O:$O,'PR Grupo'!$G37,'Plan CP'!$P:$P,'PR Grupo'!AF$3,'Plan CP'!$M:$M,1)=1,1,IF(IFERROR(VLOOKUP('PR Grupo'!AF$3&amp;'PR Grupo'!$G37,'Plan CP'!$K:$P,3,FALSE)&gt;1,0),IFERROR(VLOOKUP('PR Grupo'!AF$3&amp;'PR Grupo'!$G37,'Plan CP'!$K:$P,3,FALSE),0),0)))</f>
        <v>1</v>
      </c>
      <c r="AG37" s="58">
        <f>IF(AF37&gt;1,AF37-1,IF(COUNTIFS('Plan CP'!$O:$O,'PR Grupo'!$G37,'Plan CP'!$P:$P,'PR Grupo'!AG$3,'Plan CP'!$M:$M,1)=1,1,IF(IFERROR(VLOOKUP('PR Grupo'!AG$3&amp;'PR Grupo'!$G37,'Plan CP'!$K:$P,3,FALSE)&gt;1,0),IFERROR(VLOOKUP('PR Grupo'!AG$3&amp;'PR Grupo'!$G37,'Plan CP'!$K:$P,3,FALSE),0),0)))</f>
        <v>1</v>
      </c>
      <c r="AH37" s="58">
        <f>IF(AG37&gt;1,AG37-1,IF(COUNTIFS('Plan CP'!$O:$O,'PR Grupo'!$G37,'Plan CP'!$P:$P,'PR Grupo'!AH$3,'Plan CP'!$M:$M,1)=1,1,IF(IFERROR(VLOOKUP('PR Grupo'!AH$3&amp;'PR Grupo'!$G37,'Plan CP'!$K:$P,3,FALSE)&gt;1,0),IFERROR(VLOOKUP('PR Grupo'!AH$3&amp;'PR Grupo'!$G37,'Plan CP'!$K:$P,3,FALSE),0),0)))</f>
        <v>1</v>
      </c>
      <c r="AI37" s="58">
        <f>IF(AH37&gt;1,AH37-1,IF(COUNTIFS('Plan CP'!$O:$O,'PR Grupo'!$G37,'Plan CP'!$P:$P,'PR Grupo'!AI$3,'Plan CP'!$M:$M,1)=1,1,IF(IFERROR(VLOOKUP('PR Grupo'!AI$3&amp;'PR Grupo'!$G37,'Plan CP'!$K:$P,3,FALSE)&gt;1,0),IFERROR(VLOOKUP('PR Grupo'!AI$3&amp;'PR Grupo'!$G37,'Plan CP'!$K:$P,3,FALSE),0),0)))</f>
        <v>1</v>
      </c>
      <c r="AJ37" s="58">
        <f>IF(AI37&gt;1,AI37-1,IF(COUNTIFS('Plan CP'!$O:$O,'PR Grupo'!$G37,'Plan CP'!$P:$P,'PR Grupo'!AJ$3,'Plan CP'!$M:$M,1)=1,1,IF(IFERROR(VLOOKUP('PR Grupo'!AJ$3&amp;'PR Grupo'!$G37,'Plan CP'!$K:$P,3,FALSE)&gt;1,0),IFERROR(VLOOKUP('PR Grupo'!AJ$3&amp;'PR Grupo'!$G37,'Plan CP'!$K:$P,3,FALSE),0),0)))</f>
        <v>1</v>
      </c>
      <c r="AK37" s="58">
        <f>IF(AJ37&gt;1,AJ37-1,IF(COUNTIFS('Plan CP'!$O:$O,'PR Grupo'!$G37,'Plan CP'!$P:$P,'PR Grupo'!AK$3,'Plan CP'!$M:$M,1)=1,1,IF(IFERROR(VLOOKUP('PR Grupo'!AK$3&amp;'PR Grupo'!$G37,'Plan CP'!$K:$P,3,FALSE)&gt;1,0),IFERROR(VLOOKUP('PR Grupo'!AK$3&amp;'PR Grupo'!$G37,'Plan CP'!$K:$P,3,FALSE),0),0)))</f>
        <v>1</v>
      </c>
      <c r="AL37" s="58">
        <f>IF(AK37&gt;1,AK37-1,IF(COUNTIFS('Plan CP'!$O:$O,'PR Grupo'!$G37,'Plan CP'!$P:$P,'PR Grupo'!AL$3,'Plan CP'!$M:$M,1)=1,1,IF(IFERROR(VLOOKUP('PR Grupo'!AL$3&amp;'PR Grupo'!$G37,'Plan CP'!$K:$P,3,FALSE)&gt;1,0),IFERROR(VLOOKUP('PR Grupo'!AL$3&amp;'PR Grupo'!$G37,'Plan CP'!$K:$P,3,FALSE),0),0)))</f>
        <v>1</v>
      </c>
      <c r="AM37" s="58">
        <f>IF(AL37&gt;1,AL37-1,IF(COUNTIFS('Plan CP'!$O:$O,'PR Grupo'!$G37,'Plan CP'!$P:$P,'PR Grupo'!AM$3,'Plan CP'!$M:$M,1)=1,1,IF(IFERROR(VLOOKUP('PR Grupo'!AM$3&amp;'PR Grupo'!$G37,'Plan CP'!$K:$P,3,FALSE)&gt;1,0),IFERROR(VLOOKUP('PR Grupo'!AM$3&amp;'PR Grupo'!$G37,'Plan CP'!$K:$P,3,FALSE),0),0)))</f>
        <v>1</v>
      </c>
      <c r="AN37" s="58">
        <f>IF(AM37&gt;1,AM37-1,IF(COUNTIFS('Plan CP'!$O:$O,'PR Grupo'!$G37,'Plan CP'!$P:$P,'PR Grupo'!AN$3,'Plan CP'!$M:$M,1)=1,1,IF(IFERROR(VLOOKUP('PR Grupo'!AN$3&amp;'PR Grupo'!$G37,'Plan CP'!$K:$P,3,FALSE)&gt;1,0),IFERROR(VLOOKUP('PR Grupo'!AN$3&amp;'PR Grupo'!$G37,'Plan CP'!$K:$P,3,FALSE),0),0)))</f>
        <v>1</v>
      </c>
      <c r="AO37" s="58">
        <f>IF(AN37&gt;1,AN37-1,IF(COUNTIFS('Plan CP'!$O:$O,'PR Grupo'!$G37,'Plan CP'!$P:$P,'PR Grupo'!AO$3,'Plan CP'!$M:$M,1)=1,1,IF(IFERROR(VLOOKUP('PR Grupo'!AO$3&amp;'PR Grupo'!$G37,'Plan CP'!$K:$P,3,FALSE)&gt;1,0),IFERROR(VLOOKUP('PR Grupo'!AO$3&amp;'PR Grupo'!$G37,'Plan CP'!$K:$P,3,FALSE),0),0)))</f>
        <v>0</v>
      </c>
    </row>
    <row r="38" spans="1:41">
      <c r="A38" s="21" t="s">
        <v>33</v>
      </c>
      <c r="B38" s="21" t="s">
        <v>40</v>
      </c>
      <c r="C38" s="21" t="s">
        <v>230</v>
      </c>
      <c r="D38" s="21" t="s">
        <v>265</v>
      </c>
      <c r="E38" s="24" t="s">
        <v>177</v>
      </c>
      <c r="F38" s="21" t="s">
        <v>265</v>
      </c>
      <c r="G38" s="33" t="s">
        <v>191</v>
      </c>
      <c r="H38" s="24">
        <v>15</v>
      </c>
      <c r="I38" s="33">
        <f t="shared" si="2"/>
        <v>18</v>
      </c>
      <c r="J38" s="33" t="str">
        <f t="shared" si="3"/>
        <v>OK</v>
      </c>
      <c r="K38" s="58">
        <f>IF(COUNTIFS('Plan CP'!$O:$O,'PR Grupo'!$G38,'Plan CP'!$P:$P,'PR Grupo'!K$3,'Plan CP'!$M:$M,1)=1,1,IF(IFERROR(VLOOKUP('PR Grupo'!K$3&amp;'PR Grupo'!$G38,'Plan CP'!$K:$P,3,FALSE)&gt;1,0),IFERROR(VLOOKUP('PR Grupo'!K$3&amp;'PR Grupo'!$G38,'Plan CP'!$K:$P,3,FALSE),0),0))</f>
        <v>1</v>
      </c>
      <c r="L38" s="58">
        <f>IF(K38&gt;1,K38-1,IF(COUNTIFS('Plan CP'!$O:$O,'PR Grupo'!$G38,'Plan CP'!$P:$P,'PR Grupo'!L$3,'Plan CP'!$M:$M,1)=1,1,IF(IFERROR(VLOOKUP('PR Grupo'!L$3&amp;'PR Grupo'!$G38,'Plan CP'!$K:$P,3,FALSE)&gt;1,0),IFERROR(VLOOKUP('PR Grupo'!L$3&amp;'PR Grupo'!$G38,'Plan CP'!$K:$P,3,FALSE),0),0)))</f>
        <v>1</v>
      </c>
      <c r="M38" s="58">
        <f>IF(L38&gt;1,L38-1,IF(COUNTIFS('Plan CP'!$O:$O,'PR Grupo'!$G38,'Plan CP'!$P:$P,'PR Grupo'!M$3,'Plan CP'!$M:$M,1)=1,1,IF(IFERROR(VLOOKUP('PR Grupo'!M$3&amp;'PR Grupo'!$G38,'Plan CP'!$K:$P,3,FALSE)&gt;1,0),IFERROR(VLOOKUP('PR Grupo'!M$3&amp;'PR Grupo'!$G38,'Plan CP'!$K:$P,3,FALSE),0),0)))</f>
        <v>1</v>
      </c>
      <c r="N38" s="58">
        <f>IF(M38&gt;1,M38-1,IF(COUNTIFS('Plan CP'!$O:$O,'PR Grupo'!$G38,'Plan CP'!$P:$P,'PR Grupo'!N$3,'Plan CP'!$M:$M,1)=1,1,IF(IFERROR(VLOOKUP('PR Grupo'!N$3&amp;'PR Grupo'!$G38,'Plan CP'!$K:$P,3,FALSE)&gt;1,0),IFERROR(VLOOKUP('PR Grupo'!N$3&amp;'PR Grupo'!$G38,'Plan CP'!$K:$P,3,FALSE),0),0)))</f>
        <v>1</v>
      </c>
      <c r="O38" s="58">
        <f>IF(N38&gt;1,N38-1,IF(COUNTIFS('Plan CP'!$O:$O,'PR Grupo'!$G38,'Plan CP'!$P:$P,'PR Grupo'!O$3,'Plan CP'!$M:$M,1)=1,1,IF(IFERROR(VLOOKUP('PR Grupo'!O$3&amp;'PR Grupo'!$G38,'Plan CP'!$K:$P,3,FALSE)&gt;1,0),IFERROR(VLOOKUP('PR Grupo'!O$3&amp;'PR Grupo'!$G38,'Plan CP'!$K:$P,3,FALSE),0),0)))</f>
        <v>1</v>
      </c>
      <c r="P38" s="58">
        <f>IF(O38&gt;1,O38-1,IF(COUNTIFS('Plan CP'!$O:$O,'PR Grupo'!$G38,'Plan CP'!$P:$P,'PR Grupo'!P$3,'Plan CP'!$M:$M,1)=1,1,IF(IFERROR(VLOOKUP('PR Grupo'!P$3&amp;'PR Grupo'!$G38,'Plan CP'!$K:$P,3,FALSE)&gt;1,0),IFERROR(VLOOKUP('PR Grupo'!P$3&amp;'PR Grupo'!$G38,'Plan CP'!$K:$P,3,FALSE),0),0)))</f>
        <v>1</v>
      </c>
      <c r="Q38" s="58">
        <f>IF(P38&gt;1,P38-1,IF(COUNTIFS('Plan CP'!$O:$O,'PR Grupo'!$G38,'Plan CP'!$P:$P,'PR Grupo'!Q$3,'Plan CP'!$M:$M,1)=1,1,IF(IFERROR(VLOOKUP('PR Grupo'!Q$3&amp;'PR Grupo'!$G38,'Plan CP'!$K:$P,3,FALSE)&gt;1,0),IFERROR(VLOOKUP('PR Grupo'!Q$3&amp;'PR Grupo'!$G38,'Plan CP'!$K:$P,3,FALSE),0),0)))</f>
        <v>1</v>
      </c>
      <c r="R38" s="58">
        <f>IF(Q38&gt;1,Q38-1,IF(COUNTIFS('Plan CP'!$O:$O,'PR Grupo'!$G38,'Plan CP'!$P:$P,'PR Grupo'!R$3,'Plan CP'!$M:$M,1)=1,1,IF(IFERROR(VLOOKUP('PR Grupo'!R$3&amp;'PR Grupo'!$G38,'Plan CP'!$K:$P,3,FALSE)&gt;1,0),IFERROR(VLOOKUP('PR Grupo'!R$3&amp;'PR Grupo'!$G38,'Plan CP'!$K:$P,3,FALSE),0),0)))</f>
        <v>0</v>
      </c>
      <c r="S38" s="58">
        <f>IF(R38&gt;1,R38-1,IF(COUNTIFS('Plan CP'!$O:$O,'PR Grupo'!$G38,'Plan CP'!$P:$P,'PR Grupo'!S$3,'Plan CP'!$M:$M,1)=1,1,IF(IFERROR(VLOOKUP('PR Grupo'!S$3&amp;'PR Grupo'!$G38,'Plan CP'!$K:$P,3,FALSE)&gt;1,0),IFERROR(VLOOKUP('PR Grupo'!S$3&amp;'PR Grupo'!$G38,'Plan CP'!$K:$P,3,FALSE),0),0)))</f>
        <v>0</v>
      </c>
      <c r="T38" s="58">
        <f>IF(S38&gt;1,S38-1,IF(COUNTIFS('Plan CP'!$O:$O,'PR Grupo'!$G38,'Plan CP'!$P:$P,'PR Grupo'!T$3,'Plan CP'!$M:$M,1)=1,1,IF(IFERROR(VLOOKUP('PR Grupo'!T$3&amp;'PR Grupo'!$G38,'Plan CP'!$K:$P,3,FALSE)&gt;1,0),IFERROR(VLOOKUP('PR Grupo'!T$3&amp;'PR Grupo'!$G38,'Plan CP'!$K:$P,3,FALSE),0),0)))</f>
        <v>0</v>
      </c>
      <c r="U38" s="58">
        <f>IF(T38&gt;1,T38-1,IF(COUNTIFS('Plan CP'!$O:$O,'PR Grupo'!$G38,'Plan CP'!$P:$P,'PR Grupo'!U$3,'Plan CP'!$M:$M,1)=1,1,IF(IFERROR(VLOOKUP('PR Grupo'!U$3&amp;'PR Grupo'!$G38,'Plan CP'!$K:$P,3,FALSE)&gt;1,0),IFERROR(VLOOKUP('PR Grupo'!U$3&amp;'PR Grupo'!$G38,'Plan CP'!$K:$P,3,FALSE),0),0)))</f>
        <v>0</v>
      </c>
      <c r="V38" s="58">
        <f>IF(U38&gt;1,U38-1,IF(COUNTIFS('Plan CP'!$O:$O,'PR Grupo'!$G38,'Plan CP'!$P:$P,'PR Grupo'!V$3,'Plan CP'!$M:$M,1)=1,1,IF(IFERROR(VLOOKUP('PR Grupo'!V$3&amp;'PR Grupo'!$G38,'Plan CP'!$K:$P,3,FALSE)&gt;1,0),IFERROR(VLOOKUP('PR Grupo'!V$3&amp;'PR Grupo'!$G38,'Plan CP'!$K:$P,3,FALSE),0),0)))</f>
        <v>0</v>
      </c>
      <c r="W38" s="58">
        <f>IF(V38&gt;1,V38-1,IF(COUNTIFS('Plan CP'!$O:$O,'PR Grupo'!$G38,'Plan CP'!$P:$P,'PR Grupo'!W$3,'Plan CP'!$M:$M,1)=1,1,IF(IFERROR(VLOOKUP('PR Grupo'!W$3&amp;'PR Grupo'!$G38,'Plan CP'!$K:$P,3,FALSE)&gt;1,0),IFERROR(VLOOKUP('PR Grupo'!W$3&amp;'PR Grupo'!$G38,'Plan CP'!$K:$P,3,FALSE),0),0)))</f>
        <v>0</v>
      </c>
      <c r="X38" s="58">
        <f>IF(W38&gt;1,W38-1,IF(COUNTIFS('Plan CP'!$O:$O,'PR Grupo'!$G38,'Plan CP'!$P:$P,'PR Grupo'!X$3,'Plan CP'!$M:$M,1)=1,1,IF(IFERROR(VLOOKUP('PR Grupo'!X$3&amp;'PR Grupo'!$G38,'Plan CP'!$K:$P,3,FALSE)&gt;1,0),IFERROR(VLOOKUP('PR Grupo'!X$3&amp;'PR Grupo'!$G38,'Plan CP'!$K:$P,3,FALSE),0),0)))</f>
        <v>0</v>
      </c>
      <c r="Y38" s="58">
        <f>IF(X38&gt;1,X38-1,IF(COUNTIFS('Plan CP'!$O:$O,'PR Grupo'!$G38,'Plan CP'!$P:$P,'PR Grupo'!Y$3,'Plan CP'!$M:$M,1)=1,1,IF(IFERROR(VLOOKUP('PR Grupo'!Y$3&amp;'PR Grupo'!$G38,'Plan CP'!$K:$P,3,FALSE)&gt;1,0),IFERROR(VLOOKUP('PR Grupo'!Y$3&amp;'PR Grupo'!$G38,'Plan CP'!$K:$P,3,FALSE),0),0)))</f>
        <v>0</v>
      </c>
      <c r="Z38" s="58">
        <f>IF(Y38&gt;1,Y38-1,IF(COUNTIFS('Plan CP'!$O:$O,'PR Grupo'!$G38,'Plan CP'!$P:$P,'PR Grupo'!Z$3,'Plan CP'!$M:$M,1)=1,1,IF(IFERROR(VLOOKUP('PR Grupo'!Z$3&amp;'PR Grupo'!$G38,'Plan CP'!$K:$P,3,FALSE)&gt;1,0),IFERROR(VLOOKUP('PR Grupo'!Z$3&amp;'PR Grupo'!$G38,'Plan CP'!$K:$P,3,FALSE),0),0)))</f>
        <v>0</v>
      </c>
      <c r="AA38" s="58">
        <f>IF(Z38&gt;1,Z38-1,IF(COUNTIFS('Plan CP'!$O:$O,'PR Grupo'!$G38,'Plan CP'!$P:$P,'PR Grupo'!AA$3,'Plan CP'!$M:$M,1)=1,1,IF(IFERROR(VLOOKUP('PR Grupo'!AA$3&amp;'PR Grupo'!$G38,'Plan CP'!$K:$P,3,FALSE)&gt;1,0),IFERROR(VLOOKUP('PR Grupo'!AA$3&amp;'PR Grupo'!$G38,'Plan CP'!$K:$P,3,FALSE),0),0)))</f>
        <v>0</v>
      </c>
      <c r="AB38" s="58">
        <f>IF(AA38&gt;1,AA38-1,IF(COUNTIFS('Plan CP'!$O:$O,'PR Grupo'!$G38,'Plan CP'!$P:$P,'PR Grupo'!AB$3,'Plan CP'!$M:$M,1)=1,1,IF(IFERROR(VLOOKUP('PR Grupo'!AB$3&amp;'PR Grupo'!$G38,'Plan CP'!$K:$P,3,FALSE)&gt;1,0),IFERROR(VLOOKUP('PR Grupo'!AB$3&amp;'PR Grupo'!$G38,'Plan CP'!$K:$P,3,FALSE),0),0)))</f>
        <v>0</v>
      </c>
      <c r="AC38" s="58">
        <f>IF(AB38&gt;1,AB38-1,IF(COUNTIFS('Plan CP'!$O:$O,'PR Grupo'!$G38,'Plan CP'!$P:$P,'PR Grupo'!AC$3,'Plan CP'!$M:$M,1)=1,1,IF(IFERROR(VLOOKUP('PR Grupo'!AC$3&amp;'PR Grupo'!$G38,'Plan CP'!$K:$P,3,FALSE)&gt;1,0),IFERROR(VLOOKUP('PR Grupo'!AC$3&amp;'PR Grupo'!$G38,'Plan CP'!$K:$P,3,FALSE),0),0)))</f>
        <v>0</v>
      </c>
      <c r="AD38" s="58">
        <f>IF(AC38&gt;1,AC38-1,IF(COUNTIFS('Plan CP'!$O:$O,'PR Grupo'!$G38,'Plan CP'!$P:$P,'PR Grupo'!AD$3,'Plan CP'!$M:$M,1)=1,1,IF(IFERROR(VLOOKUP('PR Grupo'!AD$3&amp;'PR Grupo'!$G38,'Plan CP'!$K:$P,3,FALSE)&gt;1,0),IFERROR(VLOOKUP('PR Grupo'!AD$3&amp;'PR Grupo'!$G38,'Plan CP'!$K:$P,3,FALSE),0),0)))</f>
        <v>1</v>
      </c>
      <c r="AE38" s="58">
        <f>IF(AD38&gt;1,AD38-1,IF(COUNTIFS('Plan CP'!$O:$O,'PR Grupo'!$G38,'Plan CP'!$P:$P,'PR Grupo'!AE$3,'Plan CP'!$M:$M,1)=1,1,IF(IFERROR(VLOOKUP('PR Grupo'!AE$3&amp;'PR Grupo'!$G38,'Plan CP'!$K:$P,3,FALSE)&gt;1,0),IFERROR(VLOOKUP('PR Grupo'!AE$3&amp;'PR Grupo'!$G38,'Plan CP'!$K:$P,3,FALSE),0),0)))</f>
        <v>1</v>
      </c>
      <c r="AF38" s="58">
        <f>IF(AE38&gt;1,AE38-1,IF(COUNTIFS('Plan CP'!$O:$O,'PR Grupo'!$G38,'Plan CP'!$P:$P,'PR Grupo'!AF$3,'Plan CP'!$M:$M,1)=1,1,IF(IFERROR(VLOOKUP('PR Grupo'!AF$3&amp;'PR Grupo'!$G38,'Plan CP'!$K:$P,3,FALSE)&gt;1,0),IFERROR(VLOOKUP('PR Grupo'!AF$3&amp;'PR Grupo'!$G38,'Plan CP'!$K:$P,3,FALSE),0),0)))</f>
        <v>1</v>
      </c>
      <c r="AG38" s="58">
        <f>IF(AF38&gt;1,AF38-1,IF(COUNTIFS('Plan CP'!$O:$O,'PR Grupo'!$G38,'Plan CP'!$P:$P,'PR Grupo'!AG$3,'Plan CP'!$M:$M,1)=1,1,IF(IFERROR(VLOOKUP('PR Grupo'!AG$3&amp;'PR Grupo'!$G38,'Plan CP'!$K:$P,3,FALSE)&gt;1,0),IFERROR(VLOOKUP('PR Grupo'!AG$3&amp;'PR Grupo'!$G38,'Plan CP'!$K:$P,3,FALSE),0),0)))</f>
        <v>1</v>
      </c>
      <c r="AH38" s="58">
        <f>IF(AG38&gt;1,AG38-1,IF(COUNTIFS('Plan CP'!$O:$O,'PR Grupo'!$G38,'Plan CP'!$P:$P,'PR Grupo'!AH$3,'Plan CP'!$M:$M,1)=1,1,IF(IFERROR(VLOOKUP('PR Grupo'!AH$3&amp;'PR Grupo'!$G38,'Plan CP'!$K:$P,3,FALSE)&gt;1,0),IFERROR(VLOOKUP('PR Grupo'!AH$3&amp;'PR Grupo'!$G38,'Plan CP'!$K:$P,3,FALSE),0),0)))</f>
        <v>1</v>
      </c>
      <c r="AI38" s="58">
        <f>IF(AH38&gt;1,AH38-1,IF(COUNTIFS('Plan CP'!$O:$O,'PR Grupo'!$G38,'Plan CP'!$P:$P,'PR Grupo'!AI$3,'Plan CP'!$M:$M,1)=1,1,IF(IFERROR(VLOOKUP('PR Grupo'!AI$3&amp;'PR Grupo'!$G38,'Plan CP'!$K:$P,3,FALSE)&gt;1,0),IFERROR(VLOOKUP('PR Grupo'!AI$3&amp;'PR Grupo'!$G38,'Plan CP'!$K:$P,3,FALSE),0),0)))</f>
        <v>1</v>
      </c>
      <c r="AJ38" s="58">
        <f>IF(AI38&gt;1,AI38-1,IF(COUNTIFS('Plan CP'!$O:$O,'PR Grupo'!$G38,'Plan CP'!$P:$P,'PR Grupo'!AJ$3,'Plan CP'!$M:$M,1)=1,1,IF(IFERROR(VLOOKUP('PR Grupo'!AJ$3&amp;'PR Grupo'!$G38,'Plan CP'!$K:$P,3,FALSE)&gt;1,0),IFERROR(VLOOKUP('PR Grupo'!AJ$3&amp;'PR Grupo'!$G38,'Plan CP'!$K:$P,3,FALSE),0),0)))</f>
        <v>1</v>
      </c>
      <c r="AK38" s="58">
        <f>IF(AJ38&gt;1,AJ38-1,IF(COUNTIFS('Plan CP'!$O:$O,'PR Grupo'!$G38,'Plan CP'!$P:$P,'PR Grupo'!AK$3,'Plan CP'!$M:$M,1)=1,1,IF(IFERROR(VLOOKUP('PR Grupo'!AK$3&amp;'PR Grupo'!$G38,'Plan CP'!$K:$P,3,FALSE)&gt;1,0),IFERROR(VLOOKUP('PR Grupo'!AK$3&amp;'PR Grupo'!$G38,'Plan CP'!$K:$P,3,FALSE),0),0)))</f>
        <v>1</v>
      </c>
      <c r="AL38" s="58">
        <f>IF(AK38&gt;1,AK38-1,IF(COUNTIFS('Plan CP'!$O:$O,'PR Grupo'!$G38,'Plan CP'!$P:$P,'PR Grupo'!AL$3,'Plan CP'!$M:$M,1)=1,1,IF(IFERROR(VLOOKUP('PR Grupo'!AL$3&amp;'PR Grupo'!$G38,'Plan CP'!$K:$P,3,FALSE)&gt;1,0),IFERROR(VLOOKUP('PR Grupo'!AL$3&amp;'PR Grupo'!$G38,'Plan CP'!$K:$P,3,FALSE),0),0)))</f>
        <v>1</v>
      </c>
      <c r="AM38" s="58">
        <f>IF(AL38&gt;1,AL38-1,IF(COUNTIFS('Plan CP'!$O:$O,'PR Grupo'!$G38,'Plan CP'!$P:$P,'PR Grupo'!AM$3,'Plan CP'!$M:$M,1)=1,1,IF(IFERROR(VLOOKUP('PR Grupo'!AM$3&amp;'PR Grupo'!$G38,'Plan CP'!$K:$P,3,FALSE)&gt;1,0),IFERROR(VLOOKUP('PR Grupo'!AM$3&amp;'PR Grupo'!$G38,'Plan CP'!$K:$P,3,FALSE),0),0)))</f>
        <v>1</v>
      </c>
      <c r="AN38" s="58">
        <f>IF(AM38&gt;1,AM38-1,IF(COUNTIFS('Plan CP'!$O:$O,'PR Grupo'!$G38,'Plan CP'!$P:$P,'PR Grupo'!AN$3,'Plan CP'!$M:$M,1)=1,1,IF(IFERROR(VLOOKUP('PR Grupo'!AN$3&amp;'PR Grupo'!$G38,'Plan CP'!$K:$P,3,FALSE)&gt;1,0),IFERROR(VLOOKUP('PR Grupo'!AN$3&amp;'PR Grupo'!$G38,'Plan CP'!$K:$P,3,FALSE),0),0)))</f>
        <v>1</v>
      </c>
      <c r="AO38" s="58">
        <f>IF(AN38&gt;1,AN38-1,IF(COUNTIFS('Plan CP'!$O:$O,'PR Grupo'!$G38,'Plan CP'!$P:$P,'PR Grupo'!AO$3,'Plan CP'!$M:$M,1)=1,1,IF(IFERROR(VLOOKUP('PR Grupo'!AO$3&amp;'PR Grupo'!$G38,'Plan CP'!$K:$P,3,FALSE)&gt;1,0),IFERROR(VLOOKUP('PR Grupo'!AO$3&amp;'PR Grupo'!$G38,'Plan CP'!$K:$P,3,FALSE),0),0)))</f>
        <v>0</v>
      </c>
    </row>
    <row r="39" spans="1:41">
      <c r="A39" s="21" t="s">
        <v>33</v>
      </c>
      <c r="B39" s="21" t="s">
        <v>40</v>
      </c>
      <c r="C39" s="21" t="s">
        <v>231</v>
      </c>
      <c r="D39" s="21" t="s">
        <v>265</v>
      </c>
      <c r="E39" s="24" t="s">
        <v>177</v>
      </c>
      <c r="F39" s="21" t="s">
        <v>265</v>
      </c>
      <c r="G39" s="33" t="s">
        <v>191</v>
      </c>
      <c r="H39" s="24">
        <v>15</v>
      </c>
      <c r="I39" s="33">
        <f t="shared" si="2"/>
        <v>18</v>
      </c>
      <c r="J39" s="33" t="str">
        <f t="shared" si="3"/>
        <v>OK</v>
      </c>
      <c r="K39" s="58">
        <f>IF(COUNTIFS('Plan CP'!$O:$O,'PR Grupo'!$G39,'Plan CP'!$P:$P,'PR Grupo'!K$3,'Plan CP'!$M:$M,1)=1,1,IF(IFERROR(VLOOKUP('PR Grupo'!K$3&amp;'PR Grupo'!$G39,'Plan CP'!$K:$P,3,FALSE)&gt;1,0),IFERROR(VLOOKUP('PR Grupo'!K$3&amp;'PR Grupo'!$G39,'Plan CP'!$K:$P,3,FALSE),0),0))</f>
        <v>1</v>
      </c>
      <c r="L39" s="58">
        <f>IF(K39&gt;1,K39-1,IF(COUNTIFS('Plan CP'!$O:$O,'PR Grupo'!$G39,'Plan CP'!$P:$P,'PR Grupo'!L$3,'Plan CP'!$M:$M,1)=1,1,IF(IFERROR(VLOOKUP('PR Grupo'!L$3&amp;'PR Grupo'!$G39,'Plan CP'!$K:$P,3,FALSE)&gt;1,0),IFERROR(VLOOKUP('PR Grupo'!L$3&amp;'PR Grupo'!$G39,'Plan CP'!$K:$P,3,FALSE),0),0)))</f>
        <v>1</v>
      </c>
      <c r="M39" s="58">
        <f>IF(L39&gt;1,L39-1,IF(COUNTIFS('Plan CP'!$O:$O,'PR Grupo'!$G39,'Plan CP'!$P:$P,'PR Grupo'!M$3,'Plan CP'!$M:$M,1)=1,1,IF(IFERROR(VLOOKUP('PR Grupo'!M$3&amp;'PR Grupo'!$G39,'Plan CP'!$K:$P,3,FALSE)&gt;1,0),IFERROR(VLOOKUP('PR Grupo'!M$3&amp;'PR Grupo'!$G39,'Plan CP'!$K:$P,3,FALSE),0),0)))</f>
        <v>1</v>
      </c>
      <c r="N39" s="58">
        <f>IF(M39&gt;1,M39-1,IF(COUNTIFS('Plan CP'!$O:$O,'PR Grupo'!$G39,'Plan CP'!$P:$P,'PR Grupo'!N$3,'Plan CP'!$M:$M,1)=1,1,IF(IFERROR(VLOOKUP('PR Grupo'!N$3&amp;'PR Grupo'!$G39,'Plan CP'!$K:$P,3,FALSE)&gt;1,0),IFERROR(VLOOKUP('PR Grupo'!N$3&amp;'PR Grupo'!$G39,'Plan CP'!$K:$P,3,FALSE),0),0)))</f>
        <v>1</v>
      </c>
      <c r="O39" s="58">
        <f>IF(N39&gt;1,N39-1,IF(COUNTIFS('Plan CP'!$O:$O,'PR Grupo'!$G39,'Plan CP'!$P:$P,'PR Grupo'!O$3,'Plan CP'!$M:$M,1)=1,1,IF(IFERROR(VLOOKUP('PR Grupo'!O$3&amp;'PR Grupo'!$G39,'Plan CP'!$K:$P,3,FALSE)&gt;1,0),IFERROR(VLOOKUP('PR Grupo'!O$3&amp;'PR Grupo'!$G39,'Plan CP'!$K:$P,3,FALSE),0),0)))</f>
        <v>1</v>
      </c>
      <c r="P39" s="58">
        <f>IF(O39&gt;1,O39-1,IF(COUNTIFS('Plan CP'!$O:$O,'PR Grupo'!$G39,'Plan CP'!$P:$P,'PR Grupo'!P$3,'Plan CP'!$M:$M,1)=1,1,IF(IFERROR(VLOOKUP('PR Grupo'!P$3&amp;'PR Grupo'!$G39,'Plan CP'!$K:$P,3,FALSE)&gt;1,0),IFERROR(VLOOKUP('PR Grupo'!P$3&amp;'PR Grupo'!$G39,'Plan CP'!$K:$P,3,FALSE),0),0)))</f>
        <v>1</v>
      </c>
      <c r="Q39" s="58">
        <f>IF(P39&gt;1,P39-1,IF(COUNTIFS('Plan CP'!$O:$O,'PR Grupo'!$G39,'Plan CP'!$P:$P,'PR Grupo'!Q$3,'Plan CP'!$M:$M,1)=1,1,IF(IFERROR(VLOOKUP('PR Grupo'!Q$3&amp;'PR Grupo'!$G39,'Plan CP'!$K:$P,3,FALSE)&gt;1,0),IFERROR(VLOOKUP('PR Grupo'!Q$3&amp;'PR Grupo'!$G39,'Plan CP'!$K:$P,3,FALSE),0),0)))</f>
        <v>1</v>
      </c>
      <c r="R39" s="58">
        <f>IF(Q39&gt;1,Q39-1,IF(COUNTIFS('Plan CP'!$O:$O,'PR Grupo'!$G39,'Plan CP'!$P:$P,'PR Grupo'!R$3,'Plan CP'!$M:$M,1)=1,1,IF(IFERROR(VLOOKUP('PR Grupo'!R$3&amp;'PR Grupo'!$G39,'Plan CP'!$K:$P,3,FALSE)&gt;1,0),IFERROR(VLOOKUP('PR Grupo'!R$3&amp;'PR Grupo'!$G39,'Plan CP'!$K:$P,3,FALSE),0),0)))</f>
        <v>0</v>
      </c>
      <c r="S39" s="58">
        <f>IF(R39&gt;1,R39-1,IF(COUNTIFS('Plan CP'!$O:$O,'PR Grupo'!$G39,'Plan CP'!$P:$P,'PR Grupo'!S$3,'Plan CP'!$M:$M,1)=1,1,IF(IFERROR(VLOOKUP('PR Grupo'!S$3&amp;'PR Grupo'!$G39,'Plan CP'!$K:$P,3,FALSE)&gt;1,0),IFERROR(VLOOKUP('PR Grupo'!S$3&amp;'PR Grupo'!$G39,'Plan CP'!$K:$P,3,FALSE),0),0)))</f>
        <v>0</v>
      </c>
      <c r="T39" s="58">
        <f>IF(S39&gt;1,S39-1,IF(COUNTIFS('Plan CP'!$O:$O,'PR Grupo'!$G39,'Plan CP'!$P:$P,'PR Grupo'!T$3,'Plan CP'!$M:$M,1)=1,1,IF(IFERROR(VLOOKUP('PR Grupo'!T$3&amp;'PR Grupo'!$G39,'Plan CP'!$K:$P,3,FALSE)&gt;1,0),IFERROR(VLOOKUP('PR Grupo'!T$3&amp;'PR Grupo'!$G39,'Plan CP'!$K:$P,3,FALSE),0),0)))</f>
        <v>0</v>
      </c>
      <c r="U39" s="58">
        <f>IF(T39&gt;1,T39-1,IF(COUNTIFS('Plan CP'!$O:$O,'PR Grupo'!$G39,'Plan CP'!$P:$P,'PR Grupo'!U$3,'Plan CP'!$M:$M,1)=1,1,IF(IFERROR(VLOOKUP('PR Grupo'!U$3&amp;'PR Grupo'!$G39,'Plan CP'!$K:$P,3,FALSE)&gt;1,0),IFERROR(VLOOKUP('PR Grupo'!U$3&amp;'PR Grupo'!$G39,'Plan CP'!$K:$P,3,FALSE),0),0)))</f>
        <v>0</v>
      </c>
      <c r="V39" s="58">
        <f>IF(U39&gt;1,U39-1,IF(COUNTIFS('Plan CP'!$O:$O,'PR Grupo'!$G39,'Plan CP'!$P:$P,'PR Grupo'!V$3,'Plan CP'!$M:$M,1)=1,1,IF(IFERROR(VLOOKUP('PR Grupo'!V$3&amp;'PR Grupo'!$G39,'Plan CP'!$K:$P,3,FALSE)&gt;1,0),IFERROR(VLOOKUP('PR Grupo'!V$3&amp;'PR Grupo'!$G39,'Plan CP'!$K:$P,3,FALSE),0),0)))</f>
        <v>0</v>
      </c>
      <c r="W39" s="58">
        <f>IF(V39&gt;1,V39-1,IF(COUNTIFS('Plan CP'!$O:$O,'PR Grupo'!$G39,'Plan CP'!$P:$P,'PR Grupo'!W$3,'Plan CP'!$M:$M,1)=1,1,IF(IFERROR(VLOOKUP('PR Grupo'!W$3&amp;'PR Grupo'!$G39,'Plan CP'!$K:$P,3,FALSE)&gt;1,0),IFERROR(VLOOKUP('PR Grupo'!W$3&amp;'PR Grupo'!$G39,'Plan CP'!$K:$P,3,FALSE),0),0)))</f>
        <v>0</v>
      </c>
      <c r="X39" s="58">
        <f>IF(W39&gt;1,W39-1,IF(COUNTIFS('Plan CP'!$O:$O,'PR Grupo'!$G39,'Plan CP'!$P:$P,'PR Grupo'!X$3,'Plan CP'!$M:$M,1)=1,1,IF(IFERROR(VLOOKUP('PR Grupo'!X$3&amp;'PR Grupo'!$G39,'Plan CP'!$K:$P,3,FALSE)&gt;1,0),IFERROR(VLOOKUP('PR Grupo'!X$3&amp;'PR Grupo'!$G39,'Plan CP'!$K:$P,3,FALSE),0),0)))</f>
        <v>0</v>
      </c>
      <c r="Y39" s="58">
        <f>IF(X39&gt;1,X39-1,IF(COUNTIFS('Plan CP'!$O:$O,'PR Grupo'!$G39,'Plan CP'!$P:$P,'PR Grupo'!Y$3,'Plan CP'!$M:$M,1)=1,1,IF(IFERROR(VLOOKUP('PR Grupo'!Y$3&amp;'PR Grupo'!$G39,'Plan CP'!$K:$P,3,FALSE)&gt;1,0),IFERROR(VLOOKUP('PR Grupo'!Y$3&amp;'PR Grupo'!$G39,'Plan CP'!$K:$P,3,FALSE),0),0)))</f>
        <v>0</v>
      </c>
      <c r="Z39" s="58">
        <f>IF(Y39&gt;1,Y39-1,IF(COUNTIFS('Plan CP'!$O:$O,'PR Grupo'!$G39,'Plan CP'!$P:$P,'PR Grupo'!Z$3,'Plan CP'!$M:$M,1)=1,1,IF(IFERROR(VLOOKUP('PR Grupo'!Z$3&amp;'PR Grupo'!$G39,'Plan CP'!$K:$P,3,FALSE)&gt;1,0),IFERROR(VLOOKUP('PR Grupo'!Z$3&amp;'PR Grupo'!$G39,'Plan CP'!$K:$P,3,FALSE),0),0)))</f>
        <v>0</v>
      </c>
      <c r="AA39" s="58">
        <f>IF(Z39&gt;1,Z39-1,IF(COUNTIFS('Plan CP'!$O:$O,'PR Grupo'!$G39,'Plan CP'!$P:$P,'PR Grupo'!AA$3,'Plan CP'!$M:$M,1)=1,1,IF(IFERROR(VLOOKUP('PR Grupo'!AA$3&amp;'PR Grupo'!$G39,'Plan CP'!$K:$P,3,FALSE)&gt;1,0),IFERROR(VLOOKUP('PR Grupo'!AA$3&amp;'PR Grupo'!$G39,'Plan CP'!$K:$P,3,FALSE),0),0)))</f>
        <v>0</v>
      </c>
      <c r="AB39" s="58">
        <f>IF(AA39&gt;1,AA39-1,IF(COUNTIFS('Plan CP'!$O:$O,'PR Grupo'!$G39,'Plan CP'!$P:$P,'PR Grupo'!AB$3,'Plan CP'!$M:$M,1)=1,1,IF(IFERROR(VLOOKUP('PR Grupo'!AB$3&amp;'PR Grupo'!$G39,'Plan CP'!$K:$P,3,FALSE)&gt;1,0),IFERROR(VLOOKUP('PR Grupo'!AB$3&amp;'PR Grupo'!$G39,'Plan CP'!$K:$P,3,FALSE),0),0)))</f>
        <v>0</v>
      </c>
      <c r="AC39" s="58">
        <f>IF(AB39&gt;1,AB39-1,IF(COUNTIFS('Plan CP'!$O:$O,'PR Grupo'!$G39,'Plan CP'!$P:$P,'PR Grupo'!AC$3,'Plan CP'!$M:$M,1)=1,1,IF(IFERROR(VLOOKUP('PR Grupo'!AC$3&amp;'PR Grupo'!$G39,'Plan CP'!$K:$P,3,FALSE)&gt;1,0),IFERROR(VLOOKUP('PR Grupo'!AC$3&amp;'PR Grupo'!$G39,'Plan CP'!$K:$P,3,FALSE),0),0)))</f>
        <v>0</v>
      </c>
      <c r="AD39" s="58">
        <f>IF(AC39&gt;1,AC39-1,IF(COUNTIFS('Plan CP'!$O:$O,'PR Grupo'!$G39,'Plan CP'!$P:$P,'PR Grupo'!AD$3,'Plan CP'!$M:$M,1)=1,1,IF(IFERROR(VLOOKUP('PR Grupo'!AD$3&amp;'PR Grupo'!$G39,'Plan CP'!$K:$P,3,FALSE)&gt;1,0),IFERROR(VLOOKUP('PR Grupo'!AD$3&amp;'PR Grupo'!$G39,'Plan CP'!$K:$P,3,FALSE),0),0)))</f>
        <v>1</v>
      </c>
      <c r="AE39" s="58">
        <f>IF(AD39&gt;1,AD39-1,IF(COUNTIFS('Plan CP'!$O:$O,'PR Grupo'!$G39,'Plan CP'!$P:$P,'PR Grupo'!AE$3,'Plan CP'!$M:$M,1)=1,1,IF(IFERROR(VLOOKUP('PR Grupo'!AE$3&amp;'PR Grupo'!$G39,'Plan CP'!$K:$P,3,FALSE)&gt;1,0),IFERROR(VLOOKUP('PR Grupo'!AE$3&amp;'PR Grupo'!$G39,'Plan CP'!$K:$P,3,FALSE),0),0)))</f>
        <v>1</v>
      </c>
      <c r="AF39" s="58">
        <f>IF(AE39&gt;1,AE39-1,IF(COUNTIFS('Plan CP'!$O:$O,'PR Grupo'!$G39,'Plan CP'!$P:$P,'PR Grupo'!AF$3,'Plan CP'!$M:$M,1)=1,1,IF(IFERROR(VLOOKUP('PR Grupo'!AF$3&amp;'PR Grupo'!$G39,'Plan CP'!$K:$P,3,FALSE)&gt;1,0),IFERROR(VLOOKUP('PR Grupo'!AF$3&amp;'PR Grupo'!$G39,'Plan CP'!$K:$P,3,FALSE),0),0)))</f>
        <v>1</v>
      </c>
      <c r="AG39" s="58">
        <f>IF(AF39&gt;1,AF39-1,IF(COUNTIFS('Plan CP'!$O:$O,'PR Grupo'!$G39,'Plan CP'!$P:$P,'PR Grupo'!AG$3,'Plan CP'!$M:$M,1)=1,1,IF(IFERROR(VLOOKUP('PR Grupo'!AG$3&amp;'PR Grupo'!$G39,'Plan CP'!$K:$P,3,FALSE)&gt;1,0),IFERROR(VLOOKUP('PR Grupo'!AG$3&amp;'PR Grupo'!$G39,'Plan CP'!$K:$P,3,FALSE),0),0)))</f>
        <v>1</v>
      </c>
      <c r="AH39" s="58">
        <f>IF(AG39&gt;1,AG39-1,IF(COUNTIFS('Plan CP'!$O:$O,'PR Grupo'!$G39,'Plan CP'!$P:$P,'PR Grupo'!AH$3,'Plan CP'!$M:$M,1)=1,1,IF(IFERROR(VLOOKUP('PR Grupo'!AH$3&amp;'PR Grupo'!$G39,'Plan CP'!$K:$P,3,FALSE)&gt;1,0),IFERROR(VLOOKUP('PR Grupo'!AH$3&amp;'PR Grupo'!$G39,'Plan CP'!$K:$P,3,FALSE),0),0)))</f>
        <v>1</v>
      </c>
      <c r="AI39" s="58">
        <f>IF(AH39&gt;1,AH39-1,IF(COUNTIFS('Plan CP'!$O:$O,'PR Grupo'!$G39,'Plan CP'!$P:$P,'PR Grupo'!AI$3,'Plan CP'!$M:$M,1)=1,1,IF(IFERROR(VLOOKUP('PR Grupo'!AI$3&amp;'PR Grupo'!$G39,'Plan CP'!$K:$P,3,FALSE)&gt;1,0),IFERROR(VLOOKUP('PR Grupo'!AI$3&amp;'PR Grupo'!$G39,'Plan CP'!$K:$P,3,FALSE),0),0)))</f>
        <v>1</v>
      </c>
      <c r="AJ39" s="58">
        <f>IF(AI39&gt;1,AI39-1,IF(COUNTIFS('Plan CP'!$O:$O,'PR Grupo'!$G39,'Plan CP'!$P:$P,'PR Grupo'!AJ$3,'Plan CP'!$M:$M,1)=1,1,IF(IFERROR(VLOOKUP('PR Grupo'!AJ$3&amp;'PR Grupo'!$G39,'Plan CP'!$K:$P,3,FALSE)&gt;1,0),IFERROR(VLOOKUP('PR Grupo'!AJ$3&amp;'PR Grupo'!$G39,'Plan CP'!$K:$P,3,FALSE),0),0)))</f>
        <v>1</v>
      </c>
      <c r="AK39" s="58">
        <f>IF(AJ39&gt;1,AJ39-1,IF(COUNTIFS('Plan CP'!$O:$O,'PR Grupo'!$G39,'Plan CP'!$P:$P,'PR Grupo'!AK$3,'Plan CP'!$M:$M,1)=1,1,IF(IFERROR(VLOOKUP('PR Grupo'!AK$3&amp;'PR Grupo'!$G39,'Plan CP'!$K:$P,3,FALSE)&gt;1,0),IFERROR(VLOOKUP('PR Grupo'!AK$3&amp;'PR Grupo'!$G39,'Plan CP'!$K:$P,3,FALSE),0),0)))</f>
        <v>1</v>
      </c>
      <c r="AL39" s="58">
        <f>IF(AK39&gt;1,AK39-1,IF(COUNTIFS('Plan CP'!$O:$O,'PR Grupo'!$G39,'Plan CP'!$P:$P,'PR Grupo'!AL$3,'Plan CP'!$M:$M,1)=1,1,IF(IFERROR(VLOOKUP('PR Grupo'!AL$3&amp;'PR Grupo'!$G39,'Plan CP'!$K:$P,3,FALSE)&gt;1,0),IFERROR(VLOOKUP('PR Grupo'!AL$3&amp;'PR Grupo'!$G39,'Plan CP'!$K:$P,3,FALSE),0),0)))</f>
        <v>1</v>
      </c>
      <c r="AM39" s="58">
        <f>IF(AL39&gt;1,AL39-1,IF(COUNTIFS('Plan CP'!$O:$O,'PR Grupo'!$G39,'Plan CP'!$P:$P,'PR Grupo'!AM$3,'Plan CP'!$M:$M,1)=1,1,IF(IFERROR(VLOOKUP('PR Grupo'!AM$3&amp;'PR Grupo'!$G39,'Plan CP'!$K:$P,3,FALSE)&gt;1,0),IFERROR(VLOOKUP('PR Grupo'!AM$3&amp;'PR Grupo'!$G39,'Plan CP'!$K:$P,3,FALSE),0),0)))</f>
        <v>1</v>
      </c>
      <c r="AN39" s="58">
        <f>IF(AM39&gt;1,AM39-1,IF(COUNTIFS('Plan CP'!$O:$O,'PR Grupo'!$G39,'Plan CP'!$P:$P,'PR Grupo'!AN$3,'Plan CP'!$M:$M,1)=1,1,IF(IFERROR(VLOOKUP('PR Grupo'!AN$3&amp;'PR Grupo'!$G39,'Plan CP'!$K:$P,3,FALSE)&gt;1,0),IFERROR(VLOOKUP('PR Grupo'!AN$3&amp;'PR Grupo'!$G39,'Plan CP'!$K:$P,3,FALSE),0),0)))</f>
        <v>1</v>
      </c>
      <c r="AO39" s="58">
        <f>IF(AN39&gt;1,AN39-1,IF(COUNTIFS('Plan CP'!$O:$O,'PR Grupo'!$G39,'Plan CP'!$P:$P,'PR Grupo'!AO$3,'Plan CP'!$M:$M,1)=1,1,IF(IFERROR(VLOOKUP('PR Grupo'!AO$3&amp;'PR Grupo'!$G39,'Plan CP'!$K:$P,3,FALSE)&gt;1,0),IFERROR(VLOOKUP('PR Grupo'!AO$3&amp;'PR Grupo'!$G39,'Plan CP'!$K:$P,3,FALSE),0),0)))</f>
        <v>0</v>
      </c>
    </row>
    <row r="40" spans="1:41">
      <c r="A40" s="21" t="s">
        <v>33</v>
      </c>
      <c r="B40" s="21" t="s">
        <v>40</v>
      </c>
      <c r="C40" s="21" t="s">
        <v>232</v>
      </c>
      <c r="D40" s="21" t="s">
        <v>265</v>
      </c>
      <c r="E40" s="24" t="s">
        <v>177</v>
      </c>
      <c r="F40" s="21" t="s">
        <v>265</v>
      </c>
      <c r="G40" s="33" t="s">
        <v>192</v>
      </c>
      <c r="H40" s="24">
        <v>15</v>
      </c>
      <c r="I40" s="33">
        <f t="shared" si="2"/>
        <v>19</v>
      </c>
      <c r="J40" s="33" t="str">
        <f t="shared" si="3"/>
        <v>OK</v>
      </c>
      <c r="K40" s="58">
        <f>IF(COUNTIFS('Plan CP'!$O:$O,'PR Grupo'!$G40,'Plan CP'!$P:$P,'PR Grupo'!K$3,'Plan CP'!$M:$M,1)=1,1,IF(IFERROR(VLOOKUP('PR Grupo'!K$3&amp;'PR Grupo'!$G40,'Plan CP'!$K:$P,3,FALSE)&gt;1,0),IFERROR(VLOOKUP('PR Grupo'!K$3&amp;'PR Grupo'!$G40,'Plan CP'!$K:$P,3,FALSE),0),0))</f>
        <v>0</v>
      </c>
      <c r="L40" s="58">
        <f>IF(K40&gt;1,K40-1,IF(COUNTIFS('Plan CP'!$O:$O,'PR Grupo'!$G40,'Plan CP'!$P:$P,'PR Grupo'!L$3,'Plan CP'!$M:$M,1)=1,1,IF(IFERROR(VLOOKUP('PR Grupo'!L$3&amp;'PR Grupo'!$G40,'Plan CP'!$K:$P,3,FALSE)&gt;1,0),IFERROR(VLOOKUP('PR Grupo'!L$3&amp;'PR Grupo'!$G40,'Plan CP'!$K:$P,3,FALSE),0),0)))</f>
        <v>0</v>
      </c>
      <c r="M40" s="58">
        <f>IF(L40&gt;1,L40-1,IF(COUNTIFS('Plan CP'!$O:$O,'PR Grupo'!$G40,'Plan CP'!$P:$P,'PR Grupo'!M$3,'Plan CP'!$M:$M,1)=1,1,IF(IFERROR(VLOOKUP('PR Grupo'!M$3&amp;'PR Grupo'!$G40,'Plan CP'!$K:$P,3,FALSE)&gt;1,0),IFERROR(VLOOKUP('PR Grupo'!M$3&amp;'PR Grupo'!$G40,'Plan CP'!$K:$P,3,FALSE),0),0)))</f>
        <v>1</v>
      </c>
      <c r="N40" s="58">
        <f>IF(M40&gt;1,M40-1,IF(COUNTIFS('Plan CP'!$O:$O,'PR Grupo'!$G40,'Plan CP'!$P:$P,'PR Grupo'!N$3,'Plan CP'!$M:$M,1)=1,1,IF(IFERROR(VLOOKUP('PR Grupo'!N$3&amp;'PR Grupo'!$G40,'Plan CP'!$K:$P,3,FALSE)&gt;1,0),IFERROR(VLOOKUP('PR Grupo'!N$3&amp;'PR Grupo'!$G40,'Plan CP'!$K:$P,3,FALSE),0),0)))</f>
        <v>0</v>
      </c>
      <c r="O40" s="58">
        <f>IF(N40&gt;1,N40-1,IF(COUNTIFS('Plan CP'!$O:$O,'PR Grupo'!$G40,'Plan CP'!$P:$P,'PR Grupo'!O$3,'Plan CP'!$M:$M,1)=1,1,IF(IFERROR(VLOOKUP('PR Grupo'!O$3&amp;'PR Grupo'!$G40,'Plan CP'!$K:$P,3,FALSE)&gt;1,0),IFERROR(VLOOKUP('PR Grupo'!O$3&amp;'PR Grupo'!$G40,'Plan CP'!$K:$P,3,FALSE),0),0)))</f>
        <v>0</v>
      </c>
      <c r="P40" s="58">
        <f>IF(O40&gt;1,O40-1,IF(COUNTIFS('Plan CP'!$O:$O,'PR Grupo'!$G40,'Plan CP'!$P:$P,'PR Grupo'!P$3,'Plan CP'!$M:$M,1)=1,1,IF(IFERROR(VLOOKUP('PR Grupo'!P$3&amp;'PR Grupo'!$G40,'Plan CP'!$K:$P,3,FALSE)&gt;1,0),IFERROR(VLOOKUP('PR Grupo'!P$3&amp;'PR Grupo'!$G40,'Plan CP'!$K:$P,3,FALSE),0),0)))</f>
        <v>0</v>
      </c>
      <c r="Q40" s="58">
        <f>IF(P40&gt;1,P40-1,IF(COUNTIFS('Plan CP'!$O:$O,'PR Grupo'!$G40,'Plan CP'!$P:$P,'PR Grupo'!Q$3,'Plan CP'!$M:$M,1)=1,1,IF(IFERROR(VLOOKUP('PR Grupo'!Q$3&amp;'PR Grupo'!$G40,'Plan CP'!$K:$P,3,FALSE)&gt;1,0),IFERROR(VLOOKUP('PR Grupo'!Q$3&amp;'PR Grupo'!$G40,'Plan CP'!$K:$P,3,FALSE),0),0)))</f>
        <v>0</v>
      </c>
      <c r="R40" s="58">
        <f>IF(Q40&gt;1,Q40-1,IF(COUNTIFS('Plan CP'!$O:$O,'PR Grupo'!$G40,'Plan CP'!$P:$P,'PR Grupo'!R$3,'Plan CP'!$M:$M,1)=1,1,IF(IFERROR(VLOOKUP('PR Grupo'!R$3&amp;'PR Grupo'!$G40,'Plan CP'!$K:$P,3,FALSE)&gt;1,0),IFERROR(VLOOKUP('PR Grupo'!R$3&amp;'PR Grupo'!$G40,'Plan CP'!$K:$P,3,FALSE),0),0)))</f>
        <v>1</v>
      </c>
      <c r="S40" s="58">
        <f>IF(R40&gt;1,R40-1,IF(COUNTIFS('Plan CP'!$O:$O,'PR Grupo'!$G40,'Plan CP'!$P:$P,'PR Grupo'!S$3,'Plan CP'!$M:$M,1)=1,1,IF(IFERROR(VLOOKUP('PR Grupo'!S$3&amp;'PR Grupo'!$G40,'Plan CP'!$K:$P,3,FALSE)&gt;1,0),IFERROR(VLOOKUP('PR Grupo'!S$3&amp;'PR Grupo'!$G40,'Plan CP'!$K:$P,3,FALSE),0),0)))</f>
        <v>1</v>
      </c>
      <c r="T40" s="58">
        <f>IF(S40&gt;1,S40-1,IF(COUNTIFS('Plan CP'!$O:$O,'PR Grupo'!$G40,'Plan CP'!$P:$P,'PR Grupo'!T$3,'Plan CP'!$M:$M,1)=1,1,IF(IFERROR(VLOOKUP('PR Grupo'!T$3&amp;'PR Grupo'!$G40,'Plan CP'!$K:$P,3,FALSE)&gt;1,0),IFERROR(VLOOKUP('PR Grupo'!T$3&amp;'PR Grupo'!$G40,'Plan CP'!$K:$P,3,FALSE),0),0)))</f>
        <v>1</v>
      </c>
      <c r="U40" s="58">
        <f>IF(T40&gt;1,T40-1,IF(COUNTIFS('Plan CP'!$O:$O,'PR Grupo'!$G40,'Plan CP'!$P:$P,'PR Grupo'!U$3,'Plan CP'!$M:$M,1)=1,1,IF(IFERROR(VLOOKUP('PR Grupo'!U$3&amp;'PR Grupo'!$G40,'Plan CP'!$K:$P,3,FALSE)&gt;1,0),IFERROR(VLOOKUP('PR Grupo'!U$3&amp;'PR Grupo'!$G40,'Plan CP'!$K:$P,3,FALSE),0),0)))</f>
        <v>1</v>
      </c>
      <c r="V40" s="58">
        <f>IF(U40&gt;1,U40-1,IF(COUNTIFS('Plan CP'!$O:$O,'PR Grupo'!$G40,'Plan CP'!$P:$P,'PR Grupo'!V$3,'Plan CP'!$M:$M,1)=1,1,IF(IFERROR(VLOOKUP('PR Grupo'!V$3&amp;'PR Grupo'!$G40,'Plan CP'!$K:$P,3,FALSE)&gt;1,0),IFERROR(VLOOKUP('PR Grupo'!V$3&amp;'PR Grupo'!$G40,'Plan CP'!$K:$P,3,FALSE),0),0)))</f>
        <v>1</v>
      </c>
      <c r="W40" s="58">
        <f>IF(V40&gt;1,V40-1,IF(COUNTIFS('Plan CP'!$O:$O,'PR Grupo'!$G40,'Plan CP'!$P:$P,'PR Grupo'!W$3,'Plan CP'!$M:$M,1)=1,1,IF(IFERROR(VLOOKUP('PR Grupo'!W$3&amp;'PR Grupo'!$G40,'Plan CP'!$K:$P,3,FALSE)&gt;1,0),IFERROR(VLOOKUP('PR Grupo'!W$3&amp;'PR Grupo'!$G40,'Plan CP'!$K:$P,3,FALSE),0),0)))</f>
        <v>1</v>
      </c>
      <c r="X40" s="58">
        <f>IF(W40&gt;1,W40-1,IF(COUNTIFS('Plan CP'!$O:$O,'PR Grupo'!$G40,'Plan CP'!$P:$P,'PR Grupo'!X$3,'Plan CP'!$M:$M,1)=1,1,IF(IFERROR(VLOOKUP('PR Grupo'!X$3&amp;'PR Grupo'!$G40,'Plan CP'!$K:$P,3,FALSE)&gt;1,0),IFERROR(VLOOKUP('PR Grupo'!X$3&amp;'PR Grupo'!$G40,'Plan CP'!$K:$P,3,FALSE),0),0)))</f>
        <v>1</v>
      </c>
      <c r="Y40" s="58">
        <f>IF(X40&gt;1,X40-1,IF(COUNTIFS('Plan CP'!$O:$O,'PR Grupo'!$G40,'Plan CP'!$P:$P,'PR Grupo'!Y$3,'Plan CP'!$M:$M,1)=1,1,IF(IFERROR(VLOOKUP('PR Grupo'!Y$3&amp;'PR Grupo'!$G40,'Plan CP'!$K:$P,3,FALSE)&gt;1,0),IFERROR(VLOOKUP('PR Grupo'!Y$3&amp;'PR Grupo'!$G40,'Plan CP'!$K:$P,3,FALSE),0),0)))</f>
        <v>1</v>
      </c>
      <c r="Z40" s="58">
        <f>IF(Y40&gt;1,Y40-1,IF(COUNTIFS('Plan CP'!$O:$O,'PR Grupo'!$G40,'Plan CP'!$P:$P,'PR Grupo'!Z$3,'Plan CP'!$M:$M,1)=1,1,IF(IFERROR(VLOOKUP('PR Grupo'!Z$3&amp;'PR Grupo'!$G40,'Plan CP'!$K:$P,3,FALSE)&gt;1,0),IFERROR(VLOOKUP('PR Grupo'!Z$3&amp;'PR Grupo'!$G40,'Plan CP'!$K:$P,3,FALSE),0),0)))</f>
        <v>1</v>
      </c>
      <c r="AA40" s="58">
        <f>IF(Z40&gt;1,Z40-1,IF(COUNTIFS('Plan CP'!$O:$O,'PR Grupo'!$G40,'Plan CP'!$P:$P,'PR Grupo'!AA$3,'Plan CP'!$M:$M,1)=1,1,IF(IFERROR(VLOOKUP('PR Grupo'!AA$3&amp;'PR Grupo'!$G40,'Plan CP'!$K:$P,3,FALSE)&gt;1,0),IFERROR(VLOOKUP('PR Grupo'!AA$3&amp;'PR Grupo'!$G40,'Plan CP'!$K:$P,3,FALSE),0),0)))</f>
        <v>1</v>
      </c>
      <c r="AB40" s="58">
        <f>IF(AA40&gt;1,AA40-1,IF(COUNTIFS('Plan CP'!$O:$O,'PR Grupo'!$G40,'Plan CP'!$P:$P,'PR Grupo'!AB$3,'Plan CP'!$M:$M,1)=1,1,IF(IFERROR(VLOOKUP('PR Grupo'!AB$3&amp;'PR Grupo'!$G40,'Plan CP'!$K:$P,3,FALSE)&gt;1,0),IFERROR(VLOOKUP('PR Grupo'!AB$3&amp;'PR Grupo'!$G40,'Plan CP'!$K:$P,3,FALSE),0),0)))</f>
        <v>1</v>
      </c>
      <c r="AC40" s="58">
        <f>IF(AB40&gt;1,AB40-1,IF(COUNTIFS('Plan CP'!$O:$O,'PR Grupo'!$G40,'Plan CP'!$P:$P,'PR Grupo'!AC$3,'Plan CP'!$M:$M,1)=1,1,IF(IFERROR(VLOOKUP('PR Grupo'!AC$3&amp;'PR Grupo'!$G40,'Plan CP'!$K:$P,3,FALSE)&gt;1,0),IFERROR(VLOOKUP('PR Grupo'!AC$3&amp;'PR Grupo'!$G40,'Plan CP'!$K:$P,3,FALSE),0),0)))</f>
        <v>1</v>
      </c>
      <c r="AD40" s="58">
        <f>IF(AC40&gt;1,AC40-1,IF(COUNTIFS('Plan CP'!$O:$O,'PR Grupo'!$G40,'Plan CP'!$P:$P,'PR Grupo'!AD$3,'Plan CP'!$M:$M,1)=1,1,IF(IFERROR(VLOOKUP('PR Grupo'!AD$3&amp;'PR Grupo'!$G40,'Plan CP'!$K:$P,3,FALSE)&gt;1,0),IFERROR(VLOOKUP('PR Grupo'!AD$3&amp;'PR Grupo'!$G40,'Plan CP'!$K:$P,3,FALSE),0),0)))</f>
        <v>1</v>
      </c>
      <c r="AE40" s="58">
        <f>IF(AD40&gt;1,AD40-1,IF(COUNTIFS('Plan CP'!$O:$O,'PR Grupo'!$G40,'Plan CP'!$P:$P,'PR Grupo'!AE$3,'Plan CP'!$M:$M,1)=1,1,IF(IFERROR(VLOOKUP('PR Grupo'!AE$3&amp;'PR Grupo'!$G40,'Plan CP'!$K:$P,3,FALSE)&gt;1,0),IFERROR(VLOOKUP('PR Grupo'!AE$3&amp;'PR Grupo'!$G40,'Plan CP'!$K:$P,3,FALSE),0),0)))</f>
        <v>1</v>
      </c>
      <c r="AF40" s="58">
        <f>IF(AE40&gt;1,AE40-1,IF(COUNTIFS('Plan CP'!$O:$O,'PR Grupo'!$G40,'Plan CP'!$P:$P,'PR Grupo'!AF$3,'Plan CP'!$M:$M,1)=1,1,IF(IFERROR(VLOOKUP('PR Grupo'!AF$3&amp;'PR Grupo'!$G40,'Plan CP'!$K:$P,3,FALSE)&gt;1,0),IFERROR(VLOOKUP('PR Grupo'!AF$3&amp;'PR Grupo'!$G40,'Plan CP'!$K:$P,3,FALSE),0),0)))</f>
        <v>1</v>
      </c>
      <c r="AG40" s="58">
        <f>IF(AF40&gt;1,AF40-1,IF(COUNTIFS('Plan CP'!$O:$O,'PR Grupo'!$G40,'Plan CP'!$P:$P,'PR Grupo'!AG$3,'Plan CP'!$M:$M,1)=1,1,IF(IFERROR(VLOOKUP('PR Grupo'!AG$3&amp;'PR Grupo'!$G40,'Plan CP'!$K:$P,3,FALSE)&gt;1,0),IFERROR(VLOOKUP('PR Grupo'!AG$3&amp;'PR Grupo'!$G40,'Plan CP'!$K:$P,3,FALSE),0),0)))</f>
        <v>1</v>
      </c>
      <c r="AH40" s="58">
        <f>IF(AG40&gt;1,AG40-1,IF(COUNTIFS('Plan CP'!$O:$O,'PR Grupo'!$G40,'Plan CP'!$P:$P,'PR Grupo'!AH$3,'Plan CP'!$M:$M,1)=1,1,IF(IFERROR(VLOOKUP('PR Grupo'!AH$3&amp;'PR Grupo'!$G40,'Plan CP'!$K:$P,3,FALSE)&gt;1,0),IFERROR(VLOOKUP('PR Grupo'!AH$3&amp;'PR Grupo'!$G40,'Plan CP'!$K:$P,3,FALSE),0),0)))</f>
        <v>1</v>
      </c>
      <c r="AI40" s="58">
        <f>IF(AH40&gt;1,AH40-1,IF(COUNTIFS('Plan CP'!$O:$O,'PR Grupo'!$G40,'Plan CP'!$P:$P,'PR Grupo'!AI$3,'Plan CP'!$M:$M,1)=1,1,IF(IFERROR(VLOOKUP('PR Grupo'!AI$3&amp;'PR Grupo'!$G40,'Plan CP'!$K:$P,3,FALSE)&gt;1,0),IFERROR(VLOOKUP('PR Grupo'!AI$3&amp;'PR Grupo'!$G40,'Plan CP'!$K:$P,3,FALSE),0),0)))</f>
        <v>1</v>
      </c>
      <c r="AJ40" s="58">
        <f>IF(AI40&gt;1,AI40-1,IF(COUNTIFS('Plan CP'!$O:$O,'PR Grupo'!$G40,'Plan CP'!$P:$P,'PR Grupo'!AJ$3,'Plan CP'!$M:$M,1)=1,1,IF(IFERROR(VLOOKUP('PR Grupo'!AJ$3&amp;'PR Grupo'!$G40,'Plan CP'!$K:$P,3,FALSE)&gt;1,0),IFERROR(VLOOKUP('PR Grupo'!AJ$3&amp;'PR Grupo'!$G40,'Plan CP'!$K:$P,3,FALSE),0),0)))</f>
        <v>0</v>
      </c>
      <c r="AK40" s="58">
        <f>IF(AJ40&gt;1,AJ40-1,IF(COUNTIFS('Plan CP'!$O:$O,'PR Grupo'!$G40,'Plan CP'!$P:$P,'PR Grupo'!AK$3,'Plan CP'!$M:$M,1)=1,1,IF(IFERROR(VLOOKUP('PR Grupo'!AK$3&amp;'PR Grupo'!$G40,'Plan CP'!$K:$P,3,FALSE)&gt;1,0),IFERROR(VLOOKUP('PR Grupo'!AK$3&amp;'PR Grupo'!$G40,'Plan CP'!$K:$P,3,FALSE),0),0)))</f>
        <v>0</v>
      </c>
      <c r="AL40" s="58">
        <f>IF(AK40&gt;1,AK40-1,IF(COUNTIFS('Plan CP'!$O:$O,'PR Grupo'!$G40,'Plan CP'!$P:$P,'PR Grupo'!AL$3,'Plan CP'!$M:$M,1)=1,1,IF(IFERROR(VLOOKUP('PR Grupo'!AL$3&amp;'PR Grupo'!$G40,'Plan CP'!$K:$P,3,FALSE)&gt;1,0),IFERROR(VLOOKUP('PR Grupo'!AL$3&amp;'PR Grupo'!$G40,'Plan CP'!$K:$P,3,FALSE),0),0)))</f>
        <v>0</v>
      </c>
      <c r="AM40" s="58">
        <f>IF(AL40&gt;1,AL40-1,IF(COUNTIFS('Plan CP'!$O:$O,'PR Grupo'!$G40,'Plan CP'!$P:$P,'PR Grupo'!AM$3,'Plan CP'!$M:$M,1)=1,1,IF(IFERROR(VLOOKUP('PR Grupo'!AM$3&amp;'PR Grupo'!$G40,'Plan CP'!$K:$P,3,FALSE)&gt;1,0),IFERROR(VLOOKUP('PR Grupo'!AM$3&amp;'PR Grupo'!$G40,'Plan CP'!$K:$P,3,FALSE),0),0)))</f>
        <v>0</v>
      </c>
      <c r="AN40" s="58">
        <f>IF(AM40&gt;1,AM40-1,IF(COUNTIFS('Plan CP'!$O:$O,'PR Grupo'!$G40,'Plan CP'!$P:$P,'PR Grupo'!AN$3,'Plan CP'!$M:$M,1)=1,1,IF(IFERROR(VLOOKUP('PR Grupo'!AN$3&amp;'PR Grupo'!$G40,'Plan CP'!$K:$P,3,FALSE)&gt;1,0),IFERROR(VLOOKUP('PR Grupo'!AN$3&amp;'PR Grupo'!$G40,'Plan CP'!$K:$P,3,FALSE),0),0)))</f>
        <v>0</v>
      </c>
      <c r="AO40" s="58">
        <f>IF(AN40&gt;1,AN40-1,IF(COUNTIFS('Plan CP'!$O:$O,'PR Grupo'!$G40,'Plan CP'!$P:$P,'PR Grupo'!AO$3,'Plan CP'!$M:$M,1)=1,1,IF(IFERROR(VLOOKUP('PR Grupo'!AO$3&amp;'PR Grupo'!$G40,'Plan CP'!$K:$P,3,FALSE)&gt;1,0),IFERROR(VLOOKUP('PR Grupo'!AO$3&amp;'PR Grupo'!$G40,'Plan CP'!$K:$P,3,FALSE),0),0)))</f>
        <v>0</v>
      </c>
    </row>
    <row r="41" spans="1:41">
      <c r="A41" s="21" t="s">
        <v>33</v>
      </c>
      <c r="B41" s="21" t="s">
        <v>40</v>
      </c>
      <c r="C41" s="21" t="s">
        <v>233</v>
      </c>
      <c r="D41" s="21" t="s">
        <v>265</v>
      </c>
      <c r="E41" s="24" t="s">
        <v>177</v>
      </c>
      <c r="F41" s="21" t="s">
        <v>265</v>
      </c>
      <c r="G41" s="33" t="s">
        <v>192</v>
      </c>
      <c r="H41" s="24">
        <v>15</v>
      </c>
      <c r="I41" s="33">
        <f t="shared" si="2"/>
        <v>19</v>
      </c>
      <c r="J41" s="33" t="str">
        <f t="shared" si="3"/>
        <v>OK</v>
      </c>
      <c r="K41" s="58">
        <f>IF(COUNTIFS('Plan CP'!$O:$O,'PR Grupo'!$G41,'Plan CP'!$P:$P,'PR Grupo'!K$3,'Plan CP'!$M:$M,1)=1,1,IF(IFERROR(VLOOKUP('PR Grupo'!K$3&amp;'PR Grupo'!$G41,'Plan CP'!$K:$P,3,FALSE)&gt;1,0),IFERROR(VLOOKUP('PR Grupo'!K$3&amp;'PR Grupo'!$G41,'Plan CP'!$K:$P,3,FALSE),0),0))</f>
        <v>0</v>
      </c>
      <c r="L41" s="58">
        <f>IF(K41&gt;1,K41-1,IF(COUNTIFS('Plan CP'!$O:$O,'PR Grupo'!$G41,'Plan CP'!$P:$P,'PR Grupo'!L$3,'Plan CP'!$M:$M,1)=1,1,IF(IFERROR(VLOOKUP('PR Grupo'!L$3&amp;'PR Grupo'!$G41,'Plan CP'!$K:$P,3,FALSE)&gt;1,0),IFERROR(VLOOKUP('PR Grupo'!L$3&amp;'PR Grupo'!$G41,'Plan CP'!$K:$P,3,FALSE),0),0)))</f>
        <v>0</v>
      </c>
      <c r="M41" s="58">
        <f>IF(L41&gt;1,L41-1,IF(COUNTIFS('Plan CP'!$O:$O,'PR Grupo'!$G41,'Plan CP'!$P:$P,'PR Grupo'!M$3,'Plan CP'!$M:$M,1)=1,1,IF(IFERROR(VLOOKUP('PR Grupo'!M$3&amp;'PR Grupo'!$G41,'Plan CP'!$K:$P,3,FALSE)&gt;1,0),IFERROR(VLOOKUP('PR Grupo'!M$3&amp;'PR Grupo'!$G41,'Plan CP'!$K:$P,3,FALSE),0),0)))</f>
        <v>1</v>
      </c>
      <c r="N41" s="58">
        <f>IF(M41&gt;1,M41-1,IF(COUNTIFS('Plan CP'!$O:$O,'PR Grupo'!$G41,'Plan CP'!$P:$P,'PR Grupo'!N$3,'Plan CP'!$M:$M,1)=1,1,IF(IFERROR(VLOOKUP('PR Grupo'!N$3&amp;'PR Grupo'!$G41,'Plan CP'!$K:$P,3,FALSE)&gt;1,0),IFERROR(VLOOKUP('PR Grupo'!N$3&amp;'PR Grupo'!$G41,'Plan CP'!$K:$P,3,FALSE),0),0)))</f>
        <v>0</v>
      </c>
      <c r="O41" s="58">
        <f>IF(N41&gt;1,N41-1,IF(COUNTIFS('Plan CP'!$O:$O,'PR Grupo'!$G41,'Plan CP'!$P:$P,'PR Grupo'!O$3,'Plan CP'!$M:$M,1)=1,1,IF(IFERROR(VLOOKUP('PR Grupo'!O$3&amp;'PR Grupo'!$G41,'Plan CP'!$K:$P,3,FALSE)&gt;1,0),IFERROR(VLOOKUP('PR Grupo'!O$3&amp;'PR Grupo'!$G41,'Plan CP'!$K:$P,3,FALSE),0),0)))</f>
        <v>0</v>
      </c>
      <c r="P41" s="58">
        <f>IF(O41&gt;1,O41-1,IF(COUNTIFS('Plan CP'!$O:$O,'PR Grupo'!$G41,'Plan CP'!$P:$P,'PR Grupo'!P$3,'Plan CP'!$M:$M,1)=1,1,IF(IFERROR(VLOOKUP('PR Grupo'!P$3&amp;'PR Grupo'!$G41,'Plan CP'!$K:$P,3,FALSE)&gt;1,0),IFERROR(VLOOKUP('PR Grupo'!P$3&amp;'PR Grupo'!$G41,'Plan CP'!$K:$P,3,FALSE),0),0)))</f>
        <v>0</v>
      </c>
      <c r="Q41" s="58">
        <f>IF(P41&gt;1,P41-1,IF(COUNTIFS('Plan CP'!$O:$O,'PR Grupo'!$G41,'Plan CP'!$P:$P,'PR Grupo'!Q$3,'Plan CP'!$M:$M,1)=1,1,IF(IFERROR(VLOOKUP('PR Grupo'!Q$3&amp;'PR Grupo'!$G41,'Plan CP'!$K:$P,3,FALSE)&gt;1,0),IFERROR(VLOOKUP('PR Grupo'!Q$3&amp;'PR Grupo'!$G41,'Plan CP'!$K:$P,3,FALSE),0),0)))</f>
        <v>0</v>
      </c>
      <c r="R41" s="58">
        <f>IF(Q41&gt;1,Q41-1,IF(COUNTIFS('Plan CP'!$O:$O,'PR Grupo'!$G41,'Plan CP'!$P:$P,'PR Grupo'!R$3,'Plan CP'!$M:$M,1)=1,1,IF(IFERROR(VLOOKUP('PR Grupo'!R$3&amp;'PR Grupo'!$G41,'Plan CP'!$K:$P,3,FALSE)&gt;1,0),IFERROR(VLOOKUP('PR Grupo'!R$3&amp;'PR Grupo'!$G41,'Plan CP'!$K:$P,3,FALSE),0),0)))</f>
        <v>1</v>
      </c>
      <c r="S41" s="58">
        <f>IF(R41&gt;1,R41-1,IF(COUNTIFS('Plan CP'!$O:$O,'PR Grupo'!$G41,'Plan CP'!$P:$P,'PR Grupo'!S$3,'Plan CP'!$M:$M,1)=1,1,IF(IFERROR(VLOOKUP('PR Grupo'!S$3&amp;'PR Grupo'!$G41,'Plan CP'!$K:$P,3,FALSE)&gt;1,0),IFERROR(VLOOKUP('PR Grupo'!S$3&amp;'PR Grupo'!$G41,'Plan CP'!$K:$P,3,FALSE),0),0)))</f>
        <v>1</v>
      </c>
      <c r="T41" s="58">
        <f>IF(S41&gt;1,S41-1,IF(COUNTIFS('Plan CP'!$O:$O,'PR Grupo'!$G41,'Plan CP'!$P:$P,'PR Grupo'!T$3,'Plan CP'!$M:$M,1)=1,1,IF(IFERROR(VLOOKUP('PR Grupo'!T$3&amp;'PR Grupo'!$G41,'Plan CP'!$K:$P,3,FALSE)&gt;1,0),IFERROR(VLOOKUP('PR Grupo'!T$3&amp;'PR Grupo'!$G41,'Plan CP'!$K:$P,3,FALSE),0),0)))</f>
        <v>1</v>
      </c>
      <c r="U41" s="58">
        <f>IF(T41&gt;1,T41-1,IF(COUNTIFS('Plan CP'!$O:$O,'PR Grupo'!$G41,'Plan CP'!$P:$P,'PR Grupo'!U$3,'Plan CP'!$M:$M,1)=1,1,IF(IFERROR(VLOOKUP('PR Grupo'!U$3&amp;'PR Grupo'!$G41,'Plan CP'!$K:$P,3,FALSE)&gt;1,0),IFERROR(VLOOKUP('PR Grupo'!U$3&amp;'PR Grupo'!$G41,'Plan CP'!$K:$P,3,FALSE),0),0)))</f>
        <v>1</v>
      </c>
      <c r="V41" s="58">
        <f>IF(U41&gt;1,U41-1,IF(COUNTIFS('Plan CP'!$O:$O,'PR Grupo'!$G41,'Plan CP'!$P:$P,'PR Grupo'!V$3,'Plan CP'!$M:$M,1)=1,1,IF(IFERROR(VLOOKUP('PR Grupo'!V$3&amp;'PR Grupo'!$G41,'Plan CP'!$K:$P,3,FALSE)&gt;1,0),IFERROR(VLOOKUP('PR Grupo'!V$3&amp;'PR Grupo'!$G41,'Plan CP'!$K:$P,3,FALSE),0),0)))</f>
        <v>1</v>
      </c>
      <c r="W41" s="58">
        <f>IF(V41&gt;1,V41-1,IF(COUNTIFS('Plan CP'!$O:$O,'PR Grupo'!$G41,'Plan CP'!$P:$P,'PR Grupo'!W$3,'Plan CP'!$M:$M,1)=1,1,IF(IFERROR(VLOOKUP('PR Grupo'!W$3&amp;'PR Grupo'!$G41,'Plan CP'!$K:$P,3,FALSE)&gt;1,0),IFERROR(VLOOKUP('PR Grupo'!W$3&amp;'PR Grupo'!$G41,'Plan CP'!$K:$P,3,FALSE),0),0)))</f>
        <v>1</v>
      </c>
      <c r="X41" s="58">
        <f>IF(W41&gt;1,W41-1,IF(COUNTIFS('Plan CP'!$O:$O,'PR Grupo'!$G41,'Plan CP'!$P:$P,'PR Grupo'!X$3,'Plan CP'!$M:$M,1)=1,1,IF(IFERROR(VLOOKUP('PR Grupo'!X$3&amp;'PR Grupo'!$G41,'Plan CP'!$K:$P,3,FALSE)&gt;1,0),IFERROR(VLOOKUP('PR Grupo'!X$3&amp;'PR Grupo'!$G41,'Plan CP'!$K:$P,3,FALSE),0),0)))</f>
        <v>1</v>
      </c>
      <c r="Y41" s="58">
        <f>IF(X41&gt;1,X41-1,IF(COUNTIFS('Plan CP'!$O:$O,'PR Grupo'!$G41,'Plan CP'!$P:$P,'PR Grupo'!Y$3,'Plan CP'!$M:$M,1)=1,1,IF(IFERROR(VLOOKUP('PR Grupo'!Y$3&amp;'PR Grupo'!$G41,'Plan CP'!$K:$P,3,FALSE)&gt;1,0),IFERROR(VLOOKUP('PR Grupo'!Y$3&amp;'PR Grupo'!$G41,'Plan CP'!$K:$P,3,FALSE),0),0)))</f>
        <v>1</v>
      </c>
      <c r="Z41" s="58">
        <f>IF(Y41&gt;1,Y41-1,IF(COUNTIFS('Plan CP'!$O:$O,'PR Grupo'!$G41,'Plan CP'!$P:$P,'PR Grupo'!Z$3,'Plan CP'!$M:$M,1)=1,1,IF(IFERROR(VLOOKUP('PR Grupo'!Z$3&amp;'PR Grupo'!$G41,'Plan CP'!$K:$P,3,FALSE)&gt;1,0),IFERROR(VLOOKUP('PR Grupo'!Z$3&amp;'PR Grupo'!$G41,'Plan CP'!$K:$P,3,FALSE),0),0)))</f>
        <v>1</v>
      </c>
      <c r="AA41" s="58">
        <f>IF(Z41&gt;1,Z41-1,IF(COUNTIFS('Plan CP'!$O:$O,'PR Grupo'!$G41,'Plan CP'!$P:$P,'PR Grupo'!AA$3,'Plan CP'!$M:$M,1)=1,1,IF(IFERROR(VLOOKUP('PR Grupo'!AA$3&amp;'PR Grupo'!$G41,'Plan CP'!$K:$P,3,FALSE)&gt;1,0),IFERROR(VLOOKUP('PR Grupo'!AA$3&amp;'PR Grupo'!$G41,'Plan CP'!$K:$P,3,FALSE),0),0)))</f>
        <v>1</v>
      </c>
      <c r="AB41" s="58">
        <f>IF(AA41&gt;1,AA41-1,IF(COUNTIFS('Plan CP'!$O:$O,'PR Grupo'!$G41,'Plan CP'!$P:$P,'PR Grupo'!AB$3,'Plan CP'!$M:$M,1)=1,1,IF(IFERROR(VLOOKUP('PR Grupo'!AB$3&amp;'PR Grupo'!$G41,'Plan CP'!$K:$P,3,FALSE)&gt;1,0),IFERROR(VLOOKUP('PR Grupo'!AB$3&amp;'PR Grupo'!$G41,'Plan CP'!$K:$P,3,FALSE),0),0)))</f>
        <v>1</v>
      </c>
      <c r="AC41" s="58">
        <f>IF(AB41&gt;1,AB41-1,IF(COUNTIFS('Plan CP'!$O:$O,'PR Grupo'!$G41,'Plan CP'!$P:$P,'PR Grupo'!AC$3,'Plan CP'!$M:$M,1)=1,1,IF(IFERROR(VLOOKUP('PR Grupo'!AC$3&amp;'PR Grupo'!$G41,'Plan CP'!$K:$P,3,FALSE)&gt;1,0),IFERROR(VLOOKUP('PR Grupo'!AC$3&amp;'PR Grupo'!$G41,'Plan CP'!$K:$P,3,FALSE),0),0)))</f>
        <v>1</v>
      </c>
      <c r="AD41" s="58">
        <f>IF(AC41&gt;1,AC41-1,IF(COUNTIFS('Plan CP'!$O:$O,'PR Grupo'!$G41,'Plan CP'!$P:$P,'PR Grupo'!AD$3,'Plan CP'!$M:$M,1)=1,1,IF(IFERROR(VLOOKUP('PR Grupo'!AD$3&amp;'PR Grupo'!$G41,'Plan CP'!$K:$P,3,FALSE)&gt;1,0),IFERROR(VLOOKUP('PR Grupo'!AD$3&amp;'PR Grupo'!$G41,'Plan CP'!$K:$P,3,FALSE),0),0)))</f>
        <v>1</v>
      </c>
      <c r="AE41" s="58">
        <f>IF(AD41&gt;1,AD41-1,IF(COUNTIFS('Plan CP'!$O:$O,'PR Grupo'!$G41,'Plan CP'!$P:$P,'PR Grupo'!AE$3,'Plan CP'!$M:$M,1)=1,1,IF(IFERROR(VLOOKUP('PR Grupo'!AE$3&amp;'PR Grupo'!$G41,'Plan CP'!$K:$P,3,FALSE)&gt;1,0),IFERROR(VLOOKUP('PR Grupo'!AE$3&amp;'PR Grupo'!$G41,'Plan CP'!$K:$P,3,FALSE),0),0)))</f>
        <v>1</v>
      </c>
      <c r="AF41" s="58">
        <f>IF(AE41&gt;1,AE41-1,IF(COUNTIFS('Plan CP'!$O:$O,'PR Grupo'!$G41,'Plan CP'!$P:$P,'PR Grupo'!AF$3,'Plan CP'!$M:$M,1)=1,1,IF(IFERROR(VLOOKUP('PR Grupo'!AF$3&amp;'PR Grupo'!$G41,'Plan CP'!$K:$P,3,FALSE)&gt;1,0),IFERROR(VLOOKUP('PR Grupo'!AF$3&amp;'PR Grupo'!$G41,'Plan CP'!$K:$P,3,FALSE),0),0)))</f>
        <v>1</v>
      </c>
      <c r="AG41" s="58">
        <f>IF(AF41&gt;1,AF41-1,IF(COUNTIFS('Plan CP'!$O:$O,'PR Grupo'!$G41,'Plan CP'!$P:$P,'PR Grupo'!AG$3,'Plan CP'!$M:$M,1)=1,1,IF(IFERROR(VLOOKUP('PR Grupo'!AG$3&amp;'PR Grupo'!$G41,'Plan CP'!$K:$P,3,FALSE)&gt;1,0),IFERROR(VLOOKUP('PR Grupo'!AG$3&amp;'PR Grupo'!$G41,'Plan CP'!$K:$P,3,FALSE),0),0)))</f>
        <v>1</v>
      </c>
      <c r="AH41" s="58">
        <f>IF(AG41&gt;1,AG41-1,IF(COUNTIFS('Plan CP'!$O:$O,'PR Grupo'!$G41,'Plan CP'!$P:$P,'PR Grupo'!AH$3,'Plan CP'!$M:$M,1)=1,1,IF(IFERROR(VLOOKUP('PR Grupo'!AH$3&amp;'PR Grupo'!$G41,'Plan CP'!$K:$P,3,FALSE)&gt;1,0),IFERROR(VLOOKUP('PR Grupo'!AH$3&amp;'PR Grupo'!$G41,'Plan CP'!$K:$P,3,FALSE),0),0)))</f>
        <v>1</v>
      </c>
      <c r="AI41" s="58">
        <f>IF(AH41&gt;1,AH41-1,IF(COUNTIFS('Plan CP'!$O:$O,'PR Grupo'!$G41,'Plan CP'!$P:$P,'PR Grupo'!AI$3,'Plan CP'!$M:$M,1)=1,1,IF(IFERROR(VLOOKUP('PR Grupo'!AI$3&amp;'PR Grupo'!$G41,'Plan CP'!$K:$P,3,FALSE)&gt;1,0),IFERROR(VLOOKUP('PR Grupo'!AI$3&amp;'PR Grupo'!$G41,'Plan CP'!$K:$P,3,FALSE),0),0)))</f>
        <v>1</v>
      </c>
      <c r="AJ41" s="58">
        <f>IF(AI41&gt;1,AI41-1,IF(COUNTIFS('Plan CP'!$O:$O,'PR Grupo'!$G41,'Plan CP'!$P:$P,'PR Grupo'!AJ$3,'Plan CP'!$M:$M,1)=1,1,IF(IFERROR(VLOOKUP('PR Grupo'!AJ$3&amp;'PR Grupo'!$G41,'Plan CP'!$K:$P,3,FALSE)&gt;1,0),IFERROR(VLOOKUP('PR Grupo'!AJ$3&amp;'PR Grupo'!$G41,'Plan CP'!$K:$P,3,FALSE),0),0)))</f>
        <v>0</v>
      </c>
      <c r="AK41" s="58">
        <f>IF(AJ41&gt;1,AJ41-1,IF(COUNTIFS('Plan CP'!$O:$O,'PR Grupo'!$G41,'Plan CP'!$P:$P,'PR Grupo'!AK$3,'Plan CP'!$M:$M,1)=1,1,IF(IFERROR(VLOOKUP('PR Grupo'!AK$3&amp;'PR Grupo'!$G41,'Plan CP'!$K:$P,3,FALSE)&gt;1,0),IFERROR(VLOOKUP('PR Grupo'!AK$3&amp;'PR Grupo'!$G41,'Plan CP'!$K:$P,3,FALSE),0),0)))</f>
        <v>0</v>
      </c>
      <c r="AL41" s="58">
        <f>IF(AK41&gt;1,AK41-1,IF(COUNTIFS('Plan CP'!$O:$O,'PR Grupo'!$G41,'Plan CP'!$P:$P,'PR Grupo'!AL$3,'Plan CP'!$M:$M,1)=1,1,IF(IFERROR(VLOOKUP('PR Grupo'!AL$3&amp;'PR Grupo'!$G41,'Plan CP'!$K:$P,3,FALSE)&gt;1,0),IFERROR(VLOOKUP('PR Grupo'!AL$3&amp;'PR Grupo'!$G41,'Plan CP'!$K:$P,3,FALSE),0),0)))</f>
        <v>0</v>
      </c>
      <c r="AM41" s="58">
        <f>IF(AL41&gt;1,AL41-1,IF(COUNTIFS('Plan CP'!$O:$O,'PR Grupo'!$G41,'Plan CP'!$P:$P,'PR Grupo'!AM$3,'Plan CP'!$M:$M,1)=1,1,IF(IFERROR(VLOOKUP('PR Grupo'!AM$3&amp;'PR Grupo'!$G41,'Plan CP'!$K:$P,3,FALSE)&gt;1,0),IFERROR(VLOOKUP('PR Grupo'!AM$3&amp;'PR Grupo'!$G41,'Plan CP'!$K:$P,3,FALSE),0),0)))</f>
        <v>0</v>
      </c>
      <c r="AN41" s="58">
        <f>IF(AM41&gt;1,AM41-1,IF(COUNTIFS('Plan CP'!$O:$O,'PR Grupo'!$G41,'Plan CP'!$P:$P,'PR Grupo'!AN$3,'Plan CP'!$M:$M,1)=1,1,IF(IFERROR(VLOOKUP('PR Grupo'!AN$3&amp;'PR Grupo'!$G41,'Plan CP'!$K:$P,3,FALSE)&gt;1,0),IFERROR(VLOOKUP('PR Grupo'!AN$3&amp;'PR Grupo'!$G41,'Plan CP'!$K:$P,3,FALSE),0),0)))</f>
        <v>0</v>
      </c>
      <c r="AO41" s="58">
        <f>IF(AN41&gt;1,AN41-1,IF(COUNTIFS('Plan CP'!$O:$O,'PR Grupo'!$G41,'Plan CP'!$P:$P,'PR Grupo'!AO$3,'Plan CP'!$M:$M,1)=1,1,IF(IFERROR(VLOOKUP('PR Grupo'!AO$3&amp;'PR Grupo'!$G41,'Plan CP'!$K:$P,3,FALSE)&gt;1,0),IFERROR(VLOOKUP('PR Grupo'!AO$3&amp;'PR Grupo'!$G41,'Plan CP'!$K:$P,3,FALSE),0),0)))</f>
        <v>0</v>
      </c>
    </row>
    <row r="42" spans="1:41">
      <c r="A42" s="21" t="s">
        <v>33</v>
      </c>
      <c r="B42" s="21" t="s">
        <v>40</v>
      </c>
      <c r="C42" s="21" t="s">
        <v>234</v>
      </c>
      <c r="D42" s="21" t="s">
        <v>265</v>
      </c>
      <c r="E42" s="24" t="s">
        <v>177</v>
      </c>
      <c r="F42" s="21" t="s">
        <v>265</v>
      </c>
      <c r="G42" s="33" t="s">
        <v>192</v>
      </c>
      <c r="H42" s="24">
        <v>15</v>
      </c>
      <c r="I42" s="33">
        <f t="shared" si="2"/>
        <v>19</v>
      </c>
      <c r="J42" s="33" t="str">
        <f t="shared" si="3"/>
        <v>OK</v>
      </c>
      <c r="K42" s="58">
        <f>IF(COUNTIFS('Plan CP'!$O:$O,'PR Grupo'!$G42,'Plan CP'!$P:$P,'PR Grupo'!K$3,'Plan CP'!$M:$M,1)=1,1,IF(IFERROR(VLOOKUP('PR Grupo'!K$3&amp;'PR Grupo'!$G42,'Plan CP'!$K:$P,3,FALSE)&gt;1,0),IFERROR(VLOOKUP('PR Grupo'!K$3&amp;'PR Grupo'!$G42,'Plan CP'!$K:$P,3,FALSE),0),0))</f>
        <v>0</v>
      </c>
      <c r="L42" s="58">
        <f>IF(K42&gt;1,K42-1,IF(COUNTIFS('Plan CP'!$O:$O,'PR Grupo'!$G42,'Plan CP'!$P:$P,'PR Grupo'!L$3,'Plan CP'!$M:$M,1)=1,1,IF(IFERROR(VLOOKUP('PR Grupo'!L$3&amp;'PR Grupo'!$G42,'Plan CP'!$K:$P,3,FALSE)&gt;1,0),IFERROR(VLOOKUP('PR Grupo'!L$3&amp;'PR Grupo'!$G42,'Plan CP'!$K:$P,3,FALSE),0),0)))</f>
        <v>0</v>
      </c>
      <c r="M42" s="58">
        <f>IF(L42&gt;1,L42-1,IF(COUNTIFS('Plan CP'!$O:$O,'PR Grupo'!$G42,'Plan CP'!$P:$P,'PR Grupo'!M$3,'Plan CP'!$M:$M,1)=1,1,IF(IFERROR(VLOOKUP('PR Grupo'!M$3&amp;'PR Grupo'!$G42,'Plan CP'!$K:$P,3,FALSE)&gt;1,0),IFERROR(VLOOKUP('PR Grupo'!M$3&amp;'PR Grupo'!$G42,'Plan CP'!$K:$P,3,FALSE),0),0)))</f>
        <v>1</v>
      </c>
      <c r="N42" s="58">
        <f>IF(M42&gt;1,M42-1,IF(COUNTIFS('Plan CP'!$O:$O,'PR Grupo'!$G42,'Plan CP'!$P:$P,'PR Grupo'!N$3,'Plan CP'!$M:$M,1)=1,1,IF(IFERROR(VLOOKUP('PR Grupo'!N$3&amp;'PR Grupo'!$G42,'Plan CP'!$K:$P,3,FALSE)&gt;1,0),IFERROR(VLOOKUP('PR Grupo'!N$3&amp;'PR Grupo'!$G42,'Plan CP'!$K:$P,3,FALSE),0),0)))</f>
        <v>0</v>
      </c>
      <c r="O42" s="58">
        <f>IF(N42&gt;1,N42-1,IF(COUNTIFS('Plan CP'!$O:$O,'PR Grupo'!$G42,'Plan CP'!$P:$P,'PR Grupo'!O$3,'Plan CP'!$M:$M,1)=1,1,IF(IFERROR(VLOOKUP('PR Grupo'!O$3&amp;'PR Grupo'!$G42,'Plan CP'!$K:$P,3,FALSE)&gt;1,0),IFERROR(VLOOKUP('PR Grupo'!O$3&amp;'PR Grupo'!$G42,'Plan CP'!$K:$P,3,FALSE),0),0)))</f>
        <v>0</v>
      </c>
      <c r="P42" s="58">
        <f>IF(O42&gt;1,O42-1,IF(COUNTIFS('Plan CP'!$O:$O,'PR Grupo'!$G42,'Plan CP'!$P:$P,'PR Grupo'!P$3,'Plan CP'!$M:$M,1)=1,1,IF(IFERROR(VLOOKUP('PR Grupo'!P$3&amp;'PR Grupo'!$G42,'Plan CP'!$K:$P,3,FALSE)&gt;1,0),IFERROR(VLOOKUP('PR Grupo'!P$3&amp;'PR Grupo'!$G42,'Plan CP'!$K:$P,3,FALSE),0),0)))</f>
        <v>0</v>
      </c>
      <c r="Q42" s="58">
        <f>IF(P42&gt;1,P42-1,IF(COUNTIFS('Plan CP'!$O:$O,'PR Grupo'!$G42,'Plan CP'!$P:$P,'PR Grupo'!Q$3,'Plan CP'!$M:$M,1)=1,1,IF(IFERROR(VLOOKUP('PR Grupo'!Q$3&amp;'PR Grupo'!$G42,'Plan CP'!$K:$P,3,FALSE)&gt;1,0),IFERROR(VLOOKUP('PR Grupo'!Q$3&amp;'PR Grupo'!$G42,'Plan CP'!$K:$P,3,FALSE),0),0)))</f>
        <v>0</v>
      </c>
      <c r="R42" s="58">
        <f>IF(Q42&gt;1,Q42-1,IF(COUNTIFS('Plan CP'!$O:$O,'PR Grupo'!$G42,'Plan CP'!$P:$P,'PR Grupo'!R$3,'Plan CP'!$M:$M,1)=1,1,IF(IFERROR(VLOOKUP('PR Grupo'!R$3&amp;'PR Grupo'!$G42,'Plan CP'!$K:$P,3,FALSE)&gt;1,0),IFERROR(VLOOKUP('PR Grupo'!R$3&amp;'PR Grupo'!$G42,'Plan CP'!$K:$P,3,FALSE),0),0)))</f>
        <v>1</v>
      </c>
      <c r="S42" s="58">
        <f>IF(R42&gt;1,R42-1,IF(COUNTIFS('Plan CP'!$O:$O,'PR Grupo'!$G42,'Plan CP'!$P:$P,'PR Grupo'!S$3,'Plan CP'!$M:$M,1)=1,1,IF(IFERROR(VLOOKUP('PR Grupo'!S$3&amp;'PR Grupo'!$G42,'Plan CP'!$K:$P,3,FALSE)&gt;1,0),IFERROR(VLOOKUP('PR Grupo'!S$3&amp;'PR Grupo'!$G42,'Plan CP'!$K:$P,3,FALSE),0),0)))</f>
        <v>1</v>
      </c>
      <c r="T42" s="58">
        <f>IF(S42&gt;1,S42-1,IF(COUNTIFS('Plan CP'!$O:$O,'PR Grupo'!$G42,'Plan CP'!$P:$P,'PR Grupo'!T$3,'Plan CP'!$M:$M,1)=1,1,IF(IFERROR(VLOOKUP('PR Grupo'!T$3&amp;'PR Grupo'!$G42,'Plan CP'!$K:$P,3,FALSE)&gt;1,0),IFERROR(VLOOKUP('PR Grupo'!T$3&amp;'PR Grupo'!$G42,'Plan CP'!$K:$P,3,FALSE),0),0)))</f>
        <v>1</v>
      </c>
      <c r="U42" s="58">
        <f>IF(T42&gt;1,T42-1,IF(COUNTIFS('Plan CP'!$O:$O,'PR Grupo'!$G42,'Plan CP'!$P:$P,'PR Grupo'!U$3,'Plan CP'!$M:$M,1)=1,1,IF(IFERROR(VLOOKUP('PR Grupo'!U$3&amp;'PR Grupo'!$G42,'Plan CP'!$K:$P,3,FALSE)&gt;1,0),IFERROR(VLOOKUP('PR Grupo'!U$3&amp;'PR Grupo'!$G42,'Plan CP'!$K:$P,3,FALSE),0),0)))</f>
        <v>1</v>
      </c>
      <c r="V42" s="58">
        <f>IF(U42&gt;1,U42-1,IF(COUNTIFS('Plan CP'!$O:$O,'PR Grupo'!$G42,'Plan CP'!$P:$P,'PR Grupo'!V$3,'Plan CP'!$M:$M,1)=1,1,IF(IFERROR(VLOOKUP('PR Grupo'!V$3&amp;'PR Grupo'!$G42,'Plan CP'!$K:$P,3,FALSE)&gt;1,0),IFERROR(VLOOKUP('PR Grupo'!V$3&amp;'PR Grupo'!$G42,'Plan CP'!$K:$P,3,FALSE),0),0)))</f>
        <v>1</v>
      </c>
      <c r="W42" s="58">
        <f>IF(V42&gt;1,V42-1,IF(COUNTIFS('Plan CP'!$O:$O,'PR Grupo'!$G42,'Plan CP'!$P:$P,'PR Grupo'!W$3,'Plan CP'!$M:$M,1)=1,1,IF(IFERROR(VLOOKUP('PR Grupo'!W$3&amp;'PR Grupo'!$G42,'Plan CP'!$K:$P,3,FALSE)&gt;1,0),IFERROR(VLOOKUP('PR Grupo'!W$3&amp;'PR Grupo'!$G42,'Plan CP'!$K:$P,3,FALSE),0),0)))</f>
        <v>1</v>
      </c>
      <c r="X42" s="58">
        <f>IF(W42&gt;1,W42-1,IF(COUNTIFS('Plan CP'!$O:$O,'PR Grupo'!$G42,'Plan CP'!$P:$P,'PR Grupo'!X$3,'Plan CP'!$M:$M,1)=1,1,IF(IFERROR(VLOOKUP('PR Grupo'!X$3&amp;'PR Grupo'!$G42,'Plan CP'!$K:$P,3,FALSE)&gt;1,0),IFERROR(VLOOKUP('PR Grupo'!X$3&amp;'PR Grupo'!$G42,'Plan CP'!$K:$P,3,FALSE),0),0)))</f>
        <v>1</v>
      </c>
      <c r="Y42" s="58">
        <f>IF(X42&gt;1,X42-1,IF(COUNTIFS('Plan CP'!$O:$O,'PR Grupo'!$G42,'Plan CP'!$P:$P,'PR Grupo'!Y$3,'Plan CP'!$M:$M,1)=1,1,IF(IFERROR(VLOOKUP('PR Grupo'!Y$3&amp;'PR Grupo'!$G42,'Plan CP'!$K:$P,3,FALSE)&gt;1,0),IFERROR(VLOOKUP('PR Grupo'!Y$3&amp;'PR Grupo'!$G42,'Plan CP'!$K:$P,3,FALSE),0),0)))</f>
        <v>1</v>
      </c>
      <c r="Z42" s="58">
        <f>IF(Y42&gt;1,Y42-1,IF(COUNTIFS('Plan CP'!$O:$O,'PR Grupo'!$G42,'Plan CP'!$P:$P,'PR Grupo'!Z$3,'Plan CP'!$M:$M,1)=1,1,IF(IFERROR(VLOOKUP('PR Grupo'!Z$3&amp;'PR Grupo'!$G42,'Plan CP'!$K:$P,3,FALSE)&gt;1,0),IFERROR(VLOOKUP('PR Grupo'!Z$3&amp;'PR Grupo'!$G42,'Plan CP'!$K:$P,3,FALSE),0),0)))</f>
        <v>1</v>
      </c>
      <c r="AA42" s="58">
        <f>IF(Z42&gt;1,Z42-1,IF(COUNTIFS('Plan CP'!$O:$O,'PR Grupo'!$G42,'Plan CP'!$P:$P,'PR Grupo'!AA$3,'Plan CP'!$M:$M,1)=1,1,IF(IFERROR(VLOOKUP('PR Grupo'!AA$3&amp;'PR Grupo'!$G42,'Plan CP'!$K:$P,3,FALSE)&gt;1,0),IFERROR(VLOOKUP('PR Grupo'!AA$3&amp;'PR Grupo'!$G42,'Plan CP'!$K:$P,3,FALSE),0),0)))</f>
        <v>1</v>
      </c>
      <c r="AB42" s="58">
        <f>IF(AA42&gt;1,AA42-1,IF(COUNTIFS('Plan CP'!$O:$O,'PR Grupo'!$G42,'Plan CP'!$P:$P,'PR Grupo'!AB$3,'Plan CP'!$M:$M,1)=1,1,IF(IFERROR(VLOOKUP('PR Grupo'!AB$3&amp;'PR Grupo'!$G42,'Plan CP'!$K:$P,3,FALSE)&gt;1,0),IFERROR(VLOOKUP('PR Grupo'!AB$3&amp;'PR Grupo'!$G42,'Plan CP'!$K:$P,3,FALSE),0),0)))</f>
        <v>1</v>
      </c>
      <c r="AC42" s="58">
        <f>IF(AB42&gt;1,AB42-1,IF(COUNTIFS('Plan CP'!$O:$O,'PR Grupo'!$G42,'Plan CP'!$P:$P,'PR Grupo'!AC$3,'Plan CP'!$M:$M,1)=1,1,IF(IFERROR(VLOOKUP('PR Grupo'!AC$3&amp;'PR Grupo'!$G42,'Plan CP'!$K:$P,3,FALSE)&gt;1,0),IFERROR(VLOOKUP('PR Grupo'!AC$3&amp;'PR Grupo'!$G42,'Plan CP'!$K:$P,3,FALSE),0),0)))</f>
        <v>1</v>
      </c>
      <c r="AD42" s="58">
        <f>IF(AC42&gt;1,AC42-1,IF(COUNTIFS('Plan CP'!$O:$O,'PR Grupo'!$G42,'Plan CP'!$P:$P,'PR Grupo'!AD$3,'Plan CP'!$M:$M,1)=1,1,IF(IFERROR(VLOOKUP('PR Grupo'!AD$3&amp;'PR Grupo'!$G42,'Plan CP'!$K:$P,3,FALSE)&gt;1,0),IFERROR(VLOOKUP('PR Grupo'!AD$3&amp;'PR Grupo'!$G42,'Plan CP'!$K:$P,3,FALSE),0),0)))</f>
        <v>1</v>
      </c>
      <c r="AE42" s="58">
        <f>IF(AD42&gt;1,AD42-1,IF(COUNTIFS('Plan CP'!$O:$O,'PR Grupo'!$G42,'Plan CP'!$P:$P,'PR Grupo'!AE$3,'Plan CP'!$M:$M,1)=1,1,IF(IFERROR(VLOOKUP('PR Grupo'!AE$3&amp;'PR Grupo'!$G42,'Plan CP'!$K:$P,3,FALSE)&gt;1,0),IFERROR(VLOOKUP('PR Grupo'!AE$3&amp;'PR Grupo'!$G42,'Plan CP'!$K:$P,3,FALSE),0),0)))</f>
        <v>1</v>
      </c>
      <c r="AF42" s="58">
        <f>IF(AE42&gt;1,AE42-1,IF(COUNTIFS('Plan CP'!$O:$O,'PR Grupo'!$G42,'Plan CP'!$P:$P,'PR Grupo'!AF$3,'Plan CP'!$M:$M,1)=1,1,IF(IFERROR(VLOOKUP('PR Grupo'!AF$3&amp;'PR Grupo'!$G42,'Plan CP'!$K:$P,3,FALSE)&gt;1,0),IFERROR(VLOOKUP('PR Grupo'!AF$3&amp;'PR Grupo'!$G42,'Plan CP'!$K:$P,3,FALSE),0),0)))</f>
        <v>1</v>
      </c>
      <c r="AG42" s="58">
        <f>IF(AF42&gt;1,AF42-1,IF(COUNTIFS('Plan CP'!$O:$O,'PR Grupo'!$G42,'Plan CP'!$P:$P,'PR Grupo'!AG$3,'Plan CP'!$M:$M,1)=1,1,IF(IFERROR(VLOOKUP('PR Grupo'!AG$3&amp;'PR Grupo'!$G42,'Plan CP'!$K:$P,3,FALSE)&gt;1,0),IFERROR(VLOOKUP('PR Grupo'!AG$3&amp;'PR Grupo'!$G42,'Plan CP'!$K:$P,3,FALSE),0),0)))</f>
        <v>1</v>
      </c>
      <c r="AH42" s="58">
        <f>IF(AG42&gt;1,AG42-1,IF(COUNTIFS('Plan CP'!$O:$O,'PR Grupo'!$G42,'Plan CP'!$P:$P,'PR Grupo'!AH$3,'Plan CP'!$M:$M,1)=1,1,IF(IFERROR(VLOOKUP('PR Grupo'!AH$3&amp;'PR Grupo'!$G42,'Plan CP'!$K:$P,3,FALSE)&gt;1,0),IFERROR(VLOOKUP('PR Grupo'!AH$3&amp;'PR Grupo'!$G42,'Plan CP'!$K:$P,3,FALSE),0),0)))</f>
        <v>1</v>
      </c>
      <c r="AI42" s="58">
        <f>IF(AH42&gt;1,AH42-1,IF(COUNTIFS('Plan CP'!$O:$O,'PR Grupo'!$G42,'Plan CP'!$P:$P,'PR Grupo'!AI$3,'Plan CP'!$M:$M,1)=1,1,IF(IFERROR(VLOOKUP('PR Grupo'!AI$3&amp;'PR Grupo'!$G42,'Plan CP'!$K:$P,3,FALSE)&gt;1,0),IFERROR(VLOOKUP('PR Grupo'!AI$3&amp;'PR Grupo'!$G42,'Plan CP'!$K:$P,3,FALSE),0),0)))</f>
        <v>1</v>
      </c>
      <c r="AJ42" s="58">
        <f>IF(AI42&gt;1,AI42-1,IF(COUNTIFS('Plan CP'!$O:$O,'PR Grupo'!$G42,'Plan CP'!$P:$P,'PR Grupo'!AJ$3,'Plan CP'!$M:$M,1)=1,1,IF(IFERROR(VLOOKUP('PR Grupo'!AJ$3&amp;'PR Grupo'!$G42,'Plan CP'!$K:$P,3,FALSE)&gt;1,0),IFERROR(VLOOKUP('PR Grupo'!AJ$3&amp;'PR Grupo'!$G42,'Plan CP'!$K:$P,3,FALSE),0),0)))</f>
        <v>0</v>
      </c>
      <c r="AK42" s="58">
        <f>IF(AJ42&gt;1,AJ42-1,IF(COUNTIFS('Plan CP'!$O:$O,'PR Grupo'!$G42,'Plan CP'!$P:$P,'PR Grupo'!AK$3,'Plan CP'!$M:$M,1)=1,1,IF(IFERROR(VLOOKUP('PR Grupo'!AK$3&amp;'PR Grupo'!$G42,'Plan CP'!$K:$P,3,FALSE)&gt;1,0),IFERROR(VLOOKUP('PR Grupo'!AK$3&amp;'PR Grupo'!$G42,'Plan CP'!$K:$P,3,FALSE),0),0)))</f>
        <v>0</v>
      </c>
      <c r="AL42" s="58">
        <f>IF(AK42&gt;1,AK42-1,IF(COUNTIFS('Plan CP'!$O:$O,'PR Grupo'!$G42,'Plan CP'!$P:$P,'PR Grupo'!AL$3,'Plan CP'!$M:$M,1)=1,1,IF(IFERROR(VLOOKUP('PR Grupo'!AL$3&amp;'PR Grupo'!$G42,'Plan CP'!$K:$P,3,FALSE)&gt;1,0),IFERROR(VLOOKUP('PR Grupo'!AL$3&amp;'PR Grupo'!$G42,'Plan CP'!$K:$P,3,FALSE),0),0)))</f>
        <v>0</v>
      </c>
      <c r="AM42" s="58">
        <f>IF(AL42&gt;1,AL42-1,IF(COUNTIFS('Plan CP'!$O:$O,'PR Grupo'!$G42,'Plan CP'!$P:$P,'PR Grupo'!AM$3,'Plan CP'!$M:$M,1)=1,1,IF(IFERROR(VLOOKUP('PR Grupo'!AM$3&amp;'PR Grupo'!$G42,'Plan CP'!$K:$P,3,FALSE)&gt;1,0),IFERROR(VLOOKUP('PR Grupo'!AM$3&amp;'PR Grupo'!$G42,'Plan CP'!$K:$P,3,FALSE),0),0)))</f>
        <v>0</v>
      </c>
      <c r="AN42" s="58">
        <f>IF(AM42&gt;1,AM42-1,IF(COUNTIFS('Plan CP'!$O:$O,'PR Grupo'!$G42,'Plan CP'!$P:$P,'PR Grupo'!AN$3,'Plan CP'!$M:$M,1)=1,1,IF(IFERROR(VLOOKUP('PR Grupo'!AN$3&amp;'PR Grupo'!$G42,'Plan CP'!$K:$P,3,FALSE)&gt;1,0),IFERROR(VLOOKUP('PR Grupo'!AN$3&amp;'PR Grupo'!$G42,'Plan CP'!$K:$P,3,FALSE),0),0)))</f>
        <v>0</v>
      </c>
      <c r="AO42" s="58">
        <f>IF(AN42&gt;1,AN42-1,IF(COUNTIFS('Plan CP'!$O:$O,'PR Grupo'!$G42,'Plan CP'!$P:$P,'PR Grupo'!AO$3,'Plan CP'!$M:$M,1)=1,1,IF(IFERROR(VLOOKUP('PR Grupo'!AO$3&amp;'PR Grupo'!$G42,'Plan CP'!$K:$P,3,FALSE)&gt;1,0),IFERROR(VLOOKUP('PR Grupo'!AO$3&amp;'PR Grupo'!$G42,'Plan CP'!$K:$P,3,FALSE),0),0)))</f>
        <v>0</v>
      </c>
    </row>
    <row r="43" spans="1:41">
      <c r="A43" s="21" t="s">
        <v>33</v>
      </c>
      <c r="B43" s="21" t="s">
        <v>40</v>
      </c>
      <c r="C43" s="21" t="s">
        <v>235</v>
      </c>
      <c r="D43" s="21" t="s">
        <v>265</v>
      </c>
      <c r="E43" s="24" t="s">
        <v>177</v>
      </c>
      <c r="F43" s="21" t="s">
        <v>265</v>
      </c>
      <c r="G43" s="33" t="s">
        <v>192</v>
      </c>
      <c r="H43" s="24">
        <v>15</v>
      </c>
      <c r="I43" s="33">
        <f t="shared" si="2"/>
        <v>19</v>
      </c>
      <c r="J43" s="33" t="str">
        <f t="shared" si="3"/>
        <v>OK</v>
      </c>
      <c r="K43" s="58">
        <f>IF(COUNTIFS('Plan CP'!$O:$O,'PR Grupo'!$G43,'Plan CP'!$P:$P,'PR Grupo'!K$3,'Plan CP'!$M:$M,1)=1,1,IF(IFERROR(VLOOKUP('PR Grupo'!K$3&amp;'PR Grupo'!$G43,'Plan CP'!$K:$P,3,FALSE)&gt;1,0),IFERROR(VLOOKUP('PR Grupo'!K$3&amp;'PR Grupo'!$G43,'Plan CP'!$K:$P,3,FALSE),0),0))</f>
        <v>0</v>
      </c>
      <c r="L43" s="58">
        <f>IF(K43&gt;1,K43-1,IF(COUNTIFS('Plan CP'!$O:$O,'PR Grupo'!$G43,'Plan CP'!$P:$P,'PR Grupo'!L$3,'Plan CP'!$M:$M,1)=1,1,IF(IFERROR(VLOOKUP('PR Grupo'!L$3&amp;'PR Grupo'!$G43,'Plan CP'!$K:$P,3,FALSE)&gt;1,0),IFERROR(VLOOKUP('PR Grupo'!L$3&amp;'PR Grupo'!$G43,'Plan CP'!$K:$P,3,FALSE),0),0)))</f>
        <v>0</v>
      </c>
      <c r="M43" s="58">
        <f>IF(L43&gt;1,L43-1,IF(COUNTIFS('Plan CP'!$O:$O,'PR Grupo'!$G43,'Plan CP'!$P:$P,'PR Grupo'!M$3,'Plan CP'!$M:$M,1)=1,1,IF(IFERROR(VLOOKUP('PR Grupo'!M$3&amp;'PR Grupo'!$G43,'Plan CP'!$K:$P,3,FALSE)&gt;1,0),IFERROR(VLOOKUP('PR Grupo'!M$3&amp;'PR Grupo'!$G43,'Plan CP'!$K:$P,3,FALSE),0),0)))</f>
        <v>1</v>
      </c>
      <c r="N43" s="58">
        <f>IF(M43&gt;1,M43-1,IF(COUNTIFS('Plan CP'!$O:$O,'PR Grupo'!$G43,'Plan CP'!$P:$P,'PR Grupo'!N$3,'Plan CP'!$M:$M,1)=1,1,IF(IFERROR(VLOOKUP('PR Grupo'!N$3&amp;'PR Grupo'!$G43,'Plan CP'!$K:$P,3,FALSE)&gt;1,0),IFERROR(VLOOKUP('PR Grupo'!N$3&amp;'PR Grupo'!$G43,'Plan CP'!$K:$P,3,FALSE),0),0)))</f>
        <v>0</v>
      </c>
      <c r="O43" s="58">
        <f>IF(N43&gt;1,N43-1,IF(COUNTIFS('Plan CP'!$O:$O,'PR Grupo'!$G43,'Plan CP'!$P:$P,'PR Grupo'!O$3,'Plan CP'!$M:$M,1)=1,1,IF(IFERROR(VLOOKUP('PR Grupo'!O$3&amp;'PR Grupo'!$G43,'Plan CP'!$K:$P,3,FALSE)&gt;1,0),IFERROR(VLOOKUP('PR Grupo'!O$3&amp;'PR Grupo'!$G43,'Plan CP'!$K:$P,3,FALSE),0),0)))</f>
        <v>0</v>
      </c>
      <c r="P43" s="58">
        <f>IF(O43&gt;1,O43-1,IF(COUNTIFS('Plan CP'!$O:$O,'PR Grupo'!$G43,'Plan CP'!$P:$P,'PR Grupo'!P$3,'Plan CP'!$M:$M,1)=1,1,IF(IFERROR(VLOOKUP('PR Grupo'!P$3&amp;'PR Grupo'!$G43,'Plan CP'!$K:$P,3,FALSE)&gt;1,0),IFERROR(VLOOKUP('PR Grupo'!P$3&amp;'PR Grupo'!$G43,'Plan CP'!$K:$P,3,FALSE),0),0)))</f>
        <v>0</v>
      </c>
      <c r="Q43" s="58">
        <f>IF(P43&gt;1,P43-1,IF(COUNTIFS('Plan CP'!$O:$O,'PR Grupo'!$G43,'Plan CP'!$P:$P,'PR Grupo'!Q$3,'Plan CP'!$M:$M,1)=1,1,IF(IFERROR(VLOOKUP('PR Grupo'!Q$3&amp;'PR Grupo'!$G43,'Plan CP'!$K:$P,3,FALSE)&gt;1,0),IFERROR(VLOOKUP('PR Grupo'!Q$3&amp;'PR Grupo'!$G43,'Plan CP'!$K:$P,3,FALSE),0),0)))</f>
        <v>0</v>
      </c>
      <c r="R43" s="58">
        <f>IF(Q43&gt;1,Q43-1,IF(COUNTIFS('Plan CP'!$O:$O,'PR Grupo'!$G43,'Plan CP'!$P:$P,'PR Grupo'!R$3,'Plan CP'!$M:$M,1)=1,1,IF(IFERROR(VLOOKUP('PR Grupo'!R$3&amp;'PR Grupo'!$G43,'Plan CP'!$K:$P,3,FALSE)&gt;1,0),IFERROR(VLOOKUP('PR Grupo'!R$3&amp;'PR Grupo'!$G43,'Plan CP'!$K:$P,3,FALSE),0),0)))</f>
        <v>1</v>
      </c>
      <c r="S43" s="58">
        <f>IF(R43&gt;1,R43-1,IF(COUNTIFS('Plan CP'!$O:$O,'PR Grupo'!$G43,'Plan CP'!$P:$P,'PR Grupo'!S$3,'Plan CP'!$M:$M,1)=1,1,IF(IFERROR(VLOOKUP('PR Grupo'!S$3&amp;'PR Grupo'!$G43,'Plan CP'!$K:$P,3,FALSE)&gt;1,0),IFERROR(VLOOKUP('PR Grupo'!S$3&amp;'PR Grupo'!$G43,'Plan CP'!$K:$P,3,FALSE),0),0)))</f>
        <v>1</v>
      </c>
      <c r="T43" s="58">
        <f>IF(S43&gt;1,S43-1,IF(COUNTIFS('Plan CP'!$O:$O,'PR Grupo'!$G43,'Plan CP'!$P:$P,'PR Grupo'!T$3,'Plan CP'!$M:$M,1)=1,1,IF(IFERROR(VLOOKUP('PR Grupo'!T$3&amp;'PR Grupo'!$G43,'Plan CP'!$K:$P,3,FALSE)&gt;1,0),IFERROR(VLOOKUP('PR Grupo'!T$3&amp;'PR Grupo'!$G43,'Plan CP'!$K:$P,3,FALSE),0),0)))</f>
        <v>1</v>
      </c>
      <c r="U43" s="58">
        <f>IF(T43&gt;1,T43-1,IF(COUNTIFS('Plan CP'!$O:$O,'PR Grupo'!$G43,'Plan CP'!$P:$P,'PR Grupo'!U$3,'Plan CP'!$M:$M,1)=1,1,IF(IFERROR(VLOOKUP('PR Grupo'!U$3&amp;'PR Grupo'!$G43,'Plan CP'!$K:$P,3,FALSE)&gt;1,0),IFERROR(VLOOKUP('PR Grupo'!U$3&amp;'PR Grupo'!$G43,'Plan CP'!$K:$P,3,FALSE),0),0)))</f>
        <v>1</v>
      </c>
      <c r="V43" s="58">
        <f>IF(U43&gt;1,U43-1,IF(COUNTIFS('Plan CP'!$O:$O,'PR Grupo'!$G43,'Plan CP'!$P:$P,'PR Grupo'!V$3,'Plan CP'!$M:$M,1)=1,1,IF(IFERROR(VLOOKUP('PR Grupo'!V$3&amp;'PR Grupo'!$G43,'Plan CP'!$K:$P,3,FALSE)&gt;1,0),IFERROR(VLOOKUP('PR Grupo'!V$3&amp;'PR Grupo'!$G43,'Plan CP'!$K:$P,3,FALSE),0),0)))</f>
        <v>1</v>
      </c>
      <c r="W43" s="58">
        <f>IF(V43&gt;1,V43-1,IF(COUNTIFS('Plan CP'!$O:$O,'PR Grupo'!$G43,'Plan CP'!$P:$P,'PR Grupo'!W$3,'Plan CP'!$M:$M,1)=1,1,IF(IFERROR(VLOOKUP('PR Grupo'!W$3&amp;'PR Grupo'!$G43,'Plan CP'!$K:$P,3,FALSE)&gt;1,0),IFERROR(VLOOKUP('PR Grupo'!W$3&amp;'PR Grupo'!$G43,'Plan CP'!$K:$P,3,FALSE),0),0)))</f>
        <v>1</v>
      </c>
      <c r="X43" s="58">
        <f>IF(W43&gt;1,W43-1,IF(COUNTIFS('Plan CP'!$O:$O,'PR Grupo'!$G43,'Plan CP'!$P:$P,'PR Grupo'!X$3,'Plan CP'!$M:$M,1)=1,1,IF(IFERROR(VLOOKUP('PR Grupo'!X$3&amp;'PR Grupo'!$G43,'Plan CP'!$K:$P,3,FALSE)&gt;1,0),IFERROR(VLOOKUP('PR Grupo'!X$3&amp;'PR Grupo'!$G43,'Plan CP'!$K:$P,3,FALSE),0),0)))</f>
        <v>1</v>
      </c>
      <c r="Y43" s="58">
        <f>IF(X43&gt;1,X43-1,IF(COUNTIFS('Plan CP'!$O:$O,'PR Grupo'!$G43,'Plan CP'!$P:$P,'PR Grupo'!Y$3,'Plan CP'!$M:$M,1)=1,1,IF(IFERROR(VLOOKUP('PR Grupo'!Y$3&amp;'PR Grupo'!$G43,'Plan CP'!$K:$P,3,FALSE)&gt;1,0),IFERROR(VLOOKUP('PR Grupo'!Y$3&amp;'PR Grupo'!$G43,'Plan CP'!$K:$P,3,FALSE),0),0)))</f>
        <v>1</v>
      </c>
      <c r="Z43" s="58">
        <f>IF(Y43&gt;1,Y43-1,IF(COUNTIFS('Plan CP'!$O:$O,'PR Grupo'!$G43,'Plan CP'!$P:$P,'PR Grupo'!Z$3,'Plan CP'!$M:$M,1)=1,1,IF(IFERROR(VLOOKUP('PR Grupo'!Z$3&amp;'PR Grupo'!$G43,'Plan CP'!$K:$P,3,FALSE)&gt;1,0),IFERROR(VLOOKUP('PR Grupo'!Z$3&amp;'PR Grupo'!$G43,'Plan CP'!$K:$P,3,FALSE),0),0)))</f>
        <v>1</v>
      </c>
      <c r="AA43" s="58">
        <f>IF(Z43&gt;1,Z43-1,IF(COUNTIFS('Plan CP'!$O:$O,'PR Grupo'!$G43,'Plan CP'!$P:$P,'PR Grupo'!AA$3,'Plan CP'!$M:$M,1)=1,1,IF(IFERROR(VLOOKUP('PR Grupo'!AA$3&amp;'PR Grupo'!$G43,'Plan CP'!$K:$P,3,FALSE)&gt;1,0),IFERROR(VLOOKUP('PR Grupo'!AA$3&amp;'PR Grupo'!$G43,'Plan CP'!$K:$P,3,FALSE),0),0)))</f>
        <v>1</v>
      </c>
      <c r="AB43" s="58">
        <f>IF(AA43&gt;1,AA43-1,IF(COUNTIFS('Plan CP'!$O:$O,'PR Grupo'!$G43,'Plan CP'!$P:$P,'PR Grupo'!AB$3,'Plan CP'!$M:$M,1)=1,1,IF(IFERROR(VLOOKUP('PR Grupo'!AB$3&amp;'PR Grupo'!$G43,'Plan CP'!$K:$P,3,FALSE)&gt;1,0),IFERROR(VLOOKUP('PR Grupo'!AB$3&amp;'PR Grupo'!$G43,'Plan CP'!$K:$P,3,FALSE),0),0)))</f>
        <v>1</v>
      </c>
      <c r="AC43" s="58">
        <f>IF(AB43&gt;1,AB43-1,IF(COUNTIFS('Plan CP'!$O:$O,'PR Grupo'!$G43,'Plan CP'!$P:$P,'PR Grupo'!AC$3,'Plan CP'!$M:$M,1)=1,1,IF(IFERROR(VLOOKUP('PR Grupo'!AC$3&amp;'PR Grupo'!$G43,'Plan CP'!$K:$P,3,FALSE)&gt;1,0),IFERROR(VLOOKUP('PR Grupo'!AC$3&amp;'PR Grupo'!$G43,'Plan CP'!$K:$P,3,FALSE),0),0)))</f>
        <v>1</v>
      </c>
      <c r="AD43" s="58">
        <f>IF(AC43&gt;1,AC43-1,IF(COUNTIFS('Plan CP'!$O:$O,'PR Grupo'!$G43,'Plan CP'!$P:$P,'PR Grupo'!AD$3,'Plan CP'!$M:$M,1)=1,1,IF(IFERROR(VLOOKUP('PR Grupo'!AD$3&amp;'PR Grupo'!$G43,'Plan CP'!$K:$P,3,FALSE)&gt;1,0),IFERROR(VLOOKUP('PR Grupo'!AD$3&amp;'PR Grupo'!$G43,'Plan CP'!$K:$P,3,FALSE),0),0)))</f>
        <v>1</v>
      </c>
      <c r="AE43" s="58">
        <f>IF(AD43&gt;1,AD43-1,IF(COUNTIFS('Plan CP'!$O:$O,'PR Grupo'!$G43,'Plan CP'!$P:$P,'PR Grupo'!AE$3,'Plan CP'!$M:$M,1)=1,1,IF(IFERROR(VLOOKUP('PR Grupo'!AE$3&amp;'PR Grupo'!$G43,'Plan CP'!$K:$P,3,FALSE)&gt;1,0),IFERROR(VLOOKUP('PR Grupo'!AE$3&amp;'PR Grupo'!$G43,'Plan CP'!$K:$P,3,FALSE),0),0)))</f>
        <v>1</v>
      </c>
      <c r="AF43" s="58">
        <f>IF(AE43&gt;1,AE43-1,IF(COUNTIFS('Plan CP'!$O:$O,'PR Grupo'!$G43,'Plan CP'!$P:$P,'PR Grupo'!AF$3,'Plan CP'!$M:$M,1)=1,1,IF(IFERROR(VLOOKUP('PR Grupo'!AF$3&amp;'PR Grupo'!$G43,'Plan CP'!$K:$P,3,FALSE)&gt;1,0),IFERROR(VLOOKUP('PR Grupo'!AF$3&amp;'PR Grupo'!$G43,'Plan CP'!$K:$P,3,FALSE),0),0)))</f>
        <v>1</v>
      </c>
      <c r="AG43" s="58">
        <f>IF(AF43&gt;1,AF43-1,IF(COUNTIFS('Plan CP'!$O:$O,'PR Grupo'!$G43,'Plan CP'!$P:$P,'PR Grupo'!AG$3,'Plan CP'!$M:$M,1)=1,1,IF(IFERROR(VLOOKUP('PR Grupo'!AG$3&amp;'PR Grupo'!$G43,'Plan CP'!$K:$P,3,FALSE)&gt;1,0),IFERROR(VLOOKUP('PR Grupo'!AG$3&amp;'PR Grupo'!$G43,'Plan CP'!$K:$P,3,FALSE),0),0)))</f>
        <v>1</v>
      </c>
      <c r="AH43" s="58">
        <f>IF(AG43&gt;1,AG43-1,IF(COUNTIFS('Plan CP'!$O:$O,'PR Grupo'!$G43,'Plan CP'!$P:$P,'PR Grupo'!AH$3,'Plan CP'!$M:$M,1)=1,1,IF(IFERROR(VLOOKUP('PR Grupo'!AH$3&amp;'PR Grupo'!$G43,'Plan CP'!$K:$P,3,FALSE)&gt;1,0),IFERROR(VLOOKUP('PR Grupo'!AH$3&amp;'PR Grupo'!$G43,'Plan CP'!$K:$P,3,FALSE),0),0)))</f>
        <v>1</v>
      </c>
      <c r="AI43" s="58">
        <f>IF(AH43&gt;1,AH43-1,IF(COUNTIFS('Plan CP'!$O:$O,'PR Grupo'!$G43,'Plan CP'!$P:$P,'PR Grupo'!AI$3,'Plan CP'!$M:$M,1)=1,1,IF(IFERROR(VLOOKUP('PR Grupo'!AI$3&amp;'PR Grupo'!$G43,'Plan CP'!$K:$P,3,FALSE)&gt;1,0),IFERROR(VLOOKUP('PR Grupo'!AI$3&amp;'PR Grupo'!$G43,'Plan CP'!$K:$P,3,FALSE),0),0)))</f>
        <v>1</v>
      </c>
      <c r="AJ43" s="58">
        <f>IF(AI43&gt;1,AI43-1,IF(COUNTIFS('Plan CP'!$O:$O,'PR Grupo'!$G43,'Plan CP'!$P:$P,'PR Grupo'!AJ$3,'Plan CP'!$M:$M,1)=1,1,IF(IFERROR(VLOOKUP('PR Grupo'!AJ$3&amp;'PR Grupo'!$G43,'Plan CP'!$K:$P,3,FALSE)&gt;1,0),IFERROR(VLOOKUP('PR Grupo'!AJ$3&amp;'PR Grupo'!$G43,'Plan CP'!$K:$P,3,FALSE),0),0)))</f>
        <v>0</v>
      </c>
      <c r="AK43" s="58">
        <f>IF(AJ43&gt;1,AJ43-1,IF(COUNTIFS('Plan CP'!$O:$O,'PR Grupo'!$G43,'Plan CP'!$P:$P,'PR Grupo'!AK$3,'Plan CP'!$M:$M,1)=1,1,IF(IFERROR(VLOOKUP('PR Grupo'!AK$3&amp;'PR Grupo'!$G43,'Plan CP'!$K:$P,3,FALSE)&gt;1,0),IFERROR(VLOOKUP('PR Grupo'!AK$3&amp;'PR Grupo'!$G43,'Plan CP'!$K:$P,3,FALSE),0),0)))</f>
        <v>0</v>
      </c>
      <c r="AL43" s="58">
        <f>IF(AK43&gt;1,AK43-1,IF(COUNTIFS('Plan CP'!$O:$O,'PR Grupo'!$G43,'Plan CP'!$P:$P,'PR Grupo'!AL$3,'Plan CP'!$M:$M,1)=1,1,IF(IFERROR(VLOOKUP('PR Grupo'!AL$3&amp;'PR Grupo'!$G43,'Plan CP'!$K:$P,3,FALSE)&gt;1,0),IFERROR(VLOOKUP('PR Grupo'!AL$3&amp;'PR Grupo'!$G43,'Plan CP'!$K:$P,3,FALSE),0),0)))</f>
        <v>0</v>
      </c>
      <c r="AM43" s="58">
        <f>IF(AL43&gt;1,AL43-1,IF(COUNTIFS('Plan CP'!$O:$O,'PR Grupo'!$G43,'Plan CP'!$P:$P,'PR Grupo'!AM$3,'Plan CP'!$M:$M,1)=1,1,IF(IFERROR(VLOOKUP('PR Grupo'!AM$3&amp;'PR Grupo'!$G43,'Plan CP'!$K:$P,3,FALSE)&gt;1,0),IFERROR(VLOOKUP('PR Grupo'!AM$3&amp;'PR Grupo'!$G43,'Plan CP'!$K:$P,3,FALSE),0),0)))</f>
        <v>0</v>
      </c>
      <c r="AN43" s="58">
        <f>IF(AM43&gt;1,AM43-1,IF(COUNTIFS('Plan CP'!$O:$O,'PR Grupo'!$G43,'Plan CP'!$P:$P,'PR Grupo'!AN$3,'Plan CP'!$M:$M,1)=1,1,IF(IFERROR(VLOOKUP('PR Grupo'!AN$3&amp;'PR Grupo'!$G43,'Plan CP'!$K:$P,3,FALSE)&gt;1,0),IFERROR(VLOOKUP('PR Grupo'!AN$3&amp;'PR Grupo'!$G43,'Plan CP'!$K:$P,3,FALSE),0),0)))</f>
        <v>0</v>
      </c>
      <c r="AO43" s="58">
        <f>IF(AN43&gt;1,AN43-1,IF(COUNTIFS('Plan CP'!$O:$O,'PR Grupo'!$G43,'Plan CP'!$P:$P,'PR Grupo'!AO$3,'Plan CP'!$M:$M,1)=1,1,IF(IFERROR(VLOOKUP('PR Grupo'!AO$3&amp;'PR Grupo'!$G43,'Plan CP'!$K:$P,3,FALSE)&gt;1,0),IFERROR(VLOOKUP('PR Grupo'!AO$3&amp;'PR Grupo'!$G43,'Plan CP'!$K:$P,3,FALSE),0),0)))</f>
        <v>0</v>
      </c>
    </row>
    <row r="44" spans="1:41">
      <c r="A44" s="21" t="s">
        <v>33</v>
      </c>
      <c r="B44" s="21" t="s">
        <v>48</v>
      </c>
      <c r="C44" s="21" t="s">
        <v>236</v>
      </c>
      <c r="D44" s="21" t="s">
        <v>275</v>
      </c>
      <c r="E44" s="24" t="s">
        <v>174</v>
      </c>
      <c r="F44" s="21" t="s">
        <v>275</v>
      </c>
      <c r="G44" s="33" t="s">
        <v>192</v>
      </c>
      <c r="H44" s="24">
        <v>25</v>
      </c>
      <c r="I44" s="33">
        <f t="shared" si="2"/>
        <v>19</v>
      </c>
      <c r="J44" s="33" t="str">
        <f t="shared" si="3"/>
        <v>NO OK</v>
      </c>
      <c r="K44" s="58">
        <f>IF(COUNTIFS('Plan CP'!$O:$O,'PR Grupo'!$G44,'Plan CP'!$P:$P,'PR Grupo'!K$3,'Plan CP'!$M:$M,1)=1,1,IF(IFERROR(VLOOKUP('PR Grupo'!K$3&amp;'PR Grupo'!$G44,'Plan CP'!$K:$P,3,FALSE)&gt;1,0),IFERROR(VLOOKUP('PR Grupo'!K$3&amp;'PR Grupo'!$G44,'Plan CP'!$K:$P,3,FALSE),0),0))</f>
        <v>0</v>
      </c>
      <c r="L44" s="58">
        <f>IF(K44&gt;1,K44-1,IF(COUNTIFS('Plan CP'!$O:$O,'PR Grupo'!$G44,'Plan CP'!$P:$P,'PR Grupo'!L$3,'Plan CP'!$M:$M,1)=1,1,IF(IFERROR(VLOOKUP('PR Grupo'!L$3&amp;'PR Grupo'!$G44,'Plan CP'!$K:$P,3,FALSE)&gt;1,0),IFERROR(VLOOKUP('PR Grupo'!L$3&amp;'PR Grupo'!$G44,'Plan CP'!$K:$P,3,FALSE),0),0)))</f>
        <v>0</v>
      </c>
      <c r="M44" s="58">
        <f>IF(L44&gt;1,L44-1,IF(COUNTIFS('Plan CP'!$O:$O,'PR Grupo'!$G44,'Plan CP'!$P:$P,'PR Grupo'!M$3,'Plan CP'!$M:$M,1)=1,1,IF(IFERROR(VLOOKUP('PR Grupo'!M$3&amp;'PR Grupo'!$G44,'Plan CP'!$K:$P,3,FALSE)&gt;1,0),IFERROR(VLOOKUP('PR Grupo'!M$3&amp;'PR Grupo'!$G44,'Plan CP'!$K:$P,3,FALSE),0),0)))</f>
        <v>1</v>
      </c>
      <c r="N44" s="58">
        <f>IF(M44&gt;1,M44-1,IF(COUNTIFS('Plan CP'!$O:$O,'PR Grupo'!$G44,'Plan CP'!$P:$P,'PR Grupo'!N$3,'Plan CP'!$M:$M,1)=1,1,IF(IFERROR(VLOOKUP('PR Grupo'!N$3&amp;'PR Grupo'!$G44,'Plan CP'!$K:$P,3,FALSE)&gt;1,0),IFERROR(VLOOKUP('PR Grupo'!N$3&amp;'PR Grupo'!$G44,'Plan CP'!$K:$P,3,FALSE),0),0)))</f>
        <v>0</v>
      </c>
      <c r="O44" s="58">
        <f>IF(N44&gt;1,N44-1,IF(COUNTIFS('Plan CP'!$O:$O,'PR Grupo'!$G44,'Plan CP'!$P:$P,'PR Grupo'!O$3,'Plan CP'!$M:$M,1)=1,1,IF(IFERROR(VLOOKUP('PR Grupo'!O$3&amp;'PR Grupo'!$G44,'Plan CP'!$K:$P,3,FALSE)&gt;1,0),IFERROR(VLOOKUP('PR Grupo'!O$3&amp;'PR Grupo'!$G44,'Plan CP'!$K:$P,3,FALSE),0),0)))</f>
        <v>0</v>
      </c>
      <c r="P44" s="58">
        <f>IF(O44&gt;1,O44-1,IF(COUNTIFS('Plan CP'!$O:$O,'PR Grupo'!$G44,'Plan CP'!$P:$P,'PR Grupo'!P$3,'Plan CP'!$M:$M,1)=1,1,IF(IFERROR(VLOOKUP('PR Grupo'!P$3&amp;'PR Grupo'!$G44,'Plan CP'!$K:$P,3,FALSE)&gt;1,0),IFERROR(VLOOKUP('PR Grupo'!P$3&amp;'PR Grupo'!$G44,'Plan CP'!$K:$P,3,FALSE),0),0)))</f>
        <v>0</v>
      </c>
      <c r="Q44" s="58">
        <f>IF(P44&gt;1,P44-1,IF(COUNTIFS('Plan CP'!$O:$O,'PR Grupo'!$G44,'Plan CP'!$P:$P,'PR Grupo'!Q$3,'Plan CP'!$M:$M,1)=1,1,IF(IFERROR(VLOOKUP('PR Grupo'!Q$3&amp;'PR Grupo'!$G44,'Plan CP'!$K:$P,3,FALSE)&gt;1,0),IFERROR(VLOOKUP('PR Grupo'!Q$3&amp;'PR Grupo'!$G44,'Plan CP'!$K:$P,3,FALSE),0),0)))</f>
        <v>0</v>
      </c>
      <c r="R44" s="58">
        <f>IF(Q44&gt;1,Q44-1,IF(COUNTIFS('Plan CP'!$O:$O,'PR Grupo'!$G44,'Plan CP'!$P:$P,'PR Grupo'!R$3,'Plan CP'!$M:$M,1)=1,1,IF(IFERROR(VLOOKUP('PR Grupo'!R$3&amp;'PR Grupo'!$G44,'Plan CP'!$K:$P,3,FALSE)&gt;1,0),IFERROR(VLOOKUP('PR Grupo'!R$3&amp;'PR Grupo'!$G44,'Plan CP'!$K:$P,3,FALSE),0),0)))</f>
        <v>1</v>
      </c>
      <c r="S44" s="58">
        <f>IF(R44&gt;1,R44-1,IF(COUNTIFS('Plan CP'!$O:$O,'PR Grupo'!$G44,'Plan CP'!$P:$P,'PR Grupo'!S$3,'Plan CP'!$M:$M,1)=1,1,IF(IFERROR(VLOOKUP('PR Grupo'!S$3&amp;'PR Grupo'!$G44,'Plan CP'!$K:$P,3,FALSE)&gt;1,0),IFERROR(VLOOKUP('PR Grupo'!S$3&amp;'PR Grupo'!$G44,'Plan CP'!$K:$P,3,FALSE),0),0)))</f>
        <v>1</v>
      </c>
      <c r="T44" s="58">
        <f>IF(S44&gt;1,S44-1,IF(COUNTIFS('Plan CP'!$O:$O,'PR Grupo'!$G44,'Plan CP'!$P:$P,'PR Grupo'!T$3,'Plan CP'!$M:$M,1)=1,1,IF(IFERROR(VLOOKUP('PR Grupo'!T$3&amp;'PR Grupo'!$G44,'Plan CP'!$K:$P,3,FALSE)&gt;1,0),IFERROR(VLOOKUP('PR Grupo'!T$3&amp;'PR Grupo'!$G44,'Plan CP'!$K:$P,3,FALSE),0),0)))</f>
        <v>1</v>
      </c>
      <c r="U44" s="58">
        <f>IF(T44&gt;1,T44-1,IF(COUNTIFS('Plan CP'!$O:$O,'PR Grupo'!$G44,'Plan CP'!$P:$P,'PR Grupo'!U$3,'Plan CP'!$M:$M,1)=1,1,IF(IFERROR(VLOOKUP('PR Grupo'!U$3&amp;'PR Grupo'!$G44,'Plan CP'!$K:$P,3,FALSE)&gt;1,0),IFERROR(VLOOKUP('PR Grupo'!U$3&amp;'PR Grupo'!$G44,'Plan CP'!$K:$P,3,FALSE),0),0)))</f>
        <v>1</v>
      </c>
      <c r="V44" s="58">
        <f>IF(U44&gt;1,U44-1,IF(COUNTIFS('Plan CP'!$O:$O,'PR Grupo'!$G44,'Plan CP'!$P:$P,'PR Grupo'!V$3,'Plan CP'!$M:$M,1)=1,1,IF(IFERROR(VLOOKUP('PR Grupo'!V$3&amp;'PR Grupo'!$G44,'Plan CP'!$K:$P,3,FALSE)&gt;1,0),IFERROR(VLOOKUP('PR Grupo'!V$3&amp;'PR Grupo'!$G44,'Plan CP'!$K:$P,3,FALSE),0),0)))</f>
        <v>1</v>
      </c>
      <c r="W44" s="58">
        <f>IF(V44&gt;1,V44-1,IF(COUNTIFS('Plan CP'!$O:$O,'PR Grupo'!$G44,'Plan CP'!$P:$P,'PR Grupo'!W$3,'Plan CP'!$M:$M,1)=1,1,IF(IFERROR(VLOOKUP('PR Grupo'!W$3&amp;'PR Grupo'!$G44,'Plan CP'!$K:$P,3,FALSE)&gt;1,0),IFERROR(VLOOKUP('PR Grupo'!W$3&amp;'PR Grupo'!$G44,'Plan CP'!$K:$P,3,FALSE),0),0)))</f>
        <v>1</v>
      </c>
      <c r="X44" s="58">
        <f>IF(W44&gt;1,W44-1,IF(COUNTIFS('Plan CP'!$O:$O,'PR Grupo'!$G44,'Plan CP'!$P:$P,'PR Grupo'!X$3,'Plan CP'!$M:$M,1)=1,1,IF(IFERROR(VLOOKUP('PR Grupo'!X$3&amp;'PR Grupo'!$G44,'Plan CP'!$K:$P,3,FALSE)&gt;1,0),IFERROR(VLOOKUP('PR Grupo'!X$3&amp;'PR Grupo'!$G44,'Plan CP'!$K:$P,3,FALSE),0),0)))</f>
        <v>1</v>
      </c>
      <c r="Y44" s="58">
        <f>IF(X44&gt;1,X44-1,IF(COUNTIFS('Plan CP'!$O:$O,'PR Grupo'!$G44,'Plan CP'!$P:$P,'PR Grupo'!Y$3,'Plan CP'!$M:$M,1)=1,1,IF(IFERROR(VLOOKUP('PR Grupo'!Y$3&amp;'PR Grupo'!$G44,'Plan CP'!$K:$P,3,FALSE)&gt;1,0),IFERROR(VLOOKUP('PR Grupo'!Y$3&amp;'PR Grupo'!$G44,'Plan CP'!$K:$P,3,FALSE),0),0)))</f>
        <v>1</v>
      </c>
      <c r="Z44" s="58">
        <f>IF(Y44&gt;1,Y44-1,IF(COUNTIFS('Plan CP'!$O:$O,'PR Grupo'!$G44,'Plan CP'!$P:$P,'PR Grupo'!Z$3,'Plan CP'!$M:$M,1)=1,1,IF(IFERROR(VLOOKUP('PR Grupo'!Z$3&amp;'PR Grupo'!$G44,'Plan CP'!$K:$P,3,FALSE)&gt;1,0),IFERROR(VLOOKUP('PR Grupo'!Z$3&amp;'PR Grupo'!$G44,'Plan CP'!$K:$P,3,FALSE),0),0)))</f>
        <v>1</v>
      </c>
      <c r="AA44" s="58">
        <f>IF(Z44&gt;1,Z44-1,IF(COUNTIFS('Plan CP'!$O:$O,'PR Grupo'!$G44,'Plan CP'!$P:$P,'PR Grupo'!AA$3,'Plan CP'!$M:$M,1)=1,1,IF(IFERROR(VLOOKUP('PR Grupo'!AA$3&amp;'PR Grupo'!$G44,'Plan CP'!$K:$P,3,FALSE)&gt;1,0),IFERROR(VLOOKUP('PR Grupo'!AA$3&amp;'PR Grupo'!$G44,'Plan CP'!$K:$P,3,FALSE),0),0)))</f>
        <v>1</v>
      </c>
      <c r="AB44" s="58">
        <f>IF(AA44&gt;1,AA44-1,IF(COUNTIFS('Plan CP'!$O:$O,'PR Grupo'!$G44,'Plan CP'!$P:$P,'PR Grupo'!AB$3,'Plan CP'!$M:$M,1)=1,1,IF(IFERROR(VLOOKUP('PR Grupo'!AB$3&amp;'PR Grupo'!$G44,'Plan CP'!$K:$P,3,FALSE)&gt;1,0),IFERROR(VLOOKUP('PR Grupo'!AB$3&amp;'PR Grupo'!$G44,'Plan CP'!$K:$P,3,FALSE),0),0)))</f>
        <v>1</v>
      </c>
      <c r="AC44" s="58">
        <f>IF(AB44&gt;1,AB44-1,IF(COUNTIFS('Plan CP'!$O:$O,'PR Grupo'!$G44,'Plan CP'!$P:$P,'PR Grupo'!AC$3,'Plan CP'!$M:$M,1)=1,1,IF(IFERROR(VLOOKUP('PR Grupo'!AC$3&amp;'PR Grupo'!$G44,'Plan CP'!$K:$P,3,FALSE)&gt;1,0),IFERROR(VLOOKUP('PR Grupo'!AC$3&amp;'PR Grupo'!$G44,'Plan CP'!$K:$P,3,FALSE),0),0)))</f>
        <v>1</v>
      </c>
      <c r="AD44" s="58">
        <f>IF(AC44&gt;1,AC44-1,IF(COUNTIFS('Plan CP'!$O:$O,'PR Grupo'!$G44,'Plan CP'!$P:$P,'PR Grupo'!AD$3,'Plan CP'!$M:$M,1)=1,1,IF(IFERROR(VLOOKUP('PR Grupo'!AD$3&amp;'PR Grupo'!$G44,'Plan CP'!$K:$P,3,FALSE)&gt;1,0),IFERROR(VLOOKUP('PR Grupo'!AD$3&amp;'PR Grupo'!$G44,'Plan CP'!$K:$P,3,FALSE),0),0)))</f>
        <v>1</v>
      </c>
      <c r="AE44" s="58">
        <f>IF(AD44&gt;1,AD44-1,IF(COUNTIFS('Plan CP'!$O:$O,'PR Grupo'!$G44,'Plan CP'!$P:$P,'PR Grupo'!AE$3,'Plan CP'!$M:$M,1)=1,1,IF(IFERROR(VLOOKUP('PR Grupo'!AE$3&amp;'PR Grupo'!$G44,'Plan CP'!$K:$P,3,FALSE)&gt;1,0),IFERROR(VLOOKUP('PR Grupo'!AE$3&amp;'PR Grupo'!$G44,'Plan CP'!$K:$P,3,FALSE),0),0)))</f>
        <v>1</v>
      </c>
      <c r="AF44" s="58">
        <f>IF(AE44&gt;1,AE44-1,IF(COUNTIFS('Plan CP'!$O:$O,'PR Grupo'!$G44,'Plan CP'!$P:$P,'PR Grupo'!AF$3,'Plan CP'!$M:$M,1)=1,1,IF(IFERROR(VLOOKUP('PR Grupo'!AF$3&amp;'PR Grupo'!$G44,'Plan CP'!$K:$P,3,FALSE)&gt;1,0),IFERROR(VLOOKUP('PR Grupo'!AF$3&amp;'PR Grupo'!$G44,'Plan CP'!$K:$P,3,FALSE),0),0)))</f>
        <v>1</v>
      </c>
      <c r="AG44" s="58">
        <f>IF(AF44&gt;1,AF44-1,IF(COUNTIFS('Plan CP'!$O:$O,'PR Grupo'!$G44,'Plan CP'!$P:$P,'PR Grupo'!AG$3,'Plan CP'!$M:$M,1)=1,1,IF(IFERROR(VLOOKUP('PR Grupo'!AG$3&amp;'PR Grupo'!$G44,'Plan CP'!$K:$P,3,FALSE)&gt;1,0),IFERROR(VLOOKUP('PR Grupo'!AG$3&amp;'PR Grupo'!$G44,'Plan CP'!$K:$P,3,FALSE),0),0)))</f>
        <v>1</v>
      </c>
      <c r="AH44" s="58">
        <f>IF(AG44&gt;1,AG44-1,IF(COUNTIFS('Plan CP'!$O:$O,'PR Grupo'!$G44,'Plan CP'!$P:$P,'PR Grupo'!AH$3,'Plan CP'!$M:$M,1)=1,1,IF(IFERROR(VLOOKUP('PR Grupo'!AH$3&amp;'PR Grupo'!$G44,'Plan CP'!$K:$P,3,FALSE)&gt;1,0),IFERROR(VLOOKUP('PR Grupo'!AH$3&amp;'PR Grupo'!$G44,'Plan CP'!$K:$P,3,FALSE),0),0)))</f>
        <v>1</v>
      </c>
      <c r="AI44" s="58">
        <f>IF(AH44&gt;1,AH44-1,IF(COUNTIFS('Plan CP'!$O:$O,'PR Grupo'!$G44,'Plan CP'!$P:$P,'PR Grupo'!AI$3,'Plan CP'!$M:$M,1)=1,1,IF(IFERROR(VLOOKUP('PR Grupo'!AI$3&amp;'PR Grupo'!$G44,'Plan CP'!$K:$P,3,FALSE)&gt;1,0),IFERROR(VLOOKUP('PR Grupo'!AI$3&amp;'PR Grupo'!$G44,'Plan CP'!$K:$P,3,FALSE),0),0)))</f>
        <v>1</v>
      </c>
      <c r="AJ44" s="58">
        <f>IF(AI44&gt;1,AI44-1,IF(COUNTIFS('Plan CP'!$O:$O,'PR Grupo'!$G44,'Plan CP'!$P:$P,'PR Grupo'!AJ$3,'Plan CP'!$M:$M,1)=1,1,IF(IFERROR(VLOOKUP('PR Grupo'!AJ$3&amp;'PR Grupo'!$G44,'Plan CP'!$K:$P,3,FALSE)&gt;1,0),IFERROR(VLOOKUP('PR Grupo'!AJ$3&amp;'PR Grupo'!$G44,'Plan CP'!$K:$P,3,FALSE),0),0)))</f>
        <v>0</v>
      </c>
      <c r="AK44" s="58">
        <f>IF(AJ44&gt;1,AJ44-1,IF(COUNTIFS('Plan CP'!$O:$O,'PR Grupo'!$G44,'Plan CP'!$P:$P,'PR Grupo'!AK$3,'Plan CP'!$M:$M,1)=1,1,IF(IFERROR(VLOOKUP('PR Grupo'!AK$3&amp;'PR Grupo'!$G44,'Plan CP'!$K:$P,3,FALSE)&gt;1,0),IFERROR(VLOOKUP('PR Grupo'!AK$3&amp;'PR Grupo'!$G44,'Plan CP'!$K:$P,3,FALSE),0),0)))</f>
        <v>0</v>
      </c>
      <c r="AL44" s="58">
        <f>IF(AK44&gt;1,AK44-1,IF(COUNTIFS('Plan CP'!$O:$O,'PR Grupo'!$G44,'Plan CP'!$P:$P,'PR Grupo'!AL$3,'Plan CP'!$M:$M,1)=1,1,IF(IFERROR(VLOOKUP('PR Grupo'!AL$3&amp;'PR Grupo'!$G44,'Plan CP'!$K:$P,3,FALSE)&gt;1,0),IFERROR(VLOOKUP('PR Grupo'!AL$3&amp;'PR Grupo'!$G44,'Plan CP'!$K:$P,3,FALSE),0),0)))</f>
        <v>0</v>
      </c>
      <c r="AM44" s="58">
        <f>IF(AL44&gt;1,AL44-1,IF(COUNTIFS('Plan CP'!$O:$O,'PR Grupo'!$G44,'Plan CP'!$P:$P,'PR Grupo'!AM$3,'Plan CP'!$M:$M,1)=1,1,IF(IFERROR(VLOOKUP('PR Grupo'!AM$3&amp;'PR Grupo'!$G44,'Plan CP'!$K:$P,3,FALSE)&gt;1,0),IFERROR(VLOOKUP('PR Grupo'!AM$3&amp;'PR Grupo'!$G44,'Plan CP'!$K:$P,3,FALSE),0),0)))</f>
        <v>0</v>
      </c>
      <c r="AN44" s="58">
        <f>IF(AM44&gt;1,AM44-1,IF(COUNTIFS('Plan CP'!$O:$O,'PR Grupo'!$G44,'Plan CP'!$P:$P,'PR Grupo'!AN$3,'Plan CP'!$M:$M,1)=1,1,IF(IFERROR(VLOOKUP('PR Grupo'!AN$3&amp;'PR Grupo'!$G44,'Plan CP'!$K:$P,3,FALSE)&gt;1,0),IFERROR(VLOOKUP('PR Grupo'!AN$3&amp;'PR Grupo'!$G44,'Plan CP'!$K:$P,3,FALSE),0),0)))</f>
        <v>0</v>
      </c>
      <c r="AO44" s="58">
        <f>IF(AN44&gt;1,AN44-1,IF(COUNTIFS('Plan CP'!$O:$O,'PR Grupo'!$G44,'Plan CP'!$P:$P,'PR Grupo'!AO$3,'Plan CP'!$M:$M,1)=1,1,IF(IFERROR(VLOOKUP('PR Grupo'!AO$3&amp;'PR Grupo'!$G44,'Plan CP'!$K:$P,3,FALSE)&gt;1,0),IFERROR(VLOOKUP('PR Grupo'!AO$3&amp;'PR Grupo'!$G44,'Plan CP'!$K:$P,3,FALSE),0),0)))</f>
        <v>0</v>
      </c>
    </row>
    <row r="45" spans="1:41">
      <c r="A45" s="21" t="s">
        <v>33</v>
      </c>
      <c r="B45" s="21" t="s">
        <v>40</v>
      </c>
      <c r="C45" s="21" t="s">
        <v>237</v>
      </c>
      <c r="D45" s="21" t="s">
        <v>276</v>
      </c>
      <c r="E45" s="24" t="s">
        <v>174</v>
      </c>
      <c r="F45" s="21" t="s">
        <v>276</v>
      </c>
      <c r="G45" s="33" t="s">
        <v>192</v>
      </c>
      <c r="H45" s="24">
        <v>25</v>
      </c>
      <c r="I45" s="33">
        <f t="shared" si="2"/>
        <v>19</v>
      </c>
      <c r="J45" s="33" t="str">
        <f t="shared" si="3"/>
        <v>NO OK</v>
      </c>
      <c r="K45" s="58">
        <f>IF(COUNTIFS('Plan CP'!$O:$O,'PR Grupo'!$G45,'Plan CP'!$P:$P,'PR Grupo'!K$3,'Plan CP'!$M:$M,1)=1,1,IF(IFERROR(VLOOKUP('PR Grupo'!K$3&amp;'PR Grupo'!$G45,'Plan CP'!$K:$P,3,FALSE)&gt;1,0),IFERROR(VLOOKUP('PR Grupo'!K$3&amp;'PR Grupo'!$G45,'Plan CP'!$K:$P,3,FALSE),0),0))</f>
        <v>0</v>
      </c>
      <c r="L45" s="58">
        <f>IF(K45&gt;1,K45-1,IF(COUNTIFS('Plan CP'!$O:$O,'PR Grupo'!$G45,'Plan CP'!$P:$P,'PR Grupo'!L$3,'Plan CP'!$M:$M,1)=1,1,IF(IFERROR(VLOOKUP('PR Grupo'!L$3&amp;'PR Grupo'!$G45,'Plan CP'!$K:$P,3,FALSE)&gt;1,0),IFERROR(VLOOKUP('PR Grupo'!L$3&amp;'PR Grupo'!$G45,'Plan CP'!$K:$P,3,FALSE),0),0)))</f>
        <v>0</v>
      </c>
      <c r="M45" s="58">
        <f>IF(L45&gt;1,L45-1,IF(COUNTIFS('Plan CP'!$O:$O,'PR Grupo'!$G45,'Plan CP'!$P:$P,'PR Grupo'!M$3,'Plan CP'!$M:$M,1)=1,1,IF(IFERROR(VLOOKUP('PR Grupo'!M$3&amp;'PR Grupo'!$G45,'Plan CP'!$K:$P,3,FALSE)&gt;1,0),IFERROR(VLOOKUP('PR Grupo'!M$3&amp;'PR Grupo'!$G45,'Plan CP'!$K:$P,3,FALSE),0),0)))</f>
        <v>1</v>
      </c>
      <c r="N45" s="58">
        <f>IF(M45&gt;1,M45-1,IF(COUNTIFS('Plan CP'!$O:$O,'PR Grupo'!$G45,'Plan CP'!$P:$P,'PR Grupo'!N$3,'Plan CP'!$M:$M,1)=1,1,IF(IFERROR(VLOOKUP('PR Grupo'!N$3&amp;'PR Grupo'!$G45,'Plan CP'!$K:$P,3,FALSE)&gt;1,0),IFERROR(VLOOKUP('PR Grupo'!N$3&amp;'PR Grupo'!$G45,'Plan CP'!$K:$P,3,FALSE),0),0)))</f>
        <v>0</v>
      </c>
      <c r="O45" s="58">
        <f>IF(N45&gt;1,N45-1,IF(COUNTIFS('Plan CP'!$O:$O,'PR Grupo'!$G45,'Plan CP'!$P:$P,'PR Grupo'!O$3,'Plan CP'!$M:$M,1)=1,1,IF(IFERROR(VLOOKUP('PR Grupo'!O$3&amp;'PR Grupo'!$G45,'Plan CP'!$K:$P,3,FALSE)&gt;1,0),IFERROR(VLOOKUP('PR Grupo'!O$3&amp;'PR Grupo'!$G45,'Plan CP'!$K:$P,3,FALSE),0),0)))</f>
        <v>0</v>
      </c>
      <c r="P45" s="58">
        <f>IF(O45&gt;1,O45-1,IF(COUNTIFS('Plan CP'!$O:$O,'PR Grupo'!$G45,'Plan CP'!$P:$P,'PR Grupo'!P$3,'Plan CP'!$M:$M,1)=1,1,IF(IFERROR(VLOOKUP('PR Grupo'!P$3&amp;'PR Grupo'!$G45,'Plan CP'!$K:$P,3,FALSE)&gt;1,0),IFERROR(VLOOKUP('PR Grupo'!P$3&amp;'PR Grupo'!$G45,'Plan CP'!$K:$P,3,FALSE),0),0)))</f>
        <v>0</v>
      </c>
      <c r="Q45" s="58">
        <f>IF(P45&gt;1,P45-1,IF(COUNTIFS('Plan CP'!$O:$O,'PR Grupo'!$G45,'Plan CP'!$P:$P,'PR Grupo'!Q$3,'Plan CP'!$M:$M,1)=1,1,IF(IFERROR(VLOOKUP('PR Grupo'!Q$3&amp;'PR Grupo'!$G45,'Plan CP'!$K:$P,3,FALSE)&gt;1,0),IFERROR(VLOOKUP('PR Grupo'!Q$3&amp;'PR Grupo'!$G45,'Plan CP'!$K:$P,3,FALSE),0),0)))</f>
        <v>0</v>
      </c>
      <c r="R45" s="58">
        <f>IF(Q45&gt;1,Q45-1,IF(COUNTIFS('Plan CP'!$O:$O,'PR Grupo'!$G45,'Plan CP'!$P:$P,'PR Grupo'!R$3,'Plan CP'!$M:$M,1)=1,1,IF(IFERROR(VLOOKUP('PR Grupo'!R$3&amp;'PR Grupo'!$G45,'Plan CP'!$K:$P,3,FALSE)&gt;1,0),IFERROR(VLOOKUP('PR Grupo'!R$3&amp;'PR Grupo'!$G45,'Plan CP'!$K:$P,3,FALSE),0),0)))</f>
        <v>1</v>
      </c>
      <c r="S45" s="58">
        <f>IF(R45&gt;1,R45-1,IF(COUNTIFS('Plan CP'!$O:$O,'PR Grupo'!$G45,'Plan CP'!$P:$P,'PR Grupo'!S$3,'Plan CP'!$M:$M,1)=1,1,IF(IFERROR(VLOOKUP('PR Grupo'!S$3&amp;'PR Grupo'!$G45,'Plan CP'!$K:$P,3,FALSE)&gt;1,0),IFERROR(VLOOKUP('PR Grupo'!S$3&amp;'PR Grupo'!$G45,'Plan CP'!$K:$P,3,FALSE),0),0)))</f>
        <v>1</v>
      </c>
      <c r="T45" s="58">
        <f>IF(S45&gt;1,S45-1,IF(COUNTIFS('Plan CP'!$O:$O,'PR Grupo'!$G45,'Plan CP'!$P:$P,'PR Grupo'!T$3,'Plan CP'!$M:$M,1)=1,1,IF(IFERROR(VLOOKUP('PR Grupo'!T$3&amp;'PR Grupo'!$G45,'Plan CP'!$K:$P,3,FALSE)&gt;1,0),IFERROR(VLOOKUP('PR Grupo'!T$3&amp;'PR Grupo'!$G45,'Plan CP'!$K:$P,3,FALSE),0),0)))</f>
        <v>1</v>
      </c>
      <c r="U45" s="58">
        <f>IF(T45&gt;1,T45-1,IF(COUNTIFS('Plan CP'!$O:$O,'PR Grupo'!$G45,'Plan CP'!$P:$P,'PR Grupo'!U$3,'Plan CP'!$M:$M,1)=1,1,IF(IFERROR(VLOOKUP('PR Grupo'!U$3&amp;'PR Grupo'!$G45,'Plan CP'!$K:$P,3,FALSE)&gt;1,0),IFERROR(VLOOKUP('PR Grupo'!U$3&amp;'PR Grupo'!$G45,'Plan CP'!$K:$P,3,FALSE),0),0)))</f>
        <v>1</v>
      </c>
      <c r="V45" s="58">
        <f>IF(U45&gt;1,U45-1,IF(COUNTIFS('Plan CP'!$O:$O,'PR Grupo'!$G45,'Plan CP'!$P:$P,'PR Grupo'!V$3,'Plan CP'!$M:$M,1)=1,1,IF(IFERROR(VLOOKUP('PR Grupo'!V$3&amp;'PR Grupo'!$G45,'Plan CP'!$K:$P,3,FALSE)&gt;1,0),IFERROR(VLOOKUP('PR Grupo'!V$3&amp;'PR Grupo'!$G45,'Plan CP'!$K:$P,3,FALSE),0),0)))</f>
        <v>1</v>
      </c>
      <c r="W45" s="58">
        <f>IF(V45&gt;1,V45-1,IF(COUNTIFS('Plan CP'!$O:$O,'PR Grupo'!$G45,'Plan CP'!$P:$P,'PR Grupo'!W$3,'Plan CP'!$M:$M,1)=1,1,IF(IFERROR(VLOOKUP('PR Grupo'!W$3&amp;'PR Grupo'!$G45,'Plan CP'!$K:$P,3,FALSE)&gt;1,0),IFERROR(VLOOKUP('PR Grupo'!W$3&amp;'PR Grupo'!$G45,'Plan CP'!$K:$P,3,FALSE),0),0)))</f>
        <v>1</v>
      </c>
      <c r="X45" s="58">
        <f>IF(W45&gt;1,W45-1,IF(COUNTIFS('Plan CP'!$O:$O,'PR Grupo'!$G45,'Plan CP'!$P:$P,'PR Grupo'!X$3,'Plan CP'!$M:$M,1)=1,1,IF(IFERROR(VLOOKUP('PR Grupo'!X$3&amp;'PR Grupo'!$G45,'Plan CP'!$K:$P,3,FALSE)&gt;1,0),IFERROR(VLOOKUP('PR Grupo'!X$3&amp;'PR Grupo'!$G45,'Plan CP'!$K:$P,3,FALSE),0),0)))</f>
        <v>1</v>
      </c>
      <c r="Y45" s="58">
        <f>IF(X45&gt;1,X45-1,IF(COUNTIFS('Plan CP'!$O:$O,'PR Grupo'!$G45,'Plan CP'!$P:$P,'PR Grupo'!Y$3,'Plan CP'!$M:$M,1)=1,1,IF(IFERROR(VLOOKUP('PR Grupo'!Y$3&amp;'PR Grupo'!$G45,'Plan CP'!$K:$P,3,FALSE)&gt;1,0),IFERROR(VLOOKUP('PR Grupo'!Y$3&amp;'PR Grupo'!$G45,'Plan CP'!$K:$P,3,FALSE),0),0)))</f>
        <v>1</v>
      </c>
      <c r="Z45" s="58">
        <f>IF(Y45&gt;1,Y45-1,IF(COUNTIFS('Plan CP'!$O:$O,'PR Grupo'!$G45,'Plan CP'!$P:$P,'PR Grupo'!Z$3,'Plan CP'!$M:$M,1)=1,1,IF(IFERROR(VLOOKUP('PR Grupo'!Z$3&amp;'PR Grupo'!$G45,'Plan CP'!$K:$P,3,FALSE)&gt;1,0),IFERROR(VLOOKUP('PR Grupo'!Z$3&amp;'PR Grupo'!$G45,'Plan CP'!$K:$P,3,FALSE),0),0)))</f>
        <v>1</v>
      </c>
      <c r="AA45" s="58">
        <f>IF(Z45&gt;1,Z45-1,IF(COUNTIFS('Plan CP'!$O:$O,'PR Grupo'!$G45,'Plan CP'!$P:$P,'PR Grupo'!AA$3,'Plan CP'!$M:$M,1)=1,1,IF(IFERROR(VLOOKUP('PR Grupo'!AA$3&amp;'PR Grupo'!$G45,'Plan CP'!$K:$P,3,FALSE)&gt;1,0),IFERROR(VLOOKUP('PR Grupo'!AA$3&amp;'PR Grupo'!$G45,'Plan CP'!$K:$P,3,FALSE),0),0)))</f>
        <v>1</v>
      </c>
      <c r="AB45" s="58">
        <f>IF(AA45&gt;1,AA45-1,IF(COUNTIFS('Plan CP'!$O:$O,'PR Grupo'!$G45,'Plan CP'!$P:$P,'PR Grupo'!AB$3,'Plan CP'!$M:$M,1)=1,1,IF(IFERROR(VLOOKUP('PR Grupo'!AB$3&amp;'PR Grupo'!$G45,'Plan CP'!$K:$P,3,FALSE)&gt;1,0),IFERROR(VLOOKUP('PR Grupo'!AB$3&amp;'PR Grupo'!$G45,'Plan CP'!$K:$P,3,FALSE),0),0)))</f>
        <v>1</v>
      </c>
      <c r="AC45" s="58">
        <f>IF(AB45&gt;1,AB45-1,IF(COUNTIFS('Plan CP'!$O:$O,'PR Grupo'!$G45,'Plan CP'!$P:$P,'PR Grupo'!AC$3,'Plan CP'!$M:$M,1)=1,1,IF(IFERROR(VLOOKUP('PR Grupo'!AC$3&amp;'PR Grupo'!$G45,'Plan CP'!$K:$P,3,FALSE)&gt;1,0),IFERROR(VLOOKUP('PR Grupo'!AC$3&amp;'PR Grupo'!$G45,'Plan CP'!$K:$P,3,FALSE),0),0)))</f>
        <v>1</v>
      </c>
      <c r="AD45" s="58">
        <f>IF(AC45&gt;1,AC45-1,IF(COUNTIFS('Plan CP'!$O:$O,'PR Grupo'!$G45,'Plan CP'!$P:$P,'PR Grupo'!AD$3,'Plan CP'!$M:$M,1)=1,1,IF(IFERROR(VLOOKUP('PR Grupo'!AD$3&amp;'PR Grupo'!$G45,'Plan CP'!$K:$P,3,FALSE)&gt;1,0),IFERROR(VLOOKUP('PR Grupo'!AD$3&amp;'PR Grupo'!$G45,'Plan CP'!$K:$P,3,FALSE),0),0)))</f>
        <v>1</v>
      </c>
      <c r="AE45" s="58">
        <f>IF(AD45&gt;1,AD45-1,IF(COUNTIFS('Plan CP'!$O:$O,'PR Grupo'!$G45,'Plan CP'!$P:$P,'PR Grupo'!AE$3,'Plan CP'!$M:$M,1)=1,1,IF(IFERROR(VLOOKUP('PR Grupo'!AE$3&amp;'PR Grupo'!$G45,'Plan CP'!$K:$P,3,FALSE)&gt;1,0),IFERROR(VLOOKUP('PR Grupo'!AE$3&amp;'PR Grupo'!$G45,'Plan CP'!$K:$P,3,FALSE),0),0)))</f>
        <v>1</v>
      </c>
      <c r="AF45" s="58">
        <f>IF(AE45&gt;1,AE45-1,IF(COUNTIFS('Plan CP'!$O:$O,'PR Grupo'!$G45,'Plan CP'!$P:$P,'PR Grupo'!AF$3,'Plan CP'!$M:$M,1)=1,1,IF(IFERROR(VLOOKUP('PR Grupo'!AF$3&amp;'PR Grupo'!$G45,'Plan CP'!$K:$P,3,FALSE)&gt;1,0),IFERROR(VLOOKUP('PR Grupo'!AF$3&amp;'PR Grupo'!$G45,'Plan CP'!$K:$P,3,FALSE),0),0)))</f>
        <v>1</v>
      </c>
      <c r="AG45" s="58">
        <f>IF(AF45&gt;1,AF45-1,IF(COUNTIFS('Plan CP'!$O:$O,'PR Grupo'!$G45,'Plan CP'!$P:$P,'PR Grupo'!AG$3,'Plan CP'!$M:$M,1)=1,1,IF(IFERROR(VLOOKUP('PR Grupo'!AG$3&amp;'PR Grupo'!$G45,'Plan CP'!$K:$P,3,FALSE)&gt;1,0),IFERROR(VLOOKUP('PR Grupo'!AG$3&amp;'PR Grupo'!$G45,'Plan CP'!$K:$P,3,FALSE),0),0)))</f>
        <v>1</v>
      </c>
      <c r="AH45" s="58">
        <f>IF(AG45&gt;1,AG45-1,IF(COUNTIFS('Plan CP'!$O:$O,'PR Grupo'!$G45,'Plan CP'!$P:$P,'PR Grupo'!AH$3,'Plan CP'!$M:$M,1)=1,1,IF(IFERROR(VLOOKUP('PR Grupo'!AH$3&amp;'PR Grupo'!$G45,'Plan CP'!$K:$P,3,FALSE)&gt;1,0),IFERROR(VLOOKUP('PR Grupo'!AH$3&amp;'PR Grupo'!$G45,'Plan CP'!$K:$P,3,FALSE),0),0)))</f>
        <v>1</v>
      </c>
      <c r="AI45" s="58">
        <f>IF(AH45&gt;1,AH45-1,IF(COUNTIFS('Plan CP'!$O:$O,'PR Grupo'!$G45,'Plan CP'!$P:$P,'PR Grupo'!AI$3,'Plan CP'!$M:$M,1)=1,1,IF(IFERROR(VLOOKUP('PR Grupo'!AI$3&amp;'PR Grupo'!$G45,'Plan CP'!$K:$P,3,FALSE)&gt;1,0),IFERROR(VLOOKUP('PR Grupo'!AI$3&amp;'PR Grupo'!$G45,'Plan CP'!$K:$P,3,FALSE),0),0)))</f>
        <v>1</v>
      </c>
      <c r="AJ45" s="58">
        <f>IF(AI45&gt;1,AI45-1,IF(COUNTIFS('Plan CP'!$O:$O,'PR Grupo'!$G45,'Plan CP'!$P:$P,'PR Grupo'!AJ$3,'Plan CP'!$M:$M,1)=1,1,IF(IFERROR(VLOOKUP('PR Grupo'!AJ$3&amp;'PR Grupo'!$G45,'Plan CP'!$K:$P,3,FALSE)&gt;1,0),IFERROR(VLOOKUP('PR Grupo'!AJ$3&amp;'PR Grupo'!$G45,'Plan CP'!$K:$P,3,FALSE),0),0)))</f>
        <v>0</v>
      </c>
      <c r="AK45" s="58">
        <f>IF(AJ45&gt;1,AJ45-1,IF(COUNTIFS('Plan CP'!$O:$O,'PR Grupo'!$G45,'Plan CP'!$P:$P,'PR Grupo'!AK$3,'Plan CP'!$M:$M,1)=1,1,IF(IFERROR(VLOOKUP('PR Grupo'!AK$3&amp;'PR Grupo'!$G45,'Plan CP'!$K:$P,3,FALSE)&gt;1,0),IFERROR(VLOOKUP('PR Grupo'!AK$3&amp;'PR Grupo'!$G45,'Plan CP'!$K:$P,3,FALSE),0),0)))</f>
        <v>0</v>
      </c>
      <c r="AL45" s="58">
        <f>IF(AK45&gt;1,AK45-1,IF(COUNTIFS('Plan CP'!$O:$O,'PR Grupo'!$G45,'Plan CP'!$P:$P,'PR Grupo'!AL$3,'Plan CP'!$M:$M,1)=1,1,IF(IFERROR(VLOOKUP('PR Grupo'!AL$3&amp;'PR Grupo'!$G45,'Plan CP'!$K:$P,3,FALSE)&gt;1,0),IFERROR(VLOOKUP('PR Grupo'!AL$3&amp;'PR Grupo'!$G45,'Plan CP'!$K:$P,3,FALSE),0),0)))</f>
        <v>0</v>
      </c>
      <c r="AM45" s="58">
        <f>IF(AL45&gt;1,AL45-1,IF(COUNTIFS('Plan CP'!$O:$O,'PR Grupo'!$G45,'Plan CP'!$P:$P,'PR Grupo'!AM$3,'Plan CP'!$M:$M,1)=1,1,IF(IFERROR(VLOOKUP('PR Grupo'!AM$3&amp;'PR Grupo'!$G45,'Plan CP'!$K:$P,3,FALSE)&gt;1,0),IFERROR(VLOOKUP('PR Grupo'!AM$3&amp;'PR Grupo'!$G45,'Plan CP'!$K:$P,3,FALSE),0),0)))</f>
        <v>0</v>
      </c>
      <c r="AN45" s="58">
        <f>IF(AM45&gt;1,AM45-1,IF(COUNTIFS('Plan CP'!$O:$O,'PR Grupo'!$G45,'Plan CP'!$P:$P,'PR Grupo'!AN$3,'Plan CP'!$M:$M,1)=1,1,IF(IFERROR(VLOOKUP('PR Grupo'!AN$3&amp;'PR Grupo'!$G45,'Plan CP'!$K:$P,3,FALSE)&gt;1,0),IFERROR(VLOOKUP('PR Grupo'!AN$3&amp;'PR Grupo'!$G45,'Plan CP'!$K:$P,3,FALSE),0),0)))</f>
        <v>0</v>
      </c>
      <c r="AO45" s="58">
        <f>IF(AN45&gt;1,AN45-1,IF(COUNTIFS('Plan CP'!$O:$O,'PR Grupo'!$G45,'Plan CP'!$P:$P,'PR Grupo'!AO$3,'Plan CP'!$M:$M,1)=1,1,IF(IFERROR(VLOOKUP('PR Grupo'!AO$3&amp;'PR Grupo'!$G45,'Plan CP'!$K:$P,3,FALSE)&gt;1,0),IFERROR(VLOOKUP('PR Grupo'!AO$3&amp;'PR Grupo'!$G45,'Plan CP'!$K:$P,3,FALSE),0),0)))</f>
        <v>0</v>
      </c>
    </row>
    <row r="46" spans="1:41">
      <c r="A46" s="21" t="s">
        <v>33</v>
      </c>
      <c r="B46" s="21" t="s">
        <v>48</v>
      </c>
      <c r="C46" s="21" t="s">
        <v>238</v>
      </c>
      <c r="D46" s="21" t="s">
        <v>275</v>
      </c>
      <c r="E46" s="24" t="s">
        <v>174</v>
      </c>
      <c r="F46" s="21" t="s">
        <v>275</v>
      </c>
      <c r="G46" s="33" t="s">
        <v>192</v>
      </c>
      <c r="H46" s="24">
        <v>25</v>
      </c>
      <c r="I46" s="33">
        <f t="shared" si="2"/>
        <v>19</v>
      </c>
      <c r="J46" s="33" t="str">
        <f t="shared" si="3"/>
        <v>NO OK</v>
      </c>
      <c r="K46" s="58">
        <f>IF(COUNTIFS('Plan CP'!$O:$O,'PR Grupo'!$G46,'Plan CP'!$P:$P,'PR Grupo'!K$3,'Plan CP'!$M:$M,1)=1,1,IF(IFERROR(VLOOKUP('PR Grupo'!K$3&amp;'PR Grupo'!$G46,'Plan CP'!$K:$P,3,FALSE)&gt;1,0),IFERROR(VLOOKUP('PR Grupo'!K$3&amp;'PR Grupo'!$G46,'Plan CP'!$K:$P,3,FALSE),0),0))</f>
        <v>0</v>
      </c>
      <c r="L46" s="58">
        <f>IF(K46&gt;1,K46-1,IF(COUNTIFS('Plan CP'!$O:$O,'PR Grupo'!$G46,'Plan CP'!$P:$P,'PR Grupo'!L$3,'Plan CP'!$M:$M,1)=1,1,IF(IFERROR(VLOOKUP('PR Grupo'!L$3&amp;'PR Grupo'!$G46,'Plan CP'!$K:$P,3,FALSE)&gt;1,0),IFERROR(VLOOKUP('PR Grupo'!L$3&amp;'PR Grupo'!$G46,'Plan CP'!$K:$P,3,FALSE),0),0)))</f>
        <v>0</v>
      </c>
      <c r="M46" s="58">
        <f>IF(L46&gt;1,L46-1,IF(COUNTIFS('Plan CP'!$O:$O,'PR Grupo'!$G46,'Plan CP'!$P:$P,'PR Grupo'!M$3,'Plan CP'!$M:$M,1)=1,1,IF(IFERROR(VLOOKUP('PR Grupo'!M$3&amp;'PR Grupo'!$G46,'Plan CP'!$K:$P,3,FALSE)&gt;1,0),IFERROR(VLOOKUP('PR Grupo'!M$3&amp;'PR Grupo'!$G46,'Plan CP'!$K:$P,3,FALSE),0),0)))</f>
        <v>1</v>
      </c>
      <c r="N46" s="58">
        <f>IF(M46&gt;1,M46-1,IF(COUNTIFS('Plan CP'!$O:$O,'PR Grupo'!$G46,'Plan CP'!$P:$P,'PR Grupo'!N$3,'Plan CP'!$M:$M,1)=1,1,IF(IFERROR(VLOOKUP('PR Grupo'!N$3&amp;'PR Grupo'!$G46,'Plan CP'!$K:$P,3,FALSE)&gt;1,0),IFERROR(VLOOKUP('PR Grupo'!N$3&amp;'PR Grupo'!$G46,'Plan CP'!$K:$P,3,FALSE),0),0)))</f>
        <v>0</v>
      </c>
      <c r="O46" s="58">
        <f>IF(N46&gt;1,N46-1,IF(COUNTIFS('Plan CP'!$O:$O,'PR Grupo'!$G46,'Plan CP'!$P:$P,'PR Grupo'!O$3,'Plan CP'!$M:$M,1)=1,1,IF(IFERROR(VLOOKUP('PR Grupo'!O$3&amp;'PR Grupo'!$G46,'Plan CP'!$K:$P,3,FALSE)&gt;1,0),IFERROR(VLOOKUP('PR Grupo'!O$3&amp;'PR Grupo'!$G46,'Plan CP'!$K:$P,3,FALSE),0),0)))</f>
        <v>0</v>
      </c>
      <c r="P46" s="58">
        <f>IF(O46&gt;1,O46-1,IF(COUNTIFS('Plan CP'!$O:$O,'PR Grupo'!$G46,'Plan CP'!$P:$P,'PR Grupo'!P$3,'Plan CP'!$M:$M,1)=1,1,IF(IFERROR(VLOOKUP('PR Grupo'!P$3&amp;'PR Grupo'!$G46,'Plan CP'!$K:$P,3,FALSE)&gt;1,0),IFERROR(VLOOKUP('PR Grupo'!P$3&amp;'PR Grupo'!$G46,'Plan CP'!$K:$P,3,FALSE),0),0)))</f>
        <v>0</v>
      </c>
      <c r="Q46" s="58">
        <f>IF(P46&gt;1,P46-1,IF(COUNTIFS('Plan CP'!$O:$O,'PR Grupo'!$G46,'Plan CP'!$P:$P,'PR Grupo'!Q$3,'Plan CP'!$M:$M,1)=1,1,IF(IFERROR(VLOOKUP('PR Grupo'!Q$3&amp;'PR Grupo'!$G46,'Plan CP'!$K:$P,3,FALSE)&gt;1,0),IFERROR(VLOOKUP('PR Grupo'!Q$3&amp;'PR Grupo'!$G46,'Plan CP'!$K:$P,3,FALSE),0),0)))</f>
        <v>0</v>
      </c>
      <c r="R46" s="58">
        <f>IF(Q46&gt;1,Q46-1,IF(COUNTIFS('Plan CP'!$O:$O,'PR Grupo'!$G46,'Plan CP'!$P:$P,'PR Grupo'!R$3,'Plan CP'!$M:$M,1)=1,1,IF(IFERROR(VLOOKUP('PR Grupo'!R$3&amp;'PR Grupo'!$G46,'Plan CP'!$K:$P,3,FALSE)&gt;1,0),IFERROR(VLOOKUP('PR Grupo'!R$3&amp;'PR Grupo'!$G46,'Plan CP'!$K:$P,3,FALSE),0),0)))</f>
        <v>1</v>
      </c>
      <c r="S46" s="58">
        <f>IF(R46&gt;1,R46-1,IF(COUNTIFS('Plan CP'!$O:$O,'PR Grupo'!$G46,'Plan CP'!$P:$P,'PR Grupo'!S$3,'Plan CP'!$M:$M,1)=1,1,IF(IFERROR(VLOOKUP('PR Grupo'!S$3&amp;'PR Grupo'!$G46,'Plan CP'!$K:$P,3,FALSE)&gt;1,0),IFERROR(VLOOKUP('PR Grupo'!S$3&amp;'PR Grupo'!$G46,'Plan CP'!$K:$P,3,FALSE),0),0)))</f>
        <v>1</v>
      </c>
      <c r="T46" s="58">
        <f>IF(S46&gt;1,S46-1,IF(COUNTIFS('Plan CP'!$O:$O,'PR Grupo'!$G46,'Plan CP'!$P:$P,'PR Grupo'!T$3,'Plan CP'!$M:$M,1)=1,1,IF(IFERROR(VLOOKUP('PR Grupo'!T$3&amp;'PR Grupo'!$G46,'Plan CP'!$K:$P,3,FALSE)&gt;1,0),IFERROR(VLOOKUP('PR Grupo'!T$3&amp;'PR Grupo'!$G46,'Plan CP'!$K:$P,3,FALSE),0),0)))</f>
        <v>1</v>
      </c>
      <c r="U46" s="58">
        <f>IF(T46&gt;1,T46-1,IF(COUNTIFS('Plan CP'!$O:$O,'PR Grupo'!$G46,'Plan CP'!$P:$P,'PR Grupo'!U$3,'Plan CP'!$M:$M,1)=1,1,IF(IFERROR(VLOOKUP('PR Grupo'!U$3&amp;'PR Grupo'!$G46,'Plan CP'!$K:$P,3,FALSE)&gt;1,0),IFERROR(VLOOKUP('PR Grupo'!U$3&amp;'PR Grupo'!$G46,'Plan CP'!$K:$P,3,FALSE),0),0)))</f>
        <v>1</v>
      </c>
      <c r="V46" s="58">
        <f>IF(U46&gt;1,U46-1,IF(COUNTIFS('Plan CP'!$O:$O,'PR Grupo'!$G46,'Plan CP'!$P:$P,'PR Grupo'!V$3,'Plan CP'!$M:$M,1)=1,1,IF(IFERROR(VLOOKUP('PR Grupo'!V$3&amp;'PR Grupo'!$G46,'Plan CP'!$K:$P,3,FALSE)&gt;1,0),IFERROR(VLOOKUP('PR Grupo'!V$3&amp;'PR Grupo'!$G46,'Plan CP'!$K:$P,3,FALSE),0),0)))</f>
        <v>1</v>
      </c>
      <c r="W46" s="58">
        <f>IF(V46&gt;1,V46-1,IF(COUNTIFS('Plan CP'!$O:$O,'PR Grupo'!$G46,'Plan CP'!$P:$P,'PR Grupo'!W$3,'Plan CP'!$M:$M,1)=1,1,IF(IFERROR(VLOOKUP('PR Grupo'!W$3&amp;'PR Grupo'!$G46,'Plan CP'!$K:$P,3,FALSE)&gt;1,0),IFERROR(VLOOKUP('PR Grupo'!W$3&amp;'PR Grupo'!$G46,'Plan CP'!$K:$P,3,FALSE),0),0)))</f>
        <v>1</v>
      </c>
      <c r="X46" s="58">
        <f>IF(W46&gt;1,W46-1,IF(COUNTIFS('Plan CP'!$O:$O,'PR Grupo'!$G46,'Plan CP'!$P:$P,'PR Grupo'!X$3,'Plan CP'!$M:$M,1)=1,1,IF(IFERROR(VLOOKUP('PR Grupo'!X$3&amp;'PR Grupo'!$G46,'Plan CP'!$K:$P,3,FALSE)&gt;1,0),IFERROR(VLOOKUP('PR Grupo'!X$3&amp;'PR Grupo'!$G46,'Plan CP'!$K:$P,3,FALSE),0),0)))</f>
        <v>1</v>
      </c>
      <c r="Y46" s="58">
        <f>IF(X46&gt;1,X46-1,IF(COUNTIFS('Plan CP'!$O:$O,'PR Grupo'!$G46,'Plan CP'!$P:$P,'PR Grupo'!Y$3,'Plan CP'!$M:$M,1)=1,1,IF(IFERROR(VLOOKUP('PR Grupo'!Y$3&amp;'PR Grupo'!$G46,'Plan CP'!$K:$P,3,FALSE)&gt;1,0),IFERROR(VLOOKUP('PR Grupo'!Y$3&amp;'PR Grupo'!$G46,'Plan CP'!$K:$P,3,FALSE),0),0)))</f>
        <v>1</v>
      </c>
      <c r="Z46" s="58">
        <f>IF(Y46&gt;1,Y46-1,IF(COUNTIFS('Plan CP'!$O:$O,'PR Grupo'!$G46,'Plan CP'!$P:$P,'PR Grupo'!Z$3,'Plan CP'!$M:$M,1)=1,1,IF(IFERROR(VLOOKUP('PR Grupo'!Z$3&amp;'PR Grupo'!$G46,'Plan CP'!$K:$P,3,FALSE)&gt;1,0),IFERROR(VLOOKUP('PR Grupo'!Z$3&amp;'PR Grupo'!$G46,'Plan CP'!$K:$P,3,FALSE),0),0)))</f>
        <v>1</v>
      </c>
      <c r="AA46" s="58">
        <f>IF(Z46&gt;1,Z46-1,IF(COUNTIFS('Plan CP'!$O:$O,'PR Grupo'!$G46,'Plan CP'!$P:$P,'PR Grupo'!AA$3,'Plan CP'!$M:$M,1)=1,1,IF(IFERROR(VLOOKUP('PR Grupo'!AA$3&amp;'PR Grupo'!$G46,'Plan CP'!$K:$P,3,FALSE)&gt;1,0),IFERROR(VLOOKUP('PR Grupo'!AA$3&amp;'PR Grupo'!$G46,'Plan CP'!$K:$P,3,FALSE),0),0)))</f>
        <v>1</v>
      </c>
      <c r="AB46" s="58">
        <f>IF(AA46&gt;1,AA46-1,IF(COUNTIFS('Plan CP'!$O:$O,'PR Grupo'!$G46,'Plan CP'!$P:$P,'PR Grupo'!AB$3,'Plan CP'!$M:$M,1)=1,1,IF(IFERROR(VLOOKUP('PR Grupo'!AB$3&amp;'PR Grupo'!$G46,'Plan CP'!$K:$P,3,FALSE)&gt;1,0),IFERROR(VLOOKUP('PR Grupo'!AB$3&amp;'PR Grupo'!$G46,'Plan CP'!$K:$P,3,FALSE),0),0)))</f>
        <v>1</v>
      </c>
      <c r="AC46" s="58">
        <f>IF(AB46&gt;1,AB46-1,IF(COUNTIFS('Plan CP'!$O:$O,'PR Grupo'!$G46,'Plan CP'!$P:$P,'PR Grupo'!AC$3,'Plan CP'!$M:$M,1)=1,1,IF(IFERROR(VLOOKUP('PR Grupo'!AC$3&amp;'PR Grupo'!$G46,'Plan CP'!$K:$P,3,FALSE)&gt;1,0),IFERROR(VLOOKUP('PR Grupo'!AC$3&amp;'PR Grupo'!$G46,'Plan CP'!$K:$P,3,FALSE),0),0)))</f>
        <v>1</v>
      </c>
      <c r="AD46" s="58">
        <f>IF(AC46&gt;1,AC46-1,IF(COUNTIFS('Plan CP'!$O:$O,'PR Grupo'!$G46,'Plan CP'!$P:$P,'PR Grupo'!AD$3,'Plan CP'!$M:$M,1)=1,1,IF(IFERROR(VLOOKUP('PR Grupo'!AD$3&amp;'PR Grupo'!$G46,'Plan CP'!$K:$P,3,FALSE)&gt;1,0),IFERROR(VLOOKUP('PR Grupo'!AD$3&amp;'PR Grupo'!$G46,'Plan CP'!$K:$P,3,FALSE),0),0)))</f>
        <v>1</v>
      </c>
      <c r="AE46" s="58">
        <f>IF(AD46&gt;1,AD46-1,IF(COUNTIFS('Plan CP'!$O:$O,'PR Grupo'!$G46,'Plan CP'!$P:$P,'PR Grupo'!AE$3,'Plan CP'!$M:$M,1)=1,1,IF(IFERROR(VLOOKUP('PR Grupo'!AE$3&amp;'PR Grupo'!$G46,'Plan CP'!$K:$P,3,FALSE)&gt;1,0),IFERROR(VLOOKUP('PR Grupo'!AE$3&amp;'PR Grupo'!$G46,'Plan CP'!$K:$P,3,FALSE),0),0)))</f>
        <v>1</v>
      </c>
      <c r="AF46" s="58">
        <f>IF(AE46&gt;1,AE46-1,IF(COUNTIFS('Plan CP'!$O:$O,'PR Grupo'!$G46,'Plan CP'!$P:$P,'PR Grupo'!AF$3,'Plan CP'!$M:$M,1)=1,1,IF(IFERROR(VLOOKUP('PR Grupo'!AF$3&amp;'PR Grupo'!$G46,'Plan CP'!$K:$P,3,FALSE)&gt;1,0),IFERROR(VLOOKUP('PR Grupo'!AF$3&amp;'PR Grupo'!$G46,'Plan CP'!$K:$P,3,FALSE),0),0)))</f>
        <v>1</v>
      </c>
      <c r="AG46" s="58">
        <f>IF(AF46&gt;1,AF46-1,IF(COUNTIFS('Plan CP'!$O:$O,'PR Grupo'!$G46,'Plan CP'!$P:$P,'PR Grupo'!AG$3,'Plan CP'!$M:$M,1)=1,1,IF(IFERROR(VLOOKUP('PR Grupo'!AG$3&amp;'PR Grupo'!$G46,'Plan CP'!$K:$P,3,FALSE)&gt;1,0),IFERROR(VLOOKUP('PR Grupo'!AG$3&amp;'PR Grupo'!$G46,'Plan CP'!$K:$P,3,FALSE),0),0)))</f>
        <v>1</v>
      </c>
      <c r="AH46" s="58">
        <f>IF(AG46&gt;1,AG46-1,IF(COUNTIFS('Plan CP'!$O:$O,'PR Grupo'!$G46,'Plan CP'!$P:$P,'PR Grupo'!AH$3,'Plan CP'!$M:$M,1)=1,1,IF(IFERROR(VLOOKUP('PR Grupo'!AH$3&amp;'PR Grupo'!$G46,'Plan CP'!$K:$P,3,FALSE)&gt;1,0),IFERROR(VLOOKUP('PR Grupo'!AH$3&amp;'PR Grupo'!$G46,'Plan CP'!$K:$P,3,FALSE),0),0)))</f>
        <v>1</v>
      </c>
      <c r="AI46" s="58">
        <f>IF(AH46&gt;1,AH46-1,IF(COUNTIFS('Plan CP'!$O:$O,'PR Grupo'!$G46,'Plan CP'!$P:$P,'PR Grupo'!AI$3,'Plan CP'!$M:$M,1)=1,1,IF(IFERROR(VLOOKUP('PR Grupo'!AI$3&amp;'PR Grupo'!$G46,'Plan CP'!$K:$P,3,FALSE)&gt;1,0),IFERROR(VLOOKUP('PR Grupo'!AI$3&amp;'PR Grupo'!$G46,'Plan CP'!$K:$P,3,FALSE),0),0)))</f>
        <v>1</v>
      </c>
      <c r="AJ46" s="58">
        <f>IF(AI46&gt;1,AI46-1,IF(COUNTIFS('Plan CP'!$O:$O,'PR Grupo'!$G46,'Plan CP'!$P:$P,'PR Grupo'!AJ$3,'Plan CP'!$M:$M,1)=1,1,IF(IFERROR(VLOOKUP('PR Grupo'!AJ$3&amp;'PR Grupo'!$G46,'Plan CP'!$K:$P,3,FALSE)&gt;1,0),IFERROR(VLOOKUP('PR Grupo'!AJ$3&amp;'PR Grupo'!$G46,'Plan CP'!$K:$P,3,FALSE),0),0)))</f>
        <v>0</v>
      </c>
      <c r="AK46" s="58">
        <f>IF(AJ46&gt;1,AJ46-1,IF(COUNTIFS('Plan CP'!$O:$O,'PR Grupo'!$G46,'Plan CP'!$P:$P,'PR Grupo'!AK$3,'Plan CP'!$M:$M,1)=1,1,IF(IFERROR(VLOOKUP('PR Grupo'!AK$3&amp;'PR Grupo'!$G46,'Plan CP'!$K:$P,3,FALSE)&gt;1,0),IFERROR(VLOOKUP('PR Grupo'!AK$3&amp;'PR Grupo'!$G46,'Plan CP'!$K:$P,3,FALSE),0),0)))</f>
        <v>0</v>
      </c>
      <c r="AL46" s="58">
        <f>IF(AK46&gt;1,AK46-1,IF(COUNTIFS('Plan CP'!$O:$O,'PR Grupo'!$G46,'Plan CP'!$P:$P,'PR Grupo'!AL$3,'Plan CP'!$M:$M,1)=1,1,IF(IFERROR(VLOOKUP('PR Grupo'!AL$3&amp;'PR Grupo'!$G46,'Plan CP'!$K:$P,3,FALSE)&gt;1,0),IFERROR(VLOOKUP('PR Grupo'!AL$3&amp;'PR Grupo'!$G46,'Plan CP'!$K:$P,3,FALSE),0),0)))</f>
        <v>0</v>
      </c>
      <c r="AM46" s="58">
        <f>IF(AL46&gt;1,AL46-1,IF(COUNTIFS('Plan CP'!$O:$O,'PR Grupo'!$G46,'Plan CP'!$P:$P,'PR Grupo'!AM$3,'Plan CP'!$M:$M,1)=1,1,IF(IFERROR(VLOOKUP('PR Grupo'!AM$3&amp;'PR Grupo'!$G46,'Plan CP'!$K:$P,3,FALSE)&gt;1,0),IFERROR(VLOOKUP('PR Grupo'!AM$3&amp;'PR Grupo'!$G46,'Plan CP'!$K:$P,3,FALSE),0),0)))</f>
        <v>0</v>
      </c>
      <c r="AN46" s="58">
        <f>IF(AM46&gt;1,AM46-1,IF(COUNTIFS('Plan CP'!$O:$O,'PR Grupo'!$G46,'Plan CP'!$P:$P,'PR Grupo'!AN$3,'Plan CP'!$M:$M,1)=1,1,IF(IFERROR(VLOOKUP('PR Grupo'!AN$3&amp;'PR Grupo'!$G46,'Plan CP'!$K:$P,3,FALSE)&gt;1,0),IFERROR(VLOOKUP('PR Grupo'!AN$3&amp;'PR Grupo'!$G46,'Plan CP'!$K:$P,3,FALSE),0),0)))</f>
        <v>0</v>
      </c>
      <c r="AO46" s="58">
        <f>IF(AN46&gt;1,AN46-1,IF(COUNTIFS('Plan CP'!$O:$O,'PR Grupo'!$G46,'Plan CP'!$P:$P,'PR Grupo'!AO$3,'Plan CP'!$M:$M,1)=1,1,IF(IFERROR(VLOOKUP('PR Grupo'!AO$3&amp;'PR Grupo'!$G46,'Plan CP'!$K:$P,3,FALSE)&gt;1,0),IFERROR(VLOOKUP('PR Grupo'!AO$3&amp;'PR Grupo'!$G46,'Plan CP'!$K:$P,3,FALSE),0),0)))</f>
        <v>0</v>
      </c>
    </row>
    <row r="47" spans="1:41">
      <c r="A47" s="21" t="s">
        <v>33</v>
      </c>
      <c r="B47" s="21" t="s">
        <v>51</v>
      </c>
      <c r="C47" s="21" t="s">
        <v>239</v>
      </c>
      <c r="D47" s="21" t="s">
        <v>271</v>
      </c>
      <c r="E47" s="24" t="s">
        <v>174</v>
      </c>
      <c r="F47" s="21" t="s">
        <v>271</v>
      </c>
      <c r="G47" s="33" t="s">
        <v>192</v>
      </c>
      <c r="H47" s="24">
        <v>25</v>
      </c>
      <c r="I47" s="33">
        <f t="shared" si="2"/>
        <v>19</v>
      </c>
      <c r="J47" s="33" t="str">
        <f t="shared" si="3"/>
        <v>NO OK</v>
      </c>
      <c r="K47" s="58">
        <f>IF(COUNTIFS('Plan CP'!$O:$O,'PR Grupo'!$G47,'Plan CP'!$P:$P,'PR Grupo'!K$3,'Plan CP'!$M:$M,1)=1,1,IF(IFERROR(VLOOKUP('PR Grupo'!K$3&amp;'PR Grupo'!$G47,'Plan CP'!$K:$P,3,FALSE)&gt;1,0),IFERROR(VLOOKUP('PR Grupo'!K$3&amp;'PR Grupo'!$G47,'Plan CP'!$K:$P,3,FALSE),0),0))</f>
        <v>0</v>
      </c>
      <c r="L47" s="58">
        <f>IF(K47&gt;1,K47-1,IF(COUNTIFS('Plan CP'!$O:$O,'PR Grupo'!$G47,'Plan CP'!$P:$P,'PR Grupo'!L$3,'Plan CP'!$M:$M,1)=1,1,IF(IFERROR(VLOOKUP('PR Grupo'!L$3&amp;'PR Grupo'!$G47,'Plan CP'!$K:$P,3,FALSE)&gt;1,0),IFERROR(VLOOKUP('PR Grupo'!L$3&amp;'PR Grupo'!$G47,'Plan CP'!$K:$P,3,FALSE),0),0)))</f>
        <v>0</v>
      </c>
      <c r="M47" s="58">
        <f>IF(L47&gt;1,L47-1,IF(COUNTIFS('Plan CP'!$O:$O,'PR Grupo'!$G47,'Plan CP'!$P:$P,'PR Grupo'!M$3,'Plan CP'!$M:$M,1)=1,1,IF(IFERROR(VLOOKUP('PR Grupo'!M$3&amp;'PR Grupo'!$G47,'Plan CP'!$K:$P,3,FALSE)&gt;1,0),IFERROR(VLOOKUP('PR Grupo'!M$3&amp;'PR Grupo'!$G47,'Plan CP'!$K:$P,3,FALSE),0),0)))</f>
        <v>1</v>
      </c>
      <c r="N47" s="58">
        <f>IF(M47&gt;1,M47-1,IF(COUNTIFS('Plan CP'!$O:$O,'PR Grupo'!$G47,'Plan CP'!$P:$P,'PR Grupo'!N$3,'Plan CP'!$M:$M,1)=1,1,IF(IFERROR(VLOOKUP('PR Grupo'!N$3&amp;'PR Grupo'!$G47,'Plan CP'!$K:$P,3,FALSE)&gt;1,0),IFERROR(VLOOKUP('PR Grupo'!N$3&amp;'PR Grupo'!$G47,'Plan CP'!$K:$P,3,FALSE),0),0)))</f>
        <v>0</v>
      </c>
      <c r="O47" s="58">
        <f>IF(N47&gt;1,N47-1,IF(COUNTIFS('Plan CP'!$O:$O,'PR Grupo'!$G47,'Plan CP'!$P:$P,'PR Grupo'!O$3,'Plan CP'!$M:$M,1)=1,1,IF(IFERROR(VLOOKUP('PR Grupo'!O$3&amp;'PR Grupo'!$G47,'Plan CP'!$K:$P,3,FALSE)&gt;1,0),IFERROR(VLOOKUP('PR Grupo'!O$3&amp;'PR Grupo'!$G47,'Plan CP'!$K:$P,3,FALSE),0),0)))</f>
        <v>0</v>
      </c>
      <c r="P47" s="58">
        <f>IF(O47&gt;1,O47-1,IF(COUNTIFS('Plan CP'!$O:$O,'PR Grupo'!$G47,'Plan CP'!$P:$P,'PR Grupo'!P$3,'Plan CP'!$M:$M,1)=1,1,IF(IFERROR(VLOOKUP('PR Grupo'!P$3&amp;'PR Grupo'!$G47,'Plan CP'!$K:$P,3,FALSE)&gt;1,0),IFERROR(VLOOKUP('PR Grupo'!P$3&amp;'PR Grupo'!$G47,'Plan CP'!$K:$P,3,FALSE),0),0)))</f>
        <v>0</v>
      </c>
      <c r="Q47" s="58">
        <f>IF(P47&gt;1,P47-1,IF(COUNTIFS('Plan CP'!$O:$O,'PR Grupo'!$G47,'Plan CP'!$P:$P,'PR Grupo'!Q$3,'Plan CP'!$M:$M,1)=1,1,IF(IFERROR(VLOOKUP('PR Grupo'!Q$3&amp;'PR Grupo'!$G47,'Plan CP'!$K:$P,3,FALSE)&gt;1,0),IFERROR(VLOOKUP('PR Grupo'!Q$3&amp;'PR Grupo'!$G47,'Plan CP'!$K:$P,3,FALSE),0),0)))</f>
        <v>0</v>
      </c>
      <c r="R47" s="58">
        <f>IF(Q47&gt;1,Q47-1,IF(COUNTIFS('Plan CP'!$O:$O,'PR Grupo'!$G47,'Plan CP'!$P:$P,'PR Grupo'!R$3,'Plan CP'!$M:$M,1)=1,1,IF(IFERROR(VLOOKUP('PR Grupo'!R$3&amp;'PR Grupo'!$G47,'Plan CP'!$K:$P,3,FALSE)&gt;1,0),IFERROR(VLOOKUP('PR Grupo'!R$3&amp;'PR Grupo'!$G47,'Plan CP'!$K:$P,3,FALSE),0),0)))</f>
        <v>1</v>
      </c>
      <c r="S47" s="58">
        <f>IF(R47&gt;1,R47-1,IF(COUNTIFS('Plan CP'!$O:$O,'PR Grupo'!$G47,'Plan CP'!$P:$P,'PR Grupo'!S$3,'Plan CP'!$M:$M,1)=1,1,IF(IFERROR(VLOOKUP('PR Grupo'!S$3&amp;'PR Grupo'!$G47,'Plan CP'!$K:$P,3,FALSE)&gt;1,0),IFERROR(VLOOKUP('PR Grupo'!S$3&amp;'PR Grupo'!$G47,'Plan CP'!$K:$P,3,FALSE),0),0)))</f>
        <v>1</v>
      </c>
      <c r="T47" s="58">
        <f>IF(S47&gt;1,S47-1,IF(COUNTIFS('Plan CP'!$O:$O,'PR Grupo'!$G47,'Plan CP'!$P:$P,'PR Grupo'!T$3,'Plan CP'!$M:$M,1)=1,1,IF(IFERROR(VLOOKUP('PR Grupo'!T$3&amp;'PR Grupo'!$G47,'Plan CP'!$K:$P,3,FALSE)&gt;1,0),IFERROR(VLOOKUP('PR Grupo'!T$3&amp;'PR Grupo'!$G47,'Plan CP'!$K:$P,3,FALSE),0),0)))</f>
        <v>1</v>
      </c>
      <c r="U47" s="58">
        <f>IF(T47&gt;1,T47-1,IF(COUNTIFS('Plan CP'!$O:$O,'PR Grupo'!$G47,'Plan CP'!$P:$P,'PR Grupo'!U$3,'Plan CP'!$M:$M,1)=1,1,IF(IFERROR(VLOOKUP('PR Grupo'!U$3&amp;'PR Grupo'!$G47,'Plan CP'!$K:$P,3,FALSE)&gt;1,0),IFERROR(VLOOKUP('PR Grupo'!U$3&amp;'PR Grupo'!$G47,'Plan CP'!$K:$P,3,FALSE),0),0)))</f>
        <v>1</v>
      </c>
      <c r="V47" s="58">
        <f>IF(U47&gt;1,U47-1,IF(COUNTIFS('Plan CP'!$O:$O,'PR Grupo'!$G47,'Plan CP'!$P:$P,'PR Grupo'!V$3,'Plan CP'!$M:$M,1)=1,1,IF(IFERROR(VLOOKUP('PR Grupo'!V$3&amp;'PR Grupo'!$G47,'Plan CP'!$K:$P,3,FALSE)&gt;1,0),IFERROR(VLOOKUP('PR Grupo'!V$3&amp;'PR Grupo'!$G47,'Plan CP'!$K:$P,3,FALSE),0),0)))</f>
        <v>1</v>
      </c>
      <c r="W47" s="58">
        <f>IF(V47&gt;1,V47-1,IF(COUNTIFS('Plan CP'!$O:$O,'PR Grupo'!$G47,'Plan CP'!$P:$P,'PR Grupo'!W$3,'Plan CP'!$M:$M,1)=1,1,IF(IFERROR(VLOOKUP('PR Grupo'!W$3&amp;'PR Grupo'!$G47,'Plan CP'!$K:$P,3,FALSE)&gt;1,0),IFERROR(VLOOKUP('PR Grupo'!W$3&amp;'PR Grupo'!$G47,'Plan CP'!$K:$P,3,FALSE),0),0)))</f>
        <v>1</v>
      </c>
      <c r="X47" s="58">
        <f>IF(W47&gt;1,W47-1,IF(COUNTIFS('Plan CP'!$O:$O,'PR Grupo'!$G47,'Plan CP'!$P:$P,'PR Grupo'!X$3,'Plan CP'!$M:$M,1)=1,1,IF(IFERROR(VLOOKUP('PR Grupo'!X$3&amp;'PR Grupo'!$G47,'Plan CP'!$K:$P,3,FALSE)&gt;1,0),IFERROR(VLOOKUP('PR Grupo'!X$3&amp;'PR Grupo'!$G47,'Plan CP'!$K:$P,3,FALSE),0),0)))</f>
        <v>1</v>
      </c>
      <c r="Y47" s="58">
        <f>IF(X47&gt;1,X47-1,IF(COUNTIFS('Plan CP'!$O:$O,'PR Grupo'!$G47,'Plan CP'!$P:$P,'PR Grupo'!Y$3,'Plan CP'!$M:$M,1)=1,1,IF(IFERROR(VLOOKUP('PR Grupo'!Y$3&amp;'PR Grupo'!$G47,'Plan CP'!$K:$P,3,FALSE)&gt;1,0),IFERROR(VLOOKUP('PR Grupo'!Y$3&amp;'PR Grupo'!$G47,'Plan CP'!$K:$P,3,FALSE),0),0)))</f>
        <v>1</v>
      </c>
      <c r="Z47" s="58">
        <f>IF(Y47&gt;1,Y47-1,IF(COUNTIFS('Plan CP'!$O:$O,'PR Grupo'!$G47,'Plan CP'!$P:$P,'PR Grupo'!Z$3,'Plan CP'!$M:$M,1)=1,1,IF(IFERROR(VLOOKUP('PR Grupo'!Z$3&amp;'PR Grupo'!$G47,'Plan CP'!$K:$P,3,FALSE)&gt;1,0),IFERROR(VLOOKUP('PR Grupo'!Z$3&amp;'PR Grupo'!$G47,'Plan CP'!$K:$P,3,FALSE),0),0)))</f>
        <v>1</v>
      </c>
      <c r="AA47" s="58">
        <f>IF(Z47&gt;1,Z47-1,IF(COUNTIFS('Plan CP'!$O:$O,'PR Grupo'!$G47,'Plan CP'!$P:$P,'PR Grupo'!AA$3,'Plan CP'!$M:$M,1)=1,1,IF(IFERROR(VLOOKUP('PR Grupo'!AA$3&amp;'PR Grupo'!$G47,'Plan CP'!$K:$P,3,FALSE)&gt;1,0),IFERROR(VLOOKUP('PR Grupo'!AA$3&amp;'PR Grupo'!$G47,'Plan CP'!$K:$P,3,FALSE),0),0)))</f>
        <v>1</v>
      </c>
      <c r="AB47" s="58">
        <f>IF(AA47&gt;1,AA47-1,IF(COUNTIFS('Plan CP'!$O:$O,'PR Grupo'!$G47,'Plan CP'!$P:$P,'PR Grupo'!AB$3,'Plan CP'!$M:$M,1)=1,1,IF(IFERROR(VLOOKUP('PR Grupo'!AB$3&amp;'PR Grupo'!$G47,'Plan CP'!$K:$P,3,FALSE)&gt;1,0),IFERROR(VLOOKUP('PR Grupo'!AB$3&amp;'PR Grupo'!$G47,'Plan CP'!$K:$P,3,FALSE),0),0)))</f>
        <v>1</v>
      </c>
      <c r="AC47" s="58">
        <f>IF(AB47&gt;1,AB47-1,IF(COUNTIFS('Plan CP'!$O:$O,'PR Grupo'!$G47,'Plan CP'!$P:$P,'PR Grupo'!AC$3,'Plan CP'!$M:$M,1)=1,1,IF(IFERROR(VLOOKUP('PR Grupo'!AC$3&amp;'PR Grupo'!$G47,'Plan CP'!$K:$P,3,FALSE)&gt;1,0),IFERROR(VLOOKUP('PR Grupo'!AC$3&amp;'PR Grupo'!$G47,'Plan CP'!$K:$P,3,FALSE),0),0)))</f>
        <v>1</v>
      </c>
      <c r="AD47" s="58">
        <f>IF(AC47&gt;1,AC47-1,IF(COUNTIFS('Plan CP'!$O:$O,'PR Grupo'!$G47,'Plan CP'!$P:$P,'PR Grupo'!AD$3,'Plan CP'!$M:$M,1)=1,1,IF(IFERROR(VLOOKUP('PR Grupo'!AD$3&amp;'PR Grupo'!$G47,'Plan CP'!$K:$P,3,FALSE)&gt;1,0),IFERROR(VLOOKUP('PR Grupo'!AD$3&amp;'PR Grupo'!$G47,'Plan CP'!$K:$P,3,FALSE),0),0)))</f>
        <v>1</v>
      </c>
      <c r="AE47" s="58">
        <f>IF(AD47&gt;1,AD47-1,IF(COUNTIFS('Plan CP'!$O:$O,'PR Grupo'!$G47,'Plan CP'!$P:$P,'PR Grupo'!AE$3,'Plan CP'!$M:$M,1)=1,1,IF(IFERROR(VLOOKUP('PR Grupo'!AE$3&amp;'PR Grupo'!$G47,'Plan CP'!$K:$P,3,FALSE)&gt;1,0),IFERROR(VLOOKUP('PR Grupo'!AE$3&amp;'PR Grupo'!$G47,'Plan CP'!$K:$P,3,FALSE),0),0)))</f>
        <v>1</v>
      </c>
      <c r="AF47" s="58">
        <f>IF(AE47&gt;1,AE47-1,IF(COUNTIFS('Plan CP'!$O:$O,'PR Grupo'!$G47,'Plan CP'!$P:$P,'PR Grupo'!AF$3,'Plan CP'!$M:$M,1)=1,1,IF(IFERROR(VLOOKUP('PR Grupo'!AF$3&amp;'PR Grupo'!$G47,'Plan CP'!$K:$P,3,FALSE)&gt;1,0),IFERROR(VLOOKUP('PR Grupo'!AF$3&amp;'PR Grupo'!$G47,'Plan CP'!$K:$P,3,FALSE),0),0)))</f>
        <v>1</v>
      </c>
      <c r="AG47" s="58">
        <f>IF(AF47&gt;1,AF47-1,IF(COUNTIFS('Plan CP'!$O:$O,'PR Grupo'!$G47,'Plan CP'!$P:$P,'PR Grupo'!AG$3,'Plan CP'!$M:$M,1)=1,1,IF(IFERROR(VLOOKUP('PR Grupo'!AG$3&amp;'PR Grupo'!$G47,'Plan CP'!$K:$P,3,FALSE)&gt;1,0),IFERROR(VLOOKUP('PR Grupo'!AG$3&amp;'PR Grupo'!$G47,'Plan CP'!$K:$P,3,FALSE),0),0)))</f>
        <v>1</v>
      </c>
      <c r="AH47" s="58">
        <f>IF(AG47&gt;1,AG47-1,IF(COUNTIFS('Plan CP'!$O:$O,'PR Grupo'!$G47,'Plan CP'!$P:$P,'PR Grupo'!AH$3,'Plan CP'!$M:$M,1)=1,1,IF(IFERROR(VLOOKUP('PR Grupo'!AH$3&amp;'PR Grupo'!$G47,'Plan CP'!$K:$P,3,FALSE)&gt;1,0),IFERROR(VLOOKUP('PR Grupo'!AH$3&amp;'PR Grupo'!$G47,'Plan CP'!$K:$P,3,FALSE),0),0)))</f>
        <v>1</v>
      </c>
      <c r="AI47" s="58">
        <f>IF(AH47&gt;1,AH47-1,IF(COUNTIFS('Plan CP'!$O:$O,'PR Grupo'!$G47,'Plan CP'!$P:$P,'PR Grupo'!AI$3,'Plan CP'!$M:$M,1)=1,1,IF(IFERROR(VLOOKUP('PR Grupo'!AI$3&amp;'PR Grupo'!$G47,'Plan CP'!$K:$P,3,FALSE)&gt;1,0),IFERROR(VLOOKUP('PR Grupo'!AI$3&amp;'PR Grupo'!$G47,'Plan CP'!$K:$P,3,FALSE),0),0)))</f>
        <v>1</v>
      </c>
      <c r="AJ47" s="58">
        <f>IF(AI47&gt;1,AI47-1,IF(COUNTIFS('Plan CP'!$O:$O,'PR Grupo'!$G47,'Plan CP'!$P:$P,'PR Grupo'!AJ$3,'Plan CP'!$M:$M,1)=1,1,IF(IFERROR(VLOOKUP('PR Grupo'!AJ$3&amp;'PR Grupo'!$G47,'Plan CP'!$K:$P,3,FALSE)&gt;1,0),IFERROR(VLOOKUP('PR Grupo'!AJ$3&amp;'PR Grupo'!$G47,'Plan CP'!$K:$P,3,FALSE),0),0)))</f>
        <v>0</v>
      </c>
      <c r="AK47" s="58">
        <f>IF(AJ47&gt;1,AJ47-1,IF(COUNTIFS('Plan CP'!$O:$O,'PR Grupo'!$G47,'Plan CP'!$P:$P,'PR Grupo'!AK$3,'Plan CP'!$M:$M,1)=1,1,IF(IFERROR(VLOOKUP('PR Grupo'!AK$3&amp;'PR Grupo'!$G47,'Plan CP'!$K:$P,3,FALSE)&gt;1,0),IFERROR(VLOOKUP('PR Grupo'!AK$3&amp;'PR Grupo'!$G47,'Plan CP'!$K:$P,3,FALSE),0),0)))</f>
        <v>0</v>
      </c>
      <c r="AL47" s="58">
        <f>IF(AK47&gt;1,AK47-1,IF(COUNTIFS('Plan CP'!$O:$O,'PR Grupo'!$G47,'Plan CP'!$P:$P,'PR Grupo'!AL$3,'Plan CP'!$M:$M,1)=1,1,IF(IFERROR(VLOOKUP('PR Grupo'!AL$3&amp;'PR Grupo'!$G47,'Plan CP'!$K:$P,3,FALSE)&gt;1,0),IFERROR(VLOOKUP('PR Grupo'!AL$3&amp;'PR Grupo'!$G47,'Plan CP'!$K:$P,3,FALSE),0),0)))</f>
        <v>0</v>
      </c>
      <c r="AM47" s="58">
        <f>IF(AL47&gt;1,AL47-1,IF(COUNTIFS('Plan CP'!$O:$O,'PR Grupo'!$G47,'Plan CP'!$P:$P,'PR Grupo'!AM$3,'Plan CP'!$M:$M,1)=1,1,IF(IFERROR(VLOOKUP('PR Grupo'!AM$3&amp;'PR Grupo'!$G47,'Plan CP'!$K:$P,3,FALSE)&gt;1,0),IFERROR(VLOOKUP('PR Grupo'!AM$3&amp;'PR Grupo'!$G47,'Plan CP'!$K:$P,3,FALSE),0),0)))</f>
        <v>0</v>
      </c>
      <c r="AN47" s="58">
        <f>IF(AM47&gt;1,AM47-1,IF(COUNTIFS('Plan CP'!$O:$O,'PR Grupo'!$G47,'Plan CP'!$P:$P,'PR Grupo'!AN$3,'Plan CP'!$M:$M,1)=1,1,IF(IFERROR(VLOOKUP('PR Grupo'!AN$3&amp;'PR Grupo'!$G47,'Plan CP'!$K:$P,3,FALSE)&gt;1,0),IFERROR(VLOOKUP('PR Grupo'!AN$3&amp;'PR Grupo'!$G47,'Plan CP'!$K:$P,3,FALSE),0),0)))</f>
        <v>0</v>
      </c>
      <c r="AO47" s="58">
        <f>IF(AN47&gt;1,AN47-1,IF(COUNTIFS('Plan CP'!$O:$O,'PR Grupo'!$G47,'Plan CP'!$P:$P,'PR Grupo'!AO$3,'Plan CP'!$M:$M,1)=1,1,IF(IFERROR(VLOOKUP('PR Grupo'!AO$3&amp;'PR Grupo'!$G47,'Plan CP'!$K:$P,3,FALSE)&gt;1,0),IFERROR(VLOOKUP('PR Grupo'!AO$3&amp;'PR Grupo'!$G47,'Plan CP'!$K:$P,3,FALSE),0),0)))</f>
        <v>0</v>
      </c>
    </row>
    <row r="48" spans="1:41">
      <c r="A48" s="21" t="s">
        <v>33</v>
      </c>
      <c r="B48" s="21" t="s">
        <v>46</v>
      </c>
      <c r="C48" s="21" t="s">
        <v>240</v>
      </c>
      <c r="D48" s="21" t="s">
        <v>272</v>
      </c>
      <c r="E48" s="24" t="s">
        <v>174</v>
      </c>
      <c r="F48" s="21" t="s">
        <v>272</v>
      </c>
      <c r="G48" s="33" t="s">
        <v>192</v>
      </c>
      <c r="H48" s="24">
        <v>25</v>
      </c>
      <c r="I48" s="33">
        <f t="shared" si="2"/>
        <v>19</v>
      </c>
      <c r="J48" s="33" t="str">
        <f t="shared" si="3"/>
        <v>NO OK</v>
      </c>
      <c r="K48" s="58">
        <f>IF(COUNTIFS('Plan CP'!$O:$O,'PR Grupo'!$G48,'Plan CP'!$P:$P,'PR Grupo'!K$3,'Plan CP'!$M:$M,1)=1,1,IF(IFERROR(VLOOKUP('PR Grupo'!K$3&amp;'PR Grupo'!$G48,'Plan CP'!$K:$P,3,FALSE)&gt;1,0),IFERROR(VLOOKUP('PR Grupo'!K$3&amp;'PR Grupo'!$G48,'Plan CP'!$K:$P,3,FALSE),0),0))</f>
        <v>0</v>
      </c>
      <c r="L48" s="58">
        <f>IF(K48&gt;1,K48-1,IF(COUNTIFS('Plan CP'!$O:$O,'PR Grupo'!$G48,'Plan CP'!$P:$P,'PR Grupo'!L$3,'Plan CP'!$M:$M,1)=1,1,IF(IFERROR(VLOOKUP('PR Grupo'!L$3&amp;'PR Grupo'!$G48,'Plan CP'!$K:$P,3,FALSE)&gt;1,0),IFERROR(VLOOKUP('PR Grupo'!L$3&amp;'PR Grupo'!$G48,'Plan CP'!$K:$P,3,FALSE),0),0)))</f>
        <v>0</v>
      </c>
      <c r="M48" s="58">
        <f>IF(L48&gt;1,L48-1,IF(COUNTIFS('Plan CP'!$O:$O,'PR Grupo'!$G48,'Plan CP'!$P:$P,'PR Grupo'!M$3,'Plan CP'!$M:$M,1)=1,1,IF(IFERROR(VLOOKUP('PR Grupo'!M$3&amp;'PR Grupo'!$G48,'Plan CP'!$K:$P,3,FALSE)&gt;1,0),IFERROR(VLOOKUP('PR Grupo'!M$3&amp;'PR Grupo'!$G48,'Plan CP'!$K:$P,3,FALSE),0),0)))</f>
        <v>1</v>
      </c>
      <c r="N48" s="58">
        <f>IF(M48&gt;1,M48-1,IF(COUNTIFS('Plan CP'!$O:$O,'PR Grupo'!$G48,'Plan CP'!$P:$P,'PR Grupo'!N$3,'Plan CP'!$M:$M,1)=1,1,IF(IFERROR(VLOOKUP('PR Grupo'!N$3&amp;'PR Grupo'!$G48,'Plan CP'!$K:$P,3,FALSE)&gt;1,0),IFERROR(VLOOKUP('PR Grupo'!N$3&amp;'PR Grupo'!$G48,'Plan CP'!$K:$P,3,FALSE),0),0)))</f>
        <v>0</v>
      </c>
      <c r="O48" s="58">
        <f>IF(N48&gt;1,N48-1,IF(COUNTIFS('Plan CP'!$O:$O,'PR Grupo'!$G48,'Plan CP'!$P:$P,'PR Grupo'!O$3,'Plan CP'!$M:$M,1)=1,1,IF(IFERROR(VLOOKUP('PR Grupo'!O$3&amp;'PR Grupo'!$G48,'Plan CP'!$K:$P,3,FALSE)&gt;1,0),IFERROR(VLOOKUP('PR Grupo'!O$3&amp;'PR Grupo'!$G48,'Plan CP'!$K:$P,3,FALSE),0),0)))</f>
        <v>0</v>
      </c>
      <c r="P48" s="58">
        <f>IF(O48&gt;1,O48-1,IF(COUNTIFS('Plan CP'!$O:$O,'PR Grupo'!$G48,'Plan CP'!$P:$P,'PR Grupo'!P$3,'Plan CP'!$M:$M,1)=1,1,IF(IFERROR(VLOOKUP('PR Grupo'!P$3&amp;'PR Grupo'!$G48,'Plan CP'!$K:$P,3,FALSE)&gt;1,0),IFERROR(VLOOKUP('PR Grupo'!P$3&amp;'PR Grupo'!$G48,'Plan CP'!$K:$P,3,FALSE),0),0)))</f>
        <v>0</v>
      </c>
      <c r="Q48" s="58">
        <f>IF(P48&gt;1,P48-1,IF(COUNTIFS('Plan CP'!$O:$O,'PR Grupo'!$G48,'Plan CP'!$P:$P,'PR Grupo'!Q$3,'Plan CP'!$M:$M,1)=1,1,IF(IFERROR(VLOOKUP('PR Grupo'!Q$3&amp;'PR Grupo'!$G48,'Plan CP'!$K:$P,3,FALSE)&gt;1,0),IFERROR(VLOOKUP('PR Grupo'!Q$3&amp;'PR Grupo'!$G48,'Plan CP'!$K:$P,3,FALSE),0),0)))</f>
        <v>0</v>
      </c>
      <c r="R48" s="58">
        <f>IF(Q48&gt;1,Q48-1,IF(COUNTIFS('Plan CP'!$O:$O,'PR Grupo'!$G48,'Plan CP'!$P:$P,'PR Grupo'!R$3,'Plan CP'!$M:$M,1)=1,1,IF(IFERROR(VLOOKUP('PR Grupo'!R$3&amp;'PR Grupo'!$G48,'Plan CP'!$K:$P,3,FALSE)&gt;1,0),IFERROR(VLOOKUP('PR Grupo'!R$3&amp;'PR Grupo'!$G48,'Plan CP'!$K:$P,3,FALSE),0),0)))</f>
        <v>1</v>
      </c>
      <c r="S48" s="58">
        <f>IF(R48&gt;1,R48-1,IF(COUNTIFS('Plan CP'!$O:$O,'PR Grupo'!$G48,'Plan CP'!$P:$P,'PR Grupo'!S$3,'Plan CP'!$M:$M,1)=1,1,IF(IFERROR(VLOOKUP('PR Grupo'!S$3&amp;'PR Grupo'!$G48,'Plan CP'!$K:$P,3,FALSE)&gt;1,0),IFERROR(VLOOKUP('PR Grupo'!S$3&amp;'PR Grupo'!$G48,'Plan CP'!$K:$P,3,FALSE),0),0)))</f>
        <v>1</v>
      </c>
      <c r="T48" s="58">
        <f>IF(S48&gt;1,S48-1,IF(COUNTIFS('Plan CP'!$O:$O,'PR Grupo'!$G48,'Plan CP'!$P:$P,'PR Grupo'!T$3,'Plan CP'!$M:$M,1)=1,1,IF(IFERROR(VLOOKUP('PR Grupo'!T$3&amp;'PR Grupo'!$G48,'Plan CP'!$K:$P,3,FALSE)&gt;1,0),IFERROR(VLOOKUP('PR Grupo'!T$3&amp;'PR Grupo'!$G48,'Plan CP'!$K:$P,3,FALSE),0),0)))</f>
        <v>1</v>
      </c>
      <c r="U48" s="58">
        <f>IF(T48&gt;1,T48-1,IF(COUNTIFS('Plan CP'!$O:$O,'PR Grupo'!$G48,'Plan CP'!$P:$P,'PR Grupo'!U$3,'Plan CP'!$M:$M,1)=1,1,IF(IFERROR(VLOOKUP('PR Grupo'!U$3&amp;'PR Grupo'!$G48,'Plan CP'!$K:$P,3,FALSE)&gt;1,0),IFERROR(VLOOKUP('PR Grupo'!U$3&amp;'PR Grupo'!$G48,'Plan CP'!$K:$P,3,FALSE),0),0)))</f>
        <v>1</v>
      </c>
      <c r="V48" s="58">
        <f>IF(U48&gt;1,U48-1,IF(COUNTIFS('Plan CP'!$O:$O,'PR Grupo'!$G48,'Plan CP'!$P:$P,'PR Grupo'!V$3,'Plan CP'!$M:$M,1)=1,1,IF(IFERROR(VLOOKUP('PR Grupo'!V$3&amp;'PR Grupo'!$G48,'Plan CP'!$K:$P,3,FALSE)&gt;1,0),IFERROR(VLOOKUP('PR Grupo'!V$3&amp;'PR Grupo'!$G48,'Plan CP'!$K:$P,3,FALSE),0),0)))</f>
        <v>1</v>
      </c>
      <c r="W48" s="58">
        <f>IF(V48&gt;1,V48-1,IF(COUNTIFS('Plan CP'!$O:$O,'PR Grupo'!$G48,'Plan CP'!$P:$P,'PR Grupo'!W$3,'Plan CP'!$M:$M,1)=1,1,IF(IFERROR(VLOOKUP('PR Grupo'!W$3&amp;'PR Grupo'!$G48,'Plan CP'!$K:$P,3,FALSE)&gt;1,0),IFERROR(VLOOKUP('PR Grupo'!W$3&amp;'PR Grupo'!$G48,'Plan CP'!$K:$P,3,FALSE),0),0)))</f>
        <v>1</v>
      </c>
      <c r="X48" s="58">
        <f>IF(W48&gt;1,W48-1,IF(COUNTIFS('Plan CP'!$O:$O,'PR Grupo'!$G48,'Plan CP'!$P:$P,'PR Grupo'!X$3,'Plan CP'!$M:$M,1)=1,1,IF(IFERROR(VLOOKUP('PR Grupo'!X$3&amp;'PR Grupo'!$G48,'Plan CP'!$K:$P,3,FALSE)&gt;1,0),IFERROR(VLOOKUP('PR Grupo'!X$3&amp;'PR Grupo'!$G48,'Plan CP'!$K:$P,3,FALSE),0),0)))</f>
        <v>1</v>
      </c>
      <c r="Y48" s="58">
        <f>IF(X48&gt;1,X48-1,IF(COUNTIFS('Plan CP'!$O:$O,'PR Grupo'!$G48,'Plan CP'!$P:$P,'PR Grupo'!Y$3,'Plan CP'!$M:$M,1)=1,1,IF(IFERROR(VLOOKUP('PR Grupo'!Y$3&amp;'PR Grupo'!$G48,'Plan CP'!$K:$P,3,FALSE)&gt;1,0),IFERROR(VLOOKUP('PR Grupo'!Y$3&amp;'PR Grupo'!$G48,'Plan CP'!$K:$P,3,FALSE),0),0)))</f>
        <v>1</v>
      </c>
      <c r="Z48" s="58">
        <f>IF(Y48&gt;1,Y48-1,IF(COUNTIFS('Plan CP'!$O:$O,'PR Grupo'!$G48,'Plan CP'!$P:$P,'PR Grupo'!Z$3,'Plan CP'!$M:$M,1)=1,1,IF(IFERROR(VLOOKUP('PR Grupo'!Z$3&amp;'PR Grupo'!$G48,'Plan CP'!$K:$P,3,FALSE)&gt;1,0),IFERROR(VLOOKUP('PR Grupo'!Z$3&amp;'PR Grupo'!$G48,'Plan CP'!$K:$P,3,FALSE),0),0)))</f>
        <v>1</v>
      </c>
      <c r="AA48" s="58">
        <f>IF(Z48&gt;1,Z48-1,IF(COUNTIFS('Plan CP'!$O:$O,'PR Grupo'!$G48,'Plan CP'!$P:$P,'PR Grupo'!AA$3,'Plan CP'!$M:$M,1)=1,1,IF(IFERROR(VLOOKUP('PR Grupo'!AA$3&amp;'PR Grupo'!$G48,'Plan CP'!$K:$P,3,FALSE)&gt;1,0),IFERROR(VLOOKUP('PR Grupo'!AA$3&amp;'PR Grupo'!$G48,'Plan CP'!$K:$P,3,FALSE),0),0)))</f>
        <v>1</v>
      </c>
      <c r="AB48" s="58">
        <f>IF(AA48&gt;1,AA48-1,IF(COUNTIFS('Plan CP'!$O:$O,'PR Grupo'!$G48,'Plan CP'!$P:$P,'PR Grupo'!AB$3,'Plan CP'!$M:$M,1)=1,1,IF(IFERROR(VLOOKUP('PR Grupo'!AB$3&amp;'PR Grupo'!$G48,'Plan CP'!$K:$P,3,FALSE)&gt;1,0),IFERROR(VLOOKUP('PR Grupo'!AB$3&amp;'PR Grupo'!$G48,'Plan CP'!$K:$P,3,FALSE),0),0)))</f>
        <v>1</v>
      </c>
      <c r="AC48" s="58">
        <f>IF(AB48&gt;1,AB48-1,IF(COUNTIFS('Plan CP'!$O:$O,'PR Grupo'!$G48,'Plan CP'!$P:$P,'PR Grupo'!AC$3,'Plan CP'!$M:$M,1)=1,1,IF(IFERROR(VLOOKUP('PR Grupo'!AC$3&amp;'PR Grupo'!$G48,'Plan CP'!$K:$P,3,FALSE)&gt;1,0),IFERROR(VLOOKUP('PR Grupo'!AC$3&amp;'PR Grupo'!$G48,'Plan CP'!$K:$P,3,FALSE),0),0)))</f>
        <v>1</v>
      </c>
      <c r="AD48" s="58">
        <f>IF(AC48&gt;1,AC48-1,IF(COUNTIFS('Plan CP'!$O:$O,'PR Grupo'!$G48,'Plan CP'!$P:$P,'PR Grupo'!AD$3,'Plan CP'!$M:$M,1)=1,1,IF(IFERROR(VLOOKUP('PR Grupo'!AD$3&amp;'PR Grupo'!$G48,'Plan CP'!$K:$P,3,FALSE)&gt;1,0),IFERROR(VLOOKUP('PR Grupo'!AD$3&amp;'PR Grupo'!$G48,'Plan CP'!$K:$P,3,FALSE),0),0)))</f>
        <v>1</v>
      </c>
      <c r="AE48" s="58">
        <f>IF(AD48&gt;1,AD48-1,IF(COUNTIFS('Plan CP'!$O:$O,'PR Grupo'!$G48,'Plan CP'!$P:$P,'PR Grupo'!AE$3,'Plan CP'!$M:$M,1)=1,1,IF(IFERROR(VLOOKUP('PR Grupo'!AE$3&amp;'PR Grupo'!$G48,'Plan CP'!$K:$P,3,FALSE)&gt;1,0),IFERROR(VLOOKUP('PR Grupo'!AE$3&amp;'PR Grupo'!$G48,'Plan CP'!$K:$P,3,FALSE),0),0)))</f>
        <v>1</v>
      </c>
      <c r="AF48" s="58">
        <f>IF(AE48&gt;1,AE48-1,IF(COUNTIFS('Plan CP'!$O:$O,'PR Grupo'!$G48,'Plan CP'!$P:$P,'PR Grupo'!AF$3,'Plan CP'!$M:$M,1)=1,1,IF(IFERROR(VLOOKUP('PR Grupo'!AF$3&amp;'PR Grupo'!$G48,'Plan CP'!$K:$P,3,FALSE)&gt;1,0),IFERROR(VLOOKUP('PR Grupo'!AF$3&amp;'PR Grupo'!$G48,'Plan CP'!$K:$P,3,FALSE),0),0)))</f>
        <v>1</v>
      </c>
      <c r="AG48" s="58">
        <f>IF(AF48&gt;1,AF48-1,IF(COUNTIFS('Plan CP'!$O:$O,'PR Grupo'!$G48,'Plan CP'!$P:$P,'PR Grupo'!AG$3,'Plan CP'!$M:$M,1)=1,1,IF(IFERROR(VLOOKUP('PR Grupo'!AG$3&amp;'PR Grupo'!$G48,'Plan CP'!$K:$P,3,FALSE)&gt;1,0),IFERROR(VLOOKUP('PR Grupo'!AG$3&amp;'PR Grupo'!$G48,'Plan CP'!$K:$P,3,FALSE),0),0)))</f>
        <v>1</v>
      </c>
      <c r="AH48" s="58">
        <f>IF(AG48&gt;1,AG48-1,IF(COUNTIFS('Plan CP'!$O:$O,'PR Grupo'!$G48,'Plan CP'!$P:$P,'PR Grupo'!AH$3,'Plan CP'!$M:$M,1)=1,1,IF(IFERROR(VLOOKUP('PR Grupo'!AH$3&amp;'PR Grupo'!$G48,'Plan CP'!$K:$P,3,FALSE)&gt;1,0),IFERROR(VLOOKUP('PR Grupo'!AH$3&amp;'PR Grupo'!$G48,'Plan CP'!$K:$P,3,FALSE),0),0)))</f>
        <v>1</v>
      </c>
      <c r="AI48" s="58">
        <f>IF(AH48&gt;1,AH48-1,IF(COUNTIFS('Plan CP'!$O:$O,'PR Grupo'!$G48,'Plan CP'!$P:$P,'PR Grupo'!AI$3,'Plan CP'!$M:$M,1)=1,1,IF(IFERROR(VLOOKUP('PR Grupo'!AI$3&amp;'PR Grupo'!$G48,'Plan CP'!$K:$P,3,FALSE)&gt;1,0),IFERROR(VLOOKUP('PR Grupo'!AI$3&amp;'PR Grupo'!$G48,'Plan CP'!$K:$P,3,FALSE),0),0)))</f>
        <v>1</v>
      </c>
      <c r="AJ48" s="58">
        <f>IF(AI48&gt;1,AI48-1,IF(COUNTIFS('Plan CP'!$O:$O,'PR Grupo'!$G48,'Plan CP'!$P:$P,'PR Grupo'!AJ$3,'Plan CP'!$M:$M,1)=1,1,IF(IFERROR(VLOOKUP('PR Grupo'!AJ$3&amp;'PR Grupo'!$G48,'Plan CP'!$K:$P,3,FALSE)&gt;1,0),IFERROR(VLOOKUP('PR Grupo'!AJ$3&amp;'PR Grupo'!$G48,'Plan CP'!$K:$P,3,FALSE),0),0)))</f>
        <v>0</v>
      </c>
      <c r="AK48" s="58">
        <f>IF(AJ48&gt;1,AJ48-1,IF(COUNTIFS('Plan CP'!$O:$O,'PR Grupo'!$G48,'Plan CP'!$P:$P,'PR Grupo'!AK$3,'Plan CP'!$M:$M,1)=1,1,IF(IFERROR(VLOOKUP('PR Grupo'!AK$3&amp;'PR Grupo'!$G48,'Plan CP'!$K:$P,3,FALSE)&gt;1,0),IFERROR(VLOOKUP('PR Grupo'!AK$3&amp;'PR Grupo'!$G48,'Plan CP'!$K:$P,3,FALSE),0),0)))</f>
        <v>0</v>
      </c>
      <c r="AL48" s="58">
        <f>IF(AK48&gt;1,AK48-1,IF(COUNTIFS('Plan CP'!$O:$O,'PR Grupo'!$G48,'Plan CP'!$P:$P,'PR Grupo'!AL$3,'Plan CP'!$M:$M,1)=1,1,IF(IFERROR(VLOOKUP('PR Grupo'!AL$3&amp;'PR Grupo'!$G48,'Plan CP'!$K:$P,3,FALSE)&gt;1,0),IFERROR(VLOOKUP('PR Grupo'!AL$3&amp;'PR Grupo'!$G48,'Plan CP'!$K:$P,3,FALSE),0),0)))</f>
        <v>0</v>
      </c>
      <c r="AM48" s="58">
        <f>IF(AL48&gt;1,AL48-1,IF(COUNTIFS('Plan CP'!$O:$O,'PR Grupo'!$G48,'Plan CP'!$P:$P,'PR Grupo'!AM$3,'Plan CP'!$M:$M,1)=1,1,IF(IFERROR(VLOOKUP('PR Grupo'!AM$3&amp;'PR Grupo'!$G48,'Plan CP'!$K:$P,3,FALSE)&gt;1,0),IFERROR(VLOOKUP('PR Grupo'!AM$3&amp;'PR Grupo'!$G48,'Plan CP'!$K:$P,3,FALSE),0),0)))</f>
        <v>0</v>
      </c>
      <c r="AN48" s="58">
        <f>IF(AM48&gt;1,AM48-1,IF(COUNTIFS('Plan CP'!$O:$O,'PR Grupo'!$G48,'Plan CP'!$P:$P,'PR Grupo'!AN$3,'Plan CP'!$M:$M,1)=1,1,IF(IFERROR(VLOOKUP('PR Grupo'!AN$3&amp;'PR Grupo'!$G48,'Plan CP'!$K:$P,3,FALSE)&gt;1,0),IFERROR(VLOOKUP('PR Grupo'!AN$3&amp;'PR Grupo'!$G48,'Plan CP'!$K:$P,3,FALSE),0),0)))</f>
        <v>0</v>
      </c>
      <c r="AO48" s="58">
        <f>IF(AN48&gt;1,AN48-1,IF(COUNTIFS('Plan CP'!$O:$O,'PR Grupo'!$G48,'Plan CP'!$P:$P,'PR Grupo'!AO$3,'Plan CP'!$M:$M,1)=1,1,IF(IFERROR(VLOOKUP('PR Grupo'!AO$3&amp;'PR Grupo'!$G48,'Plan CP'!$K:$P,3,FALSE)&gt;1,0),IFERROR(VLOOKUP('PR Grupo'!AO$3&amp;'PR Grupo'!$G48,'Plan CP'!$K:$P,3,FALSE),0),0)))</f>
        <v>0</v>
      </c>
    </row>
    <row r="49" spans="1:41">
      <c r="A49" s="21" t="s">
        <v>33</v>
      </c>
      <c r="B49" s="21" t="s">
        <v>42</v>
      </c>
      <c r="C49" s="21" t="s">
        <v>241</v>
      </c>
      <c r="D49" s="21" t="s">
        <v>277</v>
      </c>
      <c r="E49" s="24" t="s">
        <v>174</v>
      </c>
      <c r="F49" s="21" t="s">
        <v>277</v>
      </c>
      <c r="G49" s="33" t="s">
        <v>192</v>
      </c>
      <c r="H49" s="24">
        <v>25</v>
      </c>
      <c r="I49" s="33">
        <f t="shared" si="2"/>
        <v>19</v>
      </c>
      <c r="J49" s="33" t="str">
        <f t="shared" si="3"/>
        <v>NO OK</v>
      </c>
      <c r="K49" s="58">
        <f>IF(COUNTIFS('Plan CP'!$O:$O,'PR Grupo'!$G49,'Plan CP'!$P:$P,'PR Grupo'!K$3,'Plan CP'!$M:$M,1)=1,1,IF(IFERROR(VLOOKUP('PR Grupo'!K$3&amp;'PR Grupo'!$G49,'Plan CP'!$K:$P,3,FALSE)&gt;1,0),IFERROR(VLOOKUP('PR Grupo'!K$3&amp;'PR Grupo'!$G49,'Plan CP'!$K:$P,3,FALSE),0),0))</f>
        <v>0</v>
      </c>
      <c r="L49" s="58">
        <f>IF(K49&gt;1,K49-1,IF(COUNTIFS('Plan CP'!$O:$O,'PR Grupo'!$G49,'Plan CP'!$P:$P,'PR Grupo'!L$3,'Plan CP'!$M:$M,1)=1,1,IF(IFERROR(VLOOKUP('PR Grupo'!L$3&amp;'PR Grupo'!$G49,'Plan CP'!$K:$P,3,FALSE)&gt;1,0),IFERROR(VLOOKUP('PR Grupo'!L$3&amp;'PR Grupo'!$G49,'Plan CP'!$K:$P,3,FALSE),0),0)))</f>
        <v>0</v>
      </c>
      <c r="M49" s="58">
        <f>IF(L49&gt;1,L49-1,IF(COUNTIFS('Plan CP'!$O:$O,'PR Grupo'!$G49,'Plan CP'!$P:$P,'PR Grupo'!M$3,'Plan CP'!$M:$M,1)=1,1,IF(IFERROR(VLOOKUP('PR Grupo'!M$3&amp;'PR Grupo'!$G49,'Plan CP'!$K:$P,3,FALSE)&gt;1,0),IFERROR(VLOOKUP('PR Grupo'!M$3&amp;'PR Grupo'!$G49,'Plan CP'!$K:$P,3,FALSE),0),0)))</f>
        <v>1</v>
      </c>
      <c r="N49" s="58">
        <f>IF(M49&gt;1,M49-1,IF(COUNTIFS('Plan CP'!$O:$O,'PR Grupo'!$G49,'Plan CP'!$P:$P,'PR Grupo'!N$3,'Plan CP'!$M:$M,1)=1,1,IF(IFERROR(VLOOKUP('PR Grupo'!N$3&amp;'PR Grupo'!$G49,'Plan CP'!$K:$P,3,FALSE)&gt;1,0),IFERROR(VLOOKUP('PR Grupo'!N$3&amp;'PR Grupo'!$G49,'Plan CP'!$K:$P,3,FALSE),0),0)))</f>
        <v>0</v>
      </c>
      <c r="O49" s="58">
        <f>IF(N49&gt;1,N49-1,IF(COUNTIFS('Plan CP'!$O:$O,'PR Grupo'!$G49,'Plan CP'!$P:$P,'PR Grupo'!O$3,'Plan CP'!$M:$M,1)=1,1,IF(IFERROR(VLOOKUP('PR Grupo'!O$3&amp;'PR Grupo'!$G49,'Plan CP'!$K:$P,3,FALSE)&gt;1,0),IFERROR(VLOOKUP('PR Grupo'!O$3&amp;'PR Grupo'!$G49,'Plan CP'!$K:$P,3,FALSE),0),0)))</f>
        <v>0</v>
      </c>
      <c r="P49" s="58">
        <f>IF(O49&gt;1,O49-1,IF(COUNTIFS('Plan CP'!$O:$O,'PR Grupo'!$G49,'Plan CP'!$P:$P,'PR Grupo'!P$3,'Plan CP'!$M:$M,1)=1,1,IF(IFERROR(VLOOKUP('PR Grupo'!P$3&amp;'PR Grupo'!$G49,'Plan CP'!$K:$P,3,FALSE)&gt;1,0),IFERROR(VLOOKUP('PR Grupo'!P$3&amp;'PR Grupo'!$G49,'Plan CP'!$K:$P,3,FALSE),0),0)))</f>
        <v>0</v>
      </c>
      <c r="Q49" s="58">
        <f>IF(P49&gt;1,P49-1,IF(COUNTIFS('Plan CP'!$O:$O,'PR Grupo'!$G49,'Plan CP'!$P:$P,'PR Grupo'!Q$3,'Plan CP'!$M:$M,1)=1,1,IF(IFERROR(VLOOKUP('PR Grupo'!Q$3&amp;'PR Grupo'!$G49,'Plan CP'!$K:$P,3,FALSE)&gt;1,0),IFERROR(VLOOKUP('PR Grupo'!Q$3&amp;'PR Grupo'!$G49,'Plan CP'!$K:$P,3,FALSE),0),0)))</f>
        <v>0</v>
      </c>
      <c r="R49" s="58">
        <f>IF(Q49&gt;1,Q49-1,IF(COUNTIFS('Plan CP'!$O:$O,'PR Grupo'!$G49,'Plan CP'!$P:$P,'PR Grupo'!R$3,'Plan CP'!$M:$M,1)=1,1,IF(IFERROR(VLOOKUP('PR Grupo'!R$3&amp;'PR Grupo'!$G49,'Plan CP'!$K:$P,3,FALSE)&gt;1,0),IFERROR(VLOOKUP('PR Grupo'!R$3&amp;'PR Grupo'!$G49,'Plan CP'!$K:$P,3,FALSE),0),0)))</f>
        <v>1</v>
      </c>
      <c r="S49" s="58">
        <f>IF(R49&gt;1,R49-1,IF(COUNTIFS('Plan CP'!$O:$O,'PR Grupo'!$G49,'Plan CP'!$P:$P,'PR Grupo'!S$3,'Plan CP'!$M:$M,1)=1,1,IF(IFERROR(VLOOKUP('PR Grupo'!S$3&amp;'PR Grupo'!$G49,'Plan CP'!$K:$P,3,FALSE)&gt;1,0),IFERROR(VLOOKUP('PR Grupo'!S$3&amp;'PR Grupo'!$G49,'Plan CP'!$K:$P,3,FALSE),0),0)))</f>
        <v>1</v>
      </c>
      <c r="T49" s="58">
        <f>IF(S49&gt;1,S49-1,IF(COUNTIFS('Plan CP'!$O:$O,'PR Grupo'!$G49,'Plan CP'!$P:$P,'PR Grupo'!T$3,'Plan CP'!$M:$M,1)=1,1,IF(IFERROR(VLOOKUP('PR Grupo'!T$3&amp;'PR Grupo'!$G49,'Plan CP'!$K:$P,3,FALSE)&gt;1,0),IFERROR(VLOOKUP('PR Grupo'!T$3&amp;'PR Grupo'!$G49,'Plan CP'!$K:$P,3,FALSE),0),0)))</f>
        <v>1</v>
      </c>
      <c r="U49" s="58">
        <f>IF(T49&gt;1,T49-1,IF(COUNTIFS('Plan CP'!$O:$O,'PR Grupo'!$G49,'Plan CP'!$P:$P,'PR Grupo'!U$3,'Plan CP'!$M:$M,1)=1,1,IF(IFERROR(VLOOKUP('PR Grupo'!U$3&amp;'PR Grupo'!$G49,'Plan CP'!$K:$P,3,FALSE)&gt;1,0),IFERROR(VLOOKUP('PR Grupo'!U$3&amp;'PR Grupo'!$G49,'Plan CP'!$K:$P,3,FALSE),0),0)))</f>
        <v>1</v>
      </c>
      <c r="V49" s="58">
        <f>IF(U49&gt;1,U49-1,IF(COUNTIFS('Plan CP'!$O:$O,'PR Grupo'!$G49,'Plan CP'!$P:$P,'PR Grupo'!V$3,'Plan CP'!$M:$M,1)=1,1,IF(IFERROR(VLOOKUP('PR Grupo'!V$3&amp;'PR Grupo'!$G49,'Plan CP'!$K:$P,3,FALSE)&gt;1,0),IFERROR(VLOOKUP('PR Grupo'!V$3&amp;'PR Grupo'!$G49,'Plan CP'!$K:$P,3,FALSE),0),0)))</f>
        <v>1</v>
      </c>
      <c r="W49" s="58">
        <f>IF(V49&gt;1,V49-1,IF(COUNTIFS('Plan CP'!$O:$O,'PR Grupo'!$G49,'Plan CP'!$P:$P,'PR Grupo'!W$3,'Plan CP'!$M:$M,1)=1,1,IF(IFERROR(VLOOKUP('PR Grupo'!W$3&amp;'PR Grupo'!$G49,'Plan CP'!$K:$P,3,FALSE)&gt;1,0),IFERROR(VLOOKUP('PR Grupo'!W$3&amp;'PR Grupo'!$G49,'Plan CP'!$K:$P,3,FALSE),0),0)))</f>
        <v>1</v>
      </c>
      <c r="X49" s="58">
        <f>IF(W49&gt;1,W49-1,IF(COUNTIFS('Plan CP'!$O:$O,'PR Grupo'!$G49,'Plan CP'!$P:$P,'PR Grupo'!X$3,'Plan CP'!$M:$M,1)=1,1,IF(IFERROR(VLOOKUP('PR Grupo'!X$3&amp;'PR Grupo'!$G49,'Plan CP'!$K:$P,3,FALSE)&gt;1,0),IFERROR(VLOOKUP('PR Grupo'!X$3&amp;'PR Grupo'!$G49,'Plan CP'!$K:$P,3,FALSE),0),0)))</f>
        <v>1</v>
      </c>
      <c r="Y49" s="58">
        <f>IF(X49&gt;1,X49-1,IF(COUNTIFS('Plan CP'!$O:$O,'PR Grupo'!$G49,'Plan CP'!$P:$P,'PR Grupo'!Y$3,'Plan CP'!$M:$M,1)=1,1,IF(IFERROR(VLOOKUP('PR Grupo'!Y$3&amp;'PR Grupo'!$G49,'Plan CP'!$K:$P,3,FALSE)&gt;1,0),IFERROR(VLOOKUP('PR Grupo'!Y$3&amp;'PR Grupo'!$G49,'Plan CP'!$K:$P,3,FALSE),0),0)))</f>
        <v>1</v>
      </c>
      <c r="Z49" s="58">
        <f>IF(Y49&gt;1,Y49-1,IF(COUNTIFS('Plan CP'!$O:$O,'PR Grupo'!$G49,'Plan CP'!$P:$P,'PR Grupo'!Z$3,'Plan CP'!$M:$M,1)=1,1,IF(IFERROR(VLOOKUP('PR Grupo'!Z$3&amp;'PR Grupo'!$G49,'Plan CP'!$K:$P,3,FALSE)&gt;1,0),IFERROR(VLOOKUP('PR Grupo'!Z$3&amp;'PR Grupo'!$G49,'Plan CP'!$K:$P,3,FALSE),0),0)))</f>
        <v>1</v>
      </c>
      <c r="AA49" s="58">
        <f>IF(Z49&gt;1,Z49-1,IF(COUNTIFS('Plan CP'!$O:$O,'PR Grupo'!$G49,'Plan CP'!$P:$P,'PR Grupo'!AA$3,'Plan CP'!$M:$M,1)=1,1,IF(IFERROR(VLOOKUP('PR Grupo'!AA$3&amp;'PR Grupo'!$G49,'Plan CP'!$K:$P,3,FALSE)&gt;1,0),IFERROR(VLOOKUP('PR Grupo'!AA$3&amp;'PR Grupo'!$G49,'Plan CP'!$K:$P,3,FALSE),0),0)))</f>
        <v>1</v>
      </c>
      <c r="AB49" s="58">
        <f>IF(AA49&gt;1,AA49-1,IF(COUNTIFS('Plan CP'!$O:$O,'PR Grupo'!$G49,'Plan CP'!$P:$P,'PR Grupo'!AB$3,'Plan CP'!$M:$M,1)=1,1,IF(IFERROR(VLOOKUP('PR Grupo'!AB$3&amp;'PR Grupo'!$G49,'Plan CP'!$K:$P,3,FALSE)&gt;1,0),IFERROR(VLOOKUP('PR Grupo'!AB$3&amp;'PR Grupo'!$G49,'Plan CP'!$K:$P,3,FALSE),0),0)))</f>
        <v>1</v>
      </c>
      <c r="AC49" s="58">
        <f>IF(AB49&gt;1,AB49-1,IF(COUNTIFS('Plan CP'!$O:$O,'PR Grupo'!$G49,'Plan CP'!$P:$P,'PR Grupo'!AC$3,'Plan CP'!$M:$M,1)=1,1,IF(IFERROR(VLOOKUP('PR Grupo'!AC$3&amp;'PR Grupo'!$G49,'Plan CP'!$K:$P,3,FALSE)&gt;1,0),IFERROR(VLOOKUP('PR Grupo'!AC$3&amp;'PR Grupo'!$G49,'Plan CP'!$K:$P,3,FALSE),0),0)))</f>
        <v>1</v>
      </c>
      <c r="AD49" s="58">
        <f>IF(AC49&gt;1,AC49-1,IF(COUNTIFS('Plan CP'!$O:$O,'PR Grupo'!$G49,'Plan CP'!$P:$P,'PR Grupo'!AD$3,'Plan CP'!$M:$M,1)=1,1,IF(IFERROR(VLOOKUP('PR Grupo'!AD$3&amp;'PR Grupo'!$G49,'Plan CP'!$K:$P,3,FALSE)&gt;1,0),IFERROR(VLOOKUP('PR Grupo'!AD$3&amp;'PR Grupo'!$G49,'Plan CP'!$K:$P,3,FALSE),0),0)))</f>
        <v>1</v>
      </c>
      <c r="AE49" s="58">
        <f>IF(AD49&gt;1,AD49-1,IF(COUNTIFS('Plan CP'!$O:$O,'PR Grupo'!$G49,'Plan CP'!$P:$P,'PR Grupo'!AE$3,'Plan CP'!$M:$M,1)=1,1,IF(IFERROR(VLOOKUP('PR Grupo'!AE$3&amp;'PR Grupo'!$G49,'Plan CP'!$K:$P,3,FALSE)&gt;1,0),IFERROR(VLOOKUP('PR Grupo'!AE$3&amp;'PR Grupo'!$G49,'Plan CP'!$K:$P,3,FALSE),0),0)))</f>
        <v>1</v>
      </c>
      <c r="AF49" s="58">
        <f>IF(AE49&gt;1,AE49-1,IF(COUNTIFS('Plan CP'!$O:$O,'PR Grupo'!$G49,'Plan CP'!$P:$P,'PR Grupo'!AF$3,'Plan CP'!$M:$M,1)=1,1,IF(IFERROR(VLOOKUP('PR Grupo'!AF$3&amp;'PR Grupo'!$G49,'Plan CP'!$K:$P,3,FALSE)&gt;1,0),IFERROR(VLOOKUP('PR Grupo'!AF$3&amp;'PR Grupo'!$G49,'Plan CP'!$K:$P,3,FALSE),0),0)))</f>
        <v>1</v>
      </c>
      <c r="AG49" s="58">
        <f>IF(AF49&gt;1,AF49-1,IF(COUNTIFS('Plan CP'!$O:$O,'PR Grupo'!$G49,'Plan CP'!$P:$P,'PR Grupo'!AG$3,'Plan CP'!$M:$M,1)=1,1,IF(IFERROR(VLOOKUP('PR Grupo'!AG$3&amp;'PR Grupo'!$G49,'Plan CP'!$K:$P,3,FALSE)&gt;1,0),IFERROR(VLOOKUP('PR Grupo'!AG$3&amp;'PR Grupo'!$G49,'Plan CP'!$K:$P,3,FALSE),0),0)))</f>
        <v>1</v>
      </c>
      <c r="AH49" s="58">
        <f>IF(AG49&gt;1,AG49-1,IF(COUNTIFS('Plan CP'!$O:$O,'PR Grupo'!$G49,'Plan CP'!$P:$P,'PR Grupo'!AH$3,'Plan CP'!$M:$M,1)=1,1,IF(IFERROR(VLOOKUP('PR Grupo'!AH$3&amp;'PR Grupo'!$G49,'Plan CP'!$K:$P,3,FALSE)&gt;1,0),IFERROR(VLOOKUP('PR Grupo'!AH$3&amp;'PR Grupo'!$G49,'Plan CP'!$K:$P,3,FALSE),0),0)))</f>
        <v>1</v>
      </c>
      <c r="AI49" s="58">
        <f>IF(AH49&gt;1,AH49-1,IF(COUNTIFS('Plan CP'!$O:$O,'PR Grupo'!$G49,'Plan CP'!$P:$P,'PR Grupo'!AI$3,'Plan CP'!$M:$M,1)=1,1,IF(IFERROR(VLOOKUP('PR Grupo'!AI$3&amp;'PR Grupo'!$G49,'Plan CP'!$K:$P,3,FALSE)&gt;1,0),IFERROR(VLOOKUP('PR Grupo'!AI$3&amp;'PR Grupo'!$G49,'Plan CP'!$K:$P,3,FALSE),0),0)))</f>
        <v>1</v>
      </c>
      <c r="AJ49" s="58">
        <f>IF(AI49&gt;1,AI49-1,IF(COUNTIFS('Plan CP'!$O:$O,'PR Grupo'!$G49,'Plan CP'!$P:$P,'PR Grupo'!AJ$3,'Plan CP'!$M:$M,1)=1,1,IF(IFERROR(VLOOKUP('PR Grupo'!AJ$3&amp;'PR Grupo'!$G49,'Plan CP'!$K:$P,3,FALSE)&gt;1,0),IFERROR(VLOOKUP('PR Grupo'!AJ$3&amp;'PR Grupo'!$G49,'Plan CP'!$K:$P,3,FALSE),0),0)))</f>
        <v>0</v>
      </c>
      <c r="AK49" s="58">
        <f>IF(AJ49&gt;1,AJ49-1,IF(COUNTIFS('Plan CP'!$O:$O,'PR Grupo'!$G49,'Plan CP'!$P:$P,'PR Grupo'!AK$3,'Plan CP'!$M:$M,1)=1,1,IF(IFERROR(VLOOKUP('PR Grupo'!AK$3&amp;'PR Grupo'!$G49,'Plan CP'!$K:$P,3,FALSE)&gt;1,0),IFERROR(VLOOKUP('PR Grupo'!AK$3&amp;'PR Grupo'!$G49,'Plan CP'!$K:$P,3,FALSE),0),0)))</f>
        <v>0</v>
      </c>
      <c r="AL49" s="58">
        <f>IF(AK49&gt;1,AK49-1,IF(COUNTIFS('Plan CP'!$O:$O,'PR Grupo'!$G49,'Plan CP'!$P:$P,'PR Grupo'!AL$3,'Plan CP'!$M:$M,1)=1,1,IF(IFERROR(VLOOKUP('PR Grupo'!AL$3&amp;'PR Grupo'!$G49,'Plan CP'!$K:$P,3,FALSE)&gt;1,0),IFERROR(VLOOKUP('PR Grupo'!AL$3&amp;'PR Grupo'!$G49,'Plan CP'!$K:$P,3,FALSE),0),0)))</f>
        <v>0</v>
      </c>
      <c r="AM49" s="58">
        <f>IF(AL49&gt;1,AL49-1,IF(COUNTIFS('Plan CP'!$O:$O,'PR Grupo'!$G49,'Plan CP'!$P:$P,'PR Grupo'!AM$3,'Plan CP'!$M:$M,1)=1,1,IF(IFERROR(VLOOKUP('PR Grupo'!AM$3&amp;'PR Grupo'!$G49,'Plan CP'!$K:$P,3,FALSE)&gt;1,0),IFERROR(VLOOKUP('PR Grupo'!AM$3&amp;'PR Grupo'!$G49,'Plan CP'!$K:$P,3,FALSE),0),0)))</f>
        <v>0</v>
      </c>
      <c r="AN49" s="58">
        <f>IF(AM49&gt;1,AM49-1,IF(COUNTIFS('Plan CP'!$O:$O,'PR Grupo'!$G49,'Plan CP'!$P:$P,'PR Grupo'!AN$3,'Plan CP'!$M:$M,1)=1,1,IF(IFERROR(VLOOKUP('PR Grupo'!AN$3&amp;'PR Grupo'!$G49,'Plan CP'!$K:$P,3,FALSE)&gt;1,0),IFERROR(VLOOKUP('PR Grupo'!AN$3&amp;'PR Grupo'!$G49,'Plan CP'!$K:$P,3,FALSE),0),0)))</f>
        <v>0</v>
      </c>
      <c r="AO49" s="58">
        <f>IF(AN49&gt;1,AN49-1,IF(COUNTIFS('Plan CP'!$O:$O,'PR Grupo'!$G49,'Plan CP'!$P:$P,'PR Grupo'!AO$3,'Plan CP'!$M:$M,1)=1,1,IF(IFERROR(VLOOKUP('PR Grupo'!AO$3&amp;'PR Grupo'!$G49,'Plan CP'!$K:$P,3,FALSE)&gt;1,0),IFERROR(VLOOKUP('PR Grupo'!AO$3&amp;'PR Grupo'!$G49,'Plan CP'!$K:$P,3,FALSE),0),0)))</f>
        <v>0</v>
      </c>
    </row>
    <row r="50" spans="1:41">
      <c r="A50" s="21" t="s">
        <v>33</v>
      </c>
      <c r="B50" s="21" t="s">
        <v>46</v>
      </c>
      <c r="C50" s="21" t="s">
        <v>242</v>
      </c>
      <c r="D50" s="21" t="s">
        <v>272</v>
      </c>
      <c r="E50" s="24" t="s">
        <v>174</v>
      </c>
      <c r="F50" s="21" t="s">
        <v>272</v>
      </c>
      <c r="G50" s="33" t="s">
        <v>192</v>
      </c>
      <c r="H50" s="24">
        <v>25</v>
      </c>
      <c r="I50" s="33">
        <f t="shared" si="2"/>
        <v>19</v>
      </c>
      <c r="J50" s="33" t="str">
        <f t="shared" si="3"/>
        <v>NO OK</v>
      </c>
      <c r="K50" s="58">
        <f>IF(COUNTIFS('Plan CP'!$O:$O,'PR Grupo'!$G50,'Plan CP'!$P:$P,'PR Grupo'!K$3,'Plan CP'!$M:$M,1)=1,1,IF(IFERROR(VLOOKUP('PR Grupo'!K$3&amp;'PR Grupo'!$G50,'Plan CP'!$K:$P,3,FALSE)&gt;1,0),IFERROR(VLOOKUP('PR Grupo'!K$3&amp;'PR Grupo'!$G50,'Plan CP'!$K:$P,3,FALSE),0),0))</f>
        <v>0</v>
      </c>
      <c r="L50" s="58">
        <f>IF(K50&gt;1,K50-1,IF(COUNTIFS('Plan CP'!$O:$O,'PR Grupo'!$G50,'Plan CP'!$P:$P,'PR Grupo'!L$3,'Plan CP'!$M:$M,1)=1,1,IF(IFERROR(VLOOKUP('PR Grupo'!L$3&amp;'PR Grupo'!$G50,'Plan CP'!$K:$P,3,FALSE)&gt;1,0),IFERROR(VLOOKUP('PR Grupo'!L$3&amp;'PR Grupo'!$G50,'Plan CP'!$K:$P,3,FALSE),0),0)))</f>
        <v>0</v>
      </c>
      <c r="M50" s="58">
        <f>IF(L50&gt;1,L50-1,IF(COUNTIFS('Plan CP'!$O:$O,'PR Grupo'!$G50,'Plan CP'!$P:$P,'PR Grupo'!M$3,'Plan CP'!$M:$M,1)=1,1,IF(IFERROR(VLOOKUP('PR Grupo'!M$3&amp;'PR Grupo'!$G50,'Plan CP'!$K:$P,3,FALSE)&gt;1,0),IFERROR(VLOOKUP('PR Grupo'!M$3&amp;'PR Grupo'!$G50,'Plan CP'!$K:$P,3,FALSE),0),0)))</f>
        <v>1</v>
      </c>
      <c r="N50" s="58">
        <f>IF(M50&gt;1,M50-1,IF(COUNTIFS('Plan CP'!$O:$O,'PR Grupo'!$G50,'Plan CP'!$P:$P,'PR Grupo'!N$3,'Plan CP'!$M:$M,1)=1,1,IF(IFERROR(VLOOKUP('PR Grupo'!N$3&amp;'PR Grupo'!$G50,'Plan CP'!$K:$P,3,FALSE)&gt;1,0),IFERROR(VLOOKUP('PR Grupo'!N$3&amp;'PR Grupo'!$G50,'Plan CP'!$K:$P,3,FALSE),0),0)))</f>
        <v>0</v>
      </c>
      <c r="O50" s="58">
        <f>IF(N50&gt;1,N50-1,IF(COUNTIFS('Plan CP'!$O:$O,'PR Grupo'!$G50,'Plan CP'!$P:$P,'PR Grupo'!O$3,'Plan CP'!$M:$M,1)=1,1,IF(IFERROR(VLOOKUP('PR Grupo'!O$3&amp;'PR Grupo'!$G50,'Plan CP'!$K:$P,3,FALSE)&gt;1,0),IFERROR(VLOOKUP('PR Grupo'!O$3&amp;'PR Grupo'!$G50,'Plan CP'!$K:$P,3,FALSE),0),0)))</f>
        <v>0</v>
      </c>
      <c r="P50" s="58">
        <f>IF(O50&gt;1,O50-1,IF(COUNTIFS('Plan CP'!$O:$O,'PR Grupo'!$G50,'Plan CP'!$P:$P,'PR Grupo'!P$3,'Plan CP'!$M:$M,1)=1,1,IF(IFERROR(VLOOKUP('PR Grupo'!P$3&amp;'PR Grupo'!$G50,'Plan CP'!$K:$P,3,FALSE)&gt;1,0),IFERROR(VLOOKUP('PR Grupo'!P$3&amp;'PR Grupo'!$G50,'Plan CP'!$K:$P,3,FALSE),0),0)))</f>
        <v>0</v>
      </c>
      <c r="Q50" s="58">
        <f>IF(P50&gt;1,P50-1,IF(COUNTIFS('Plan CP'!$O:$O,'PR Grupo'!$G50,'Plan CP'!$P:$P,'PR Grupo'!Q$3,'Plan CP'!$M:$M,1)=1,1,IF(IFERROR(VLOOKUP('PR Grupo'!Q$3&amp;'PR Grupo'!$G50,'Plan CP'!$K:$P,3,FALSE)&gt;1,0),IFERROR(VLOOKUP('PR Grupo'!Q$3&amp;'PR Grupo'!$G50,'Plan CP'!$K:$P,3,FALSE),0),0)))</f>
        <v>0</v>
      </c>
      <c r="R50" s="58">
        <f>IF(Q50&gt;1,Q50-1,IF(COUNTIFS('Plan CP'!$O:$O,'PR Grupo'!$G50,'Plan CP'!$P:$P,'PR Grupo'!R$3,'Plan CP'!$M:$M,1)=1,1,IF(IFERROR(VLOOKUP('PR Grupo'!R$3&amp;'PR Grupo'!$G50,'Plan CP'!$K:$P,3,FALSE)&gt;1,0),IFERROR(VLOOKUP('PR Grupo'!R$3&amp;'PR Grupo'!$G50,'Plan CP'!$K:$P,3,FALSE),0),0)))</f>
        <v>1</v>
      </c>
      <c r="S50" s="58">
        <f>IF(R50&gt;1,R50-1,IF(COUNTIFS('Plan CP'!$O:$O,'PR Grupo'!$G50,'Plan CP'!$P:$P,'PR Grupo'!S$3,'Plan CP'!$M:$M,1)=1,1,IF(IFERROR(VLOOKUP('PR Grupo'!S$3&amp;'PR Grupo'!$G50,'Plan CP'!$K:$P,3,FALSE)&gt;1,0),IFERROR(VLOOKUP('PR Grupo'!S$3&amp;'PR Grupo'!$G50,'Plan CP'!$K:$P,3,FALSE),0),0)))</f>
        <v>1</v>
      </c>
      <c r="T50" s="58">
        <f>IF(S50&gt;1,S50-1,IF(COUNTIFS('Plan CP'!$O:$O,'PR Grupo'!$G50,'Plan CP'!$P:$P,'PR Grupo'!T$3,'Plan CP'!$M:$M,1)=1,1,IF(IFERROR(VLOOKUP('PR Grupo'!T$3&amp;'PR Grupo'!$G50,'Plan CP'!$K:$P,3,FALSE)&gt;1,0),IFERROR(VLOOKUP('PR Grupo'!T$3&amp;'PR Grupo'!$G50,'Plan CP'!$K:$P,3,FALSE),0),0)))</f>
        <v>1</v>
      </c>
      <c r="U50" s="58">
        <f>IF(T50&gt;1,T50-1,IF(COUNTIFS('Plan CP'!$O:$O,'PR Grupo'!$G50,'Plan CP'!$P:$P,'PR Grupo'!U$3,'Plan CP'!$M:$M,1)=1,1,IF(IFERROR(VLOOKUP('PR Grupo'!U$3&amp;'PR Grupo'!$G50,'Plan CP'!$K:$P,3,FALSE)&gt;1,0),IFERROR(VLOOKUP('PR Grupo'!U$3&amp;'PR Grupo'!$G50,'Plan CP'!$K:$P,3,FALSE),0),0)))</f>
        <v>1</v>
      </c>
      <c r="V50" s="58">
        <f>IF(U50&gt;1,U50-1,IF(COUNTIFS('Plan CP'!$O:$O,'PR Grupo'!$G50,'Plan CP'!$P:$P,'PR Grupo'!V$3,'Plan CP'!$M:$M,1)=1,1,IF(IFERROR(VLOOKUP('PR Grupo'!V$3&amp;'PR Grupo'!$G50,'Plan CP'!$K:$P,3,FALSE)&gt;1,0),IFERROR(VLOOKUP('PR Grupo'!V$3&amp;'PR Grupo'!$G50,'Plan CP'!$K:$P,3,FALSE),0),0)))</f>
        <v>1</v>
      </c>
      <c r="W50" s="58">
        <f>IF(V50&gt;1,V50-1,IF(COUNTIFS('Plan CP'!$O:$O,'PR Grupo'!$G50,'Plan CP'!$P:$P,'PR Grupo'!W$3,'Plan CP'!$M:$M,1)=1,1,IF(IFERROR(VLOOKUP('PR Grupo'!W$3&amp;'PR Grupo'!$G50,'Plan CP'!$K:$P,3,FALSE)&gt;1,0),IFERROR(VLOOKUP('PR Grupo'!W$3&amp;'PR Grupo'!$G50,'Plan CP'!$K:$P,3,FALSE),0),0)))</f>
        <v>1</v>
      </c>
      <c r="X50" s="58">
        <f>IF(W50&gt;1,W50-1,IF(COUNTIFS('Plan CP'!$O:$O,'PR Grupo'!$G50,'Plan CP'!$P:$P,'PR Grupo'!X$3,'Plan CP'!$M:$M,1)=1,1,IF(IFERROR(VLOOKUP('PR Grupo'!X$3&amp;'PR Grupo'!$G50,'Plan CP'!$K:$P,3,FALSE)&gt;1,0),IFERROR(VLOOKUP('PR Grupo'!X$3&amp;'PR Grupo'!$G50,'Plan CP'!$K:$P,3,FALSE),0),0)))</f>
        <v>1</v>
      </c>
      <c r="Y50" s="58">
        <f>IF(X50&gt;1,X50-1,IF(COUNTIFS('Plan CP'!$O:$O,'PR Grupo'!$G50,'Plan CP'!$P:$P,'PR Grupo'!Y$3,'Plan CP'!$M:$M,1)=1,1,IF(IFERROR(VLOOKUP('PR Grupo'!Y$3&amp;'PR Grupo'!$G50,'Plan CP'!$K:$P,3,FALSE)&gt;1,0),IFERROR(VLOOKUP('PR Grupo'!Y$3&amp;'PR Grupo'!$G50,'Plan CP'!$K:$P,3,FALSE),0),0)))</f>
        <v>1</v>
      </c>
      <c r="Z50" s="58">
        <f>IF(Y50&gt;1,Y50-1,IF(COUNTIFS('Plan CP'!$O:$O,'PR Grupo'!$G50,'Plan CP'!$P:$P,'PR Grupo'!Z$3,'Plan CP'!$M:$M,1)=1,1,IF(IFERROR(VLOOKUP('PR Grupo'!Z$3&amp;'PR Grupo'!$G50,'Plan CP'!$K:$P,3,FALSE)&gt;1,0),IFERROR(VLOOKUP('PR Grupo'!Z$3&amp;'PR Grupo'!$G50,'Plan CP'!$K:$P,3,FALSE),0),0)))</f>
        <v>1</v>
      </c>
      <c r="AA50" s="58">
        <f>IF(Z50&gt;1,Z50-1,IF(COUNTIFS('Plan CP'!$O:$O,'PR Grupo'!$G50,'Plan CP'!$P:$P,'PR Grupo'!AA$3,'Plan CP'!$M:$M,1)=1,1,IF(IFERROR(VLOOKUP('PR Grupo'!AA$3&amp;'PR Grupo'!$G50,'Plan CP'!$K:$P,3,FALSE)&gt;1,0),IFERROR(VLOOKUP('PR Grupo'!AA$3&amp;'PR Grupo'!$G50,'Plan CP'!$K:$P,3,FALSE),0),0)))</f>
        <v>1</v>
      </c>
      <c r="AB50" s="58">
        <f>IF(AA50&gt;1,AA50-1,IF(COUNTIFS('Plan CP'!$O:$O,'PR Grupo'!$G50,'Plan CP'!$P:$P,'PR Grupo'!AB$3,'Plan CP'!$M:$M,1)=1,1,IF(IFERROR(VLOOKUP('PR Grupo'!AB$3&amp;'PR Grupo'!$G50,'Plan CP'!$K:$P,3,FALSE)&gt;1,0),IFERROR(VLOOKUP('PR Grupo'!AB$3&amp;'PR Grupo'!$G50,'Plan CP'!$K:$P,3,FALSE),0),0)))</f>
        <v>1</v>
      </c>
      <c r="AC50" s="58">
        <f>IF(AB50&gt;1,AB50-1,IF(COUNTIFS('Plan CP'!$O:$O,'PR Grupo'!$G50,'Plan CP'!$P:$P,'PR Grupo'!AC$3,'Plan CP'!$M:$M,1)=1,1,IF(IFERROR(VLOOKUP('PR Grupo'!AC$3&amp;'PR Grupo'!$G50,'Plan CP'!$K:$P,3,FALSE)&gt;1,0),IFERROR(VLOOKUP('PR Grupo'!AC$3&amp;'PR Grupo'!$G50,'Plan CP'!$K:$P,3,FALSE),0),0)))</f>
        <v>1</v>
      </c>
      <c r="AD50" s="58">
        <f>IF(AC50&gt;1,AC50-1,IF(COUNTIFS('Plan CP'!$O:$O,'PR Grupo'!$G50,'Plan CP'!$P:$P,'PR Grupo'!AD$3,'Plan CP'!$M:$M,1)=1,1,IF(IFERROR(VLOOKUP('PR Grupo'!AD$3&amp;'PR Grupo'!$G50,'Plan CP'!$K:$P,3,FALSE)&gt;1,0),IFERROR(VLOOKUP('PR Grupo'!AD$3&amp;'PR Grupo'!$G50,'Plan CP'!$K:$P,3,FALSE),0),0)))</f>
        <v>1</v>
      </c>
      <c r="AE50" s="58">
        <f>IF(AD50&gt;1,AD50-1,IF(COUNTIFS('Plan CP'!$O:$O,'PR Grupo'!$G50,'Plan CP'!$P:$P,'PR Grupo'!AE$3,'Plan CP'!$M:$M,1)=1,1,IF(IFERROR(VLOOKUP('PR Grupo'!AE$3&amp;'PR Grupo'!$G50,'Plan CP'!$K:$P,3,FALSE)&gt;1,0),IFERROR(VLOOKUP('PR Grupo'!AE$3&amp;'PR Grupo'!$G50,'Plan CP'!$K:$P,3,FALSE),0),0)))</f>
        <v>1</v>
      </c>
      <c r="AF50" s="58">
        <f>IF(AE50&gt;1,AE50-1,IF(COUNTIFS('Plan CP'!$O:$O,'PR Grupo'!$G50,'Plan CP'!$P:$P,'PR Grupo'!AF$3,'Plan CP'!$M:$M,1)=1,1,IF(IFERROR(VLOOKUP('PR Grupo'!AF$3&amp;'PR Grupo'!$G50,'Plan CP'!$K:$P,3,FALSE)&gt;1,0),IFERROR(VLOOKUP('PR Grupo'!AF$3&amp;'PR Grupo'!$G50,'Plan CP'!$K:$P,3,FALSE),0),0)))</f>
        <v>1</v>
      </c>
      <c r="AG50" s="58">
        <f>IF(AF50&gt;1,AF50-1,IF(COUNTIFS('Plan CP'!$O:$O,'PR Grupo'!$G50,'Plan CP'!$P:$P,'PR Grupo'!AG$3,'Plan CP'!$M:$M,1)=1,1,IF(IFERROR(VLOOKUP('PR Grupo'!AG$3&amp;'PR Grupo'!$G50,'Plan CP'!$K:$P,3,FALSE)&gt;1,0),IFERROR(VLOOKUP('PR Grupo'!AG$3&amp;'PR Grupo'!$G50,'Plan CP'!$K:$P,3,FALSE),0),0)))</f>
        <v>1</v>
      </c>
      <c r="AH50" s="58">
        <f>IF(AG50&gt;1,AG50-1,IF(COUNTIFS('Plan CP'!$O:$O,'PR Grupo'!$G50,'Plan CP'!$P:$P,'PR Grupo'!AH$3,'Plan CP'!$M:$M,1)=1,1,IF(IFERROR(VLOOKUP('PR Grupo'!AH$3&amp;'PR Grupo'!$G50,'Plan CP'!$K:$P,3,FALSE)&gt;1,0),IFERROR(VLOOKUP('PR Grupo'!AH$3&amp;'PR Grupo'!$G50,'Plan CP'!$K:$P,3,FALSE),0),0)))</f>
        <v>1</v>
      </c>
      <c r="AI50" s="58">
        <f>IF(AH50&gt;1,AH50-1,IF(COUNTIFS('Plan CP'!$O:$O,'PR Grupo'!$G50,'Plan CP'!$P:$P,'PR Grupo'!AI$3,'Plan CP'!$M:$M,1)=1,1,IF(IFERROR(VLOOKUP('PR Grupo'!AI$3&amp;'PR Grupo'!$G50,'Plan CP'!$K:$P,3,FALSE)&gt;1,0),IFERROR(VLOOKUP('PR Grupo'!AI$3&amp;'PR Grupo'!$G50,'Plan CP'!$K:$P,3,FALSE),0),0)))</f>
        <v>1</v>
      </c>
      <c r="AJ50" s="58">
        <f>IF(AI50&gt;1,AI50-1,IF(COUNTIFS('Plan CP'!$O:$O,'PR Grupo'!$G50,'Plan CP'!$P:$P,'PR Grupo'!AJ$3,'Plan CP'!$M:$M,1)=1,1,IF(IFERROR(VLOOKUP('PR Grupo'!AJ$3&amp;'PR Grupo'!$G50,'Plan CP'!$K:$P,3,FALSE)&gt;1,0),IFERROR(VLOOKUP('PR Grupo'!AJ$3&amp;'PR Grupo'!$G50,'Plan CP'!$K:$P,3,FALSE),0),0)))</f>
        <v>0</v>
      </c>
      <c r="AK50" s="58">
        <f>IF(AJ50&gt;1,AJ50-1,IF(COUNTIFS('Plan CP'!$O:$O,'PR Grupo'!$G50,'Plan CP'!$P:$P,'PR Grupo'!AK$3,'Plan CP'!$M:$M,1)=1,1,IF(IFERROR(VLOOKUP('PR Grupo'!AK$3&amp;'PR Grupo'!$G50,'Plan CP'!$K:$P,3,FALSE)&gt;1,0),IFERROR(VLOOKUP('PR Grupo'!AK$3&amp;'PR Grupo'!$G50,'Plan CP'!$K:$P,3,FALSE),0),0)))</f>
        <v>0</v>
      </c>
      <c r="AL50" s="58">
        <f>IF(AK50&gt;1,AK50-1,IF(COUNTIFS('Plan CP'!$O:$O,'PR Grupo'!$G50,'Plan CP'!$P:$P,'PR Grupo'!AL$3,'Plan CP'!$M:$M,1)=1,1,IF(IFERROR(VLOOKUP('PR Grupo'!AL$3&amp;'PR Grupo'!$G50,'Plan CP'!$K:$P,3,FALSE)&gt;1,0),IFERROR(VLOOKUP('PR Grupo'!AL$3&amp;'PR Grupo'!$G50,'Plan CP'!$K:$P,3,FALSE),0),0)))</f>
        <v>0</v>
      </c>
      <c r="AM50" s="58">
        <f>IF(AL50&gt;1,AL50-1,IF(COUNTIFS('Plan CP'!$O:$O,'PR Grupo'!$G50,'Plan CP'!$P:$P,'PR Grupo'!AM$3,'Plan CP'!$M:$M,1)=1,1,IF(IFERROR(VLOOKUP('PR Grupo'!AM$3&amp;'PR Grupo'!$G50,'Plan CP'!$K:$P,3,FALSE)&gt;1,0),IFERROR(VLOOKUP('PR Grupo'!AM$3&amp;'PR Grupo'!$G50,'Plan CP'!$K:$P,3,FALSE),0),0)))</f>
        <v>0</v>
      </c>
      <c r="AN50" s="58">
        <f>IF(AM50&gt;1,AM50-1,IF(COUNTIFS('Plan CP'!$O:$O,'PR Grupo'!$G50,'Plan CP'!$P:$P,'PR Grupo'!AN$3,'Plan CP'!$M:$M,1)=1,1,IF(IFERROR(VLOOKUP('PR Grupo'!AN$3&amp;'PR Grupo'!$G50,'Plan CP'!$K:$P,3,FALSE)&gt;1,0),IFERROR(VLOOKUP('PR Grupo'!AN$3&amp;'PR Grupo'!$G50,'Plan CP'!$K:$P,3,FALSE),0),0)))</f>
        <v>0</v>
      </c>
      <c r="AO50" s="58">
        <f>IF(AN50&gt;1,AN50-1,IF(COUNTIFS('Plan CP'!$O:$O,'PR Grupo'!$G50,'Plan CP'!$P:$P,'PR Grupo'!AO$3,'Plan CP'!$M:$M,1)=1,1,IF(IFERROR(VLOOKUP('PR Grupo'!AO$3&amp;'PR Grupo'!$G50,'Plan CP'!$K:$P,3,FALSE)&gt;1,0),IFERROR(VLOOKUP('PR Grupo'!AO$3&amp;'PR Grupo'!$G50,'Plan CP'!$K:$P,3,FALSE),0),0)))</f>
        <v>0</v>
      </c>
    </row>
    <row r="51" spans="1:41">
      <c r="A51" s="21" t="s">
        <v>33</v>
      </c>
      <c r="B51" s="21" t="s">
        <v>37</v>
      </c>
      <c r="C51" s="21" t="s">
        <v>243</v>
      </c>
      <c r="D51" s="21" t="s">
        <v>270</v>
      </c>
      <c r="E51" s="24" t="s">
        <v>174</v>
      </c>
      <c r="F51" s="21" t="s">
        <v>270</v>
      </c>
      <c r="G51" s="33" t="s">
        <v>192</v>
      </c>
      <c r="H51" s="24">
        <v>25</v>
      </c>
      <c r="I51" s="33">
        <f t="shared" si="2"/>
        <v>19</v>
      </c>
      <c r="J51" s="33" t="str">
        <f t="shared" si="3"/>
        <v>NO OK</v>
      </c>
      <c r="K51" s="58">
        <f>IF(COUNTIFS('Plan CP'!$O:$O,'PR Grupo'!$G51,'Plan CP'!$P:$P,'PR Grupo'!K$3,'Plan CP'!$M:$M,1)=1,1,IF(IFERROR(VLOOKUP('PR Grupo'!K$3&amp;'PR Grupo'!$G51,'Plan CP'!$K:$P,3,FALSE)&gt;1,0),IFERROR(VLOOKUP('PR Grupo'!K$3&amp;'PR Grupo'!$G51,'Plan CP'!$K:$P,3,FALSE),0),0))</f>
        <v>0</v>
      </c>
      <c r="L51" s="58">
        <f>IF(K51&gt;1,K51-1,IF(COUNTIFS('Plan CP'!$O:$O,'PR Grupo'!$G51,'Plan CP'!$P:$P,'PR Grupo'!L$3,'Plan CP'!$M:$M,1)=1,1,IF(IFERROR(VLOOKUP('PR Grupo'!L$3&amp;'PR Grupo'!$G51,'Plan CP'!$K:$P,3,FALSE)&gt;1,0),IFERROR(VLOOKUP('PR Grupo'!L$3&amp;'PR Grupo'!$G51,'Plan CP'!$K:$P,3,FALSE),0),0)))</f>
        <v>0</v>
      </c>
      <c r="M51" s="58">
        <f>IF(L51&gt;1,L51-1,IF(COUNTIFS('Plan CP'!$O:$O,'PR Grupo'!$G51,'Plan CP'!$P:$P,'PR Grupo'!M$3,'Plan CP'!$M:$M,1)=1,1,IF(IFERROR(VLOOKUP('PR Grupo'!M$3&amp;'PR Grupo'!$G51,'Plan CP'!$K:$P,3,FALSE)&gt;1,0),IFERROR(VLOOKUP('PR Grupo'!M$3&amp;'PR Grupo'!$G51,'Plan CP'!$K:$P,3,FALSE),0),0)))</f>
        <v>1</v>
      </c>
      <c r="N51" s="58">
        <f>IF(M51&gt;1,M51-1,IF(COUNTIFS('Plan CP'!$O:$O,'PR Grupo'!$G51,'Plan CP'!$P:$P,'PR Grupo'!N$3,'Plan CP'!$M:$M,1)=1,1,IF(IFERROR(VLOOKUP('PR Grupo'!N$3&amp;'PR Grupo'!$G51,'Plan CP'!$K:$P,3,FALSE)&gt;1,0),IFERROR(VLOOKUP('PR Grupo'!N$3&amp;'PR Grupo'!$G51,'Plan CP'!$K:$P,3,FALSE),0),0)))</f>
        <v>0</v>
      </c>
      <c r="O51" s="58">
        <f>IF(N51&gt;1,N51-1,IF(COUNTIFS('Plan CP'!$O:$O,'PR Grupo'!$G51,'Plan CP'!$P:$P,'PR Grupo'!O$3,'Plan CP'!$M:$M,1)=1,1,IF(IFERROR(VLOOKUP('PR Grupo'!O$3&amp;'PR Grupo'!$G51,'Plan CP'!$K:$P,3,FALSE)&gt;1,0),IFERROR(VLOOKUP('PR Grupo'!O$3&amp;'PR Grupo'!$G51,'Plan CP'!$K:$P,3,FALSE),0),0)))</f>
        <v>0</v>
      </c>
      <c r="P51" s="58">
        <f>IF(O51&gt;1,O51-1,IF(COUNTIFS('Plan CP'!$O:$O,'PR Grupo'!$G51,'Plan CP'!$P:$P,'PR Grupo'!P$3,'Plan CP'!$M:$M,1)=1,1,IF(IFERROR(VLOOKUP('PR Grupo'!P$3&amp;'PR Grupo'!$G51,'Plan CP'!$K:$P,3,FALSE)&gt;1,0),IFERROR(VLOOKUP('PR Grupo'!P$3&amp;'PR Grupo'!$G51,'Plan CP'!$K:$P,3,FALSE),0),0)))</f>
        <v>0</v>
      </c>
      <c r="Q51" s="58">
        <f>IF(P51&gt;1,P51-1,IF(COUNTIFS('Plan CP'!$O:$O,'PR Grupo'!$G51,'Plan CP'!$P:$P,'PR Grupo'!Q$3,'Plan CP'!$M:$M,1)=1,1,IF(IFERROR(VLOOKUP('PR Grupo'!Q$3&amp;'PR Grupo'!$G51,'Plan CP'!$K:$P,3,FALSE)&gt;1,0),IFERROR(VLOOKUP('PR Grupo'!Q$3&amp;'PR Grupo'!$G51,'Plan CP'!$K:$P,3,FALSE),0),0)))</f>
        <v>0</v>
      </c>
      <c r="R51" s="58">
        <f>IF(Q51&gt;1,Q51-1,IF(COUNTIFS('Plan CP'!$O:$O,'PR Grupo'!$G51,'Plan CP'!$P:$P,'PR Grupo'!R$3,'Plan CP'!$M:$M,1)=1,1,IF(IFERROR(VLOOKUP('PR Grupo'!R$3&amp;'PR Grupo'!$G51,'Plan CP'!$K:$P,3,FALSE)&gt;1,0),IFERROR(VLOOKUP('PR Grupo'!R$3&amp;'PR Grupo'!$G51,'Plan CP'!$K:$P,3,FALSE),0),0)))</f>
        <v>1</v>
      </c>
      <c r="S51" s="58">
        <f>IF(R51&gt;1,R51-1,IF(COUNTIFS('Plan CP'!$O:$O,'PR Grupo'!$G51,'Plan CP'!$P:$P,'PR Grupo'!S$3,'Plan CP'!$M:$M,1)=1,1,IF(IFERROR(VLOOKUP('PR Grupo'!S$3&amp;'PR Grupo'!$G51,'Plan CP'!$K:$P,3,FALSE)&gt;1,0),IFERROR(VLOOKUP('PR Grupo'!S$3&amp;'PR Grupo'!$G51,'Plan CP'!$K:$P,3,FALSE),0),0)))</f>
        <v>1</v>
      </c>
      <c r="T51" s="58">
        <f>IF(S51&gt;1,S51-1,IF(COUNTIFS('Plan CP'!$O:$O,'PR Grupo'!$G51,'Plan CP'!$P:$P,'PR Grupo'!T$3,'Plan CP'!$M:$M,1)=1,1,IF(IFERROR(VLOOKUP('PR Grupo'!T$3&amp;'PR Grupo'!$G51,'Plan CP'!$K:$P,3,FALSE)&gt;1,0),IFERROR(VLOOKUP('PR Grupo'!T$3&amp;'PR Grupo'!$G51,'Plan CP'!$K:$P,3,FALSE),0),0)))</f>
        <v>1</v>
      </c>
      <c r="U51" s="58">
        <f>IF(T51&gt;1,T51-1,IF(COUNTIFS('Plan CP'!$O:$O,'PR Grupo'!$G51,'Plan CP'!$P:$P,'PR Grupo'!U$3,'Plan CP'!$M:$M,1)=1,1,IF(IFERROR(VLOOKUP('PR Grupo'!U$3&amp;'PR Grupo'!$G51,'Plan CP'!$K:$P,3,FALSE)&gt;1,0),IFERROR(VLOOKUP('PR Grupo'!U$3&amp;'PR Grupo'!$G51,'Plan CP'!$K:$P,3,FALSE),0),0)))</f>
        <v>1</v>
      </c>
      <c r="V51" s="58">
        <f>IF(U51&gt;1,U51-1,IF(COUNTIFS('Plan CP'!$O:$O,'PR Grupo'!$G51,'Plan CP'!$P:$P,'PR Grupo'!V$3,'Plan CP'!$M:$M,1)=1,1,IF(IFERROR(VLOOKUP('PR Grupo'!V$3&amp;'PR Grupo'!$G51,'Plan CP'!$K:$P,3,FALSE)&gt;1,0),IFERROR(VLOOKUP('PR Grupo'!V$3&amp;'PR Grupo'!$G51,'Plan CP'!$K:$P,3,FALSE),0),0)))</f>
        <v>1</v>
      </c>
      <c r="W51" s="58">
        <f>IF(V51&gt;1,V51-1,IF(COUNTIFS('Plan CP'!$O:$O,'PR Grupo'!$G51,'Plan CP'!$P:$P,'PR Grupo'!W$3,'Plan CP'!$M:$M,1)=1,1,IF(IFERROR(VLOOKUP('PR Grupo'!W$3&amp;'PR Grupo'!$G51,'Plan CP'!$K:$P,3,FALSE)&gt;1,0),IFERROR(VLOOKUP('PR Grupo'!W$3&amp;'PR Grupo'!$G51,'Plan CP'!$K:$P,3,FALSE),0),0)))</f>
        <v>1</v>
      </c>
      <c r="X51" s="58">
        <f>IF(W51&gt;1,W51-1,IF(COUNTIFS('Plan CP'!$O:$O,'PR Grupo'!$G51,'Plan CP'!$P:$P,'PR Grupo'!X$3,'Plan CP'!$M:$M,1)=1,1,IF(IFERROR(VLOOKUP('PR Grupo'!X$3&amp;'PR Grupo'!$G51,'Plan CP'!$K:$P,3,FALSE)&gt;1,0),IFERROR(VLOOKUP('PR Grupo'!X$3&amp;'PR Grupo'!$G51,'Plan CP'!$K:$P,3,FALSE),0),0)))</f>
        <v>1</v>
      </c>
      <c r="Y51" s="58">
        <f>IF(X51&gt;1,X51-1,IF(COUNTIFS('Plan CP'!$O:$O,'PR Grupo'!$G51,'Plan CP'!$P:$P,'PR Grupo'!Y$3,'Plan CP'!$M:$M,1)=1,1,IF(IFERROR(VLOOKUP('PR Grupo'!Y$3&amp;'PR Grupo'!$G51,'Plan CP'!$K:$P,3,FALSE)&gt;1,0),IFERROR(VLOOKUP('PR Grupo'!Y$3&amp;'PR Grupo'!$G51,'Plan CP'!$K:$P,3,FALSE),0),0)))</f>
        <v>1</v>
      </c>
      <c r="Z51" s="58">
        <f>IF(Y51&gt;1,Y51-1,IF(COUNTIFS('Plan CP'!$O:$O,'PR Grupo'!$G51,'Plan CP'!$P:$P,'PR Grupo'!Z$3,'Plan CP'!$M:$M,1)=1,1,IF(IFERROR(VLOOKUP('PR Grupo'!Z$3&amp;'PR Grupo'!$G51,'Plan CP'!$K:$P,3,FALSE)&gt;1,0),IFERROR(VLOOKUP('PR Grupo'!Z$3&amp;'PR Grupo'!$G51,'Plan CP'!$K:$P,3,FALSE),0),0)))</f>
        <v>1</v>
      </c>
      <c r="AA51" s="58">
        <f>IF(Z51&gt;1,Z51-1,IF(COUNTIFS('Plan CP'!$O:$O,'PR Grupo'!$G51,'Plan CP'!$P:$P,'PR Grupo'!AA$3,'Plan CP'!$M:$M,1)=1,1,IF(IFERROR(VLOOKUP('PR Grupo'!AA$3&amp;'PR Grupo'!$G51,'Plan CP'!$K:$P,3,FALSE)&gt;1,0),IFERROR(VLOOKUP('PR Grupo'!AA$3&amp;'PR Grupo'!$G51,'Plan CP'!$K:$P,3,FALSE),0),0)))</f>
        <v>1</v>
      </c>
      <c r="AB51" s="58">
        <f>IF(AA51&gt;1,AA51-1,IF(COUNTIFS('Plan CP'!$O:$O,'PR Grupo'!$G51,'Plan CP'!$P:$P,'PR Grupo'!AB$3,'Plan CP'!$M:$M,1)=1,1,IF(IFERROR(VLOOKUP('PR Grupo'!AB$3&amp;'PR Grupo'!$G51,'Plan CP'!$K:$P,3,FALSE)&gt;1,0),IFERROR(VLOOKUP('PR Grupo'!AB$3&amp;'PR Grupo'!$G51,'Plan CP'!$K:$P,3,FALSE),0),0)))</f>
        <v>1</v>
      </c>
      <c r="AC51" s="58">
        <f>IF(AB51&gt;1,AB51-1,IF(COUNTIFS('Plan CP'!$O:$O,'PR Grupo'!$G51,'Plan CP'!$P:$P,'PR Grupo'!AC$3,'Plan CP'!$M:$M,1)=1,1,IF(IFERROR(VLOOKUP('PR Grupo'!AC$3&amp;'PR Grupo'!$G51,'Plan CP'!$K:$P,3,FALSE)&gt;1,0),IFERROR(VLOOKUP('PR Grupo'!AC$3&amp;'PR Grupo'!$G51,'Plan CP'!$K:$P,3,FALSE),0),0)))</f>
        <v>1</v>
      </c>
      <c r="AD51" s="58">
        <f>IF(AC51&gt;1,AC51-1,IF(COUNTIFS('Plan CP'!$O:$O,'PR Grupo'!$G51,'Plan CP'!$P:$P,'PR Grupo'!AD$3,'Plan CP'!$M:$M,1)=1,1,IF(IFERROR(VLOOKUP('PR Grupo'!AD$3&amp;'PR Grupo'!$G51,'Plan CP'!$K:$P,3,FALSE)&gt;1,0),IFERROR(VLOOKUP('PR Grupo'!AD$3&amp;'PR Grupo'!$G51,'Plan CP'!$K:$P,3,FALSE),0),0)))</f>
        <v>1</v>
      </c>
      <c r="AE51" s="58">
        <f>IF(AD51&gt;1,AD51-1,IF(COUNTIFS('Plan CP'!$O:$O,'PR Grupo'!$G51,'Plan CP'!$P:$P,'PR Grupo'!AE$3,'Plan CP'!$M:$M,1)=1,1,IF(IFERROR(VLOOKUP('PR Grupo'!AE$3&amp;'PR Grupo'!$G51,'Plan CP'!$K:$P,3,FALSE)&gt;1,0),IFERROR(VLOOKUP('PR Grupo'!AE$3&amp;'PR Grupo'!$G51,'Plan CP'!$K:$P,3,FALSE),0),0)))</f>
        <v>1</v>
      </c>
      <c r="AF51" s="58">
        <f>IF(AE51&gt;1,AE51-1,IF(COUNTIFS('Plan CP'!$O:$O,'PR Grupo'!$G51,'Plan CP'!$P:$P,'PR Grupo'!AF$3,'Plan CP'!$M:$M,1)=1,1,IF(IFERROR(VLOOKUP('PR Grupo'!AF$3&amp;'PR Grupo'!$G51,'Plan CP'!$K:$P,3,FALSE)&gt;1,0),IFERROR(VLOOKUP('PR Grupo'!AF$3&amp;'PR Grupo'!$G51,'Plan CP'!$K:$P,3,FALSE),0),0)))</f>
        <v>1</v>
      </c>
      <c r="AG51" s="58">
        <f>IF(AF51&gt;1,AF51-1,IF(COUNTIFS('Plan CP'!$O:$O,'PR Grupo'!$G51,'Plan CP'!$P:$P,'PR Grupo'!AG$3,'Plan CP'!$M:$M,1)=1,1,IF(IFERROR(VLOOKUP('PR Grupo'!AG$3&amp;'PR Grupo'!$G51,'Plan CP'!$K:$P,3,FALSE)&gt;1,0),IFERROR(VLOOKUP('PR Grupo'!AG$3&amp;'PR Grupo'!$G51,'Plan CP'!$K:$P,3,FALSE),0),0)))</f>
        <v>1</v>
      </c>
      <c r="AH51" s="58">
        <f>IF(AG51&gt;1,AG51-1,IF(COUNTIFS('Plan CP'!$O:$O,'PR Grupo'!$G51,'Plan CP'!$P:$P,'PR Grupo'!AH$3,'Plan CP'!$M:$M,1)=1,1,IF(IFERROR(VLOOKUP('PR Grupo'!AH$3&amp;'PR Grupo'!$G51,'Plan CP'!$K:$P,3,FALSE)&gt;1,0),IFERROR(VLOOKUP('PR Grupo'!AH$3&amp;'PR Grupo'!$G51,'Plan CP'!$K:$P,3,FALSE),0),0)))</f>
        <v>1</v>
      </c>
      <c r="AI51" s="58">
        <f>IF(AH51&gt;1,AH51-1,IF(COUNTIFS('Plan CP'!$O:$O,'PR Grupo'!$G51,'Plan CP'!$P:$P,'PR Grupo'!AI$3,'Plan CP'!$M:$M,1)=1,1,IF(IFERROR(VLOOKUP('PR Grupo'!AI$3&amp;'PR Grupo'!$G51,'Plan CP'!$K:$P,3,FALSE)&gt;1,0),IFERROR(VLOOKUP('PR Grupo'!AI$3&amp;'PR Grupo'!$G51,'Plan CP'!$K:$P,3,FALSE),0),0)))</f>
        <v>1</v>
      </c>
      <c r="AJ51" s="58">
        <f>IF(AI51&gt;1,AI51-1,IF(COUNTIFS('Plan CP'!$O:$O,'PR Grupo'!$G51,'Plan CP'!$P:$P,'PR Grupo'!AJ$3,'Plan CP'!$M:$M,1)=1,1,IF(IFERROR(VLOOKUP('PR Grupo'!AJ$3&amp;'PR Grupo'!$G51,'Plan CP'!$K:$P,3,FALSE)&gt;1,0),IFERROR(VLOOKUP('PR Grupo'!AJ$3&amp;'PR Grupo'!$G51,'Plan CP'!$K:$P,3,FALSE),0),0)))</f>
        <v>0</v>
      </c>
      <c r="AK51" s="58">
        <f>IF(AJ51&gt;1,AJ51-1,IF(COUNTIFS('Plan CP'!$O:$O,'PR Grupo'!$G51,'Plan CP'!$P:$P,'PR Grupo'!AK$3,'Plan CP'!$M:$M,1)=1,1,IF(IFERROR(VLOOKUP('PR Grupo'!AK$3&amp;'PR Grupo'!$G51,'Plan CP'!$K:$P,3,FALSE)&gt;1,0),IFERROR(VLOOKUP('PR Grupo'!AK$3&amp;'PR Grupo'!$G51,'Plan CP'!$K:$P,3,FALSE),0),0)))</f>
        <v>0</v>
      </c>
      <c r="AL51" s="58">
        <f>IF(AK51&gt;1,AK51-1,IF(COUNTIFS('Plan CP'!$O:$O,'PR Grupo'!$G51,'Plan CP'!$P:$P,'PR Grupo'!AL$3,'Plan CP'!$M:$M,1)=1,1,IF(IFERROR(VLOOKUP('PR Grupo'!AL$3&amp;'PR Grupo'!$G51,'Plan CP'!$K:$P,3,FALSE)&gt;1,0),IFERROR(VLOOKUP('PR Grupo'!AL$3&amp;'PR Grupo'!$G51,'Plan CP'!$K:$P,3,FALSE),0),0)))</f>
        <v>0</v>
      </c>
      <c r="AM51" s="58">
        <f>IF(AL51&gt;1,AL51-1,IF(COUNTIFS('Plan CP'!$O:$O,'PR Grupo'!$G51,'Plan CP'!$P:$P,'PR Grupo'!AM$3,'Plan CP'!$M:$M,1)=1,1,IF(IFERROR(VLOOKUP('PR Grupo'!AM$3&amp;'PR Grupo'!$G51,'Plan CP'!$K:$P,3,FALSE)&gt;1,0),IFERROR(VLOOKUP('PR Grupo'!AM$3&amp;'PR Grupo'!$G51,'Plan CP'!$K:$P,3,FALSE),0),0)))</f>
        <v>0</v>
      </c>
      <c r="AN51" s="58">
        <f>IF(AM51&gt;1,AM51-1,IF(COUNTIFS('Plan CP'!$O:$O,'PR Grupo'!$G51,'Plan CP'!$P:$P,'PR Grupo'!AN$3,'Plan CP'!$M:$M,1)=1,1,IF(IFERROR(VLOOKUP('PR Grupo'!AN$3&amp;'PR Grupo'!$G51,'Plan CP'!$K:$P,3,FALSE)&gt;1,0),IFERROR(VLOOKUP('PR Grupo'!AN$3&amp;'PR Grupo'!$G51,'Plan CP'!$K:$P,3,FALSE),0),0)))</f>
        <v>0</v>
      </c>
      <c r="AO51" s="58">
        <f>IF(AN51&gt;1,AN51-1,IF(COUNTIFS('Plan CP'!$O:$O,'PR Grupo'!$G51,'Plan CP'!$P:$P,'PR Grupo'!AO$3,'Plan CP'!$M:$M,1)=1,1,IF(IFERROR(VLOOKUP('PR Grupo'!AO$3&amp;'PR Grupo'!$G51,'Plan CP'!$K:$P,3,FALSE)&gt;1,0),IFERROR(VLOOKUP('PR Grupo'!AO$3&amp;'PR Grupo'!$G51,'Plan CP'!$K:$P,3,FALSE),0),0)))</f>
        <v>0</v>
      </c>
    </row>
    <row r="52" spans="1:41">
      <c r="A52" s="21" t="s">
        <v>33</v>
      </c>
      <c r="B52" s="21" t="s">
        <v>42</v>
      </c>
      <c r="C52" s="21" t="s">
        <v>244</v>
      </c>
      <c r="D52" s="21" t="s">
        <v>274</v>
      </c>
      <c r="E52" s="24" t="s">
        <v>174</v>
      </c>
      <c r="F52" s="21" t="s">
        <v>274</v>
      </c>
      <c r="G52" s="33" t="s">
        <v>192</v>
      </c>
      <c r="H52" s="24">
        <v>25</v>
      </c>
      <c r="I52" s="33">
        <f t="shared" si="2"/>
        <v>19</v>
      </c>
      <c r="J52" s="33" t="str">
        <f t="shared" si="3"/>
        <v>NO OK</v>
      </c>
      <c r="K52" s="58">
        <f>IF(COUNTIFS('Plan CP'!$O:$O,'PR Grupo'!$G52,'Plan CP'!$P:$P,'PR Grupo'!K$3,'Plan CP'!$M:$M,1)=1,1,IF(IFERROR(VLOOKUP('PR Grupo'!K$3&amp;'PR Grupo'!$G52,'Plan CP'!$K:$P,3,FALSE)&gt;1,0),IFERROR(VLOOKUP('PR Grupo'!K$3&amp;'PR Grupo'!$G52,'Plan CP'!$K:$P,3,FALSE),0),0))</f>
        <v>0</v>
      </c>
      <c r="L52" s="58">
        <f>IF(K52&gt;1,K52-1,IF(COUNTIFS('Plan CP'!$O:$O,'PR Grupo'!$G52,'Plan CP'!$P:$P,'PR Grupo'!L$3,'Plan CP'!$M:$M,1)=1,1,IF(IFERROR(VLOOKUP('PR Grupo'!L$3&amp;'PR Grupo'!$G52,'Plan CP'!$K:$P,3,FALSE)&gt;1,0),IFERROR(VLOOKUP('PR Grupo'!L$3&amp;'PR Grupo'!$G52,'Plan CP'!$K:$P,3,FALSE),0),0)))</f>
        <v>0</v>
      </c>
      <c r="M52" s="58">
        <f>IF(L52&gt;1,L52-1,IF(COUNTIFS('Plan CP'!$O:$O,'PR Grupo'!$G52,'Plan CP'!$P:$P,'PR Grupo'!M$3,'Plan CP'!$M:$M,1)=1,1,IF(IFERROR(VLOOKUP('PR Grupo'!M$3&amp;'PR Grupo'!$G52,'Plan CP'!$K:$P,3,FALSE)&gt;1,0),IFERROR(VLOOKUP('PR Grupo'!M$3&amp;'PR Grupo'!$G52,'Plan CP'!$K:$P,3,FALSE),0),0)))</f>
        <v>1</v>
      </c>
      <c r="N52" s="58">
        <f>IF(M52&gt;1,M52-1,IF(COUNTIFS('Plan CP'!$O:$O,'PR Grupo'!$G52,'Plan CP'!$P:$P,'PR Grupo'!N$3,'Plan CP'!$M:$M,1)=1,1,IF(IFERROR(VLOOKUP('PR Grupo'!N$3&amp;'PR Grupo'!$G52,'Plan CP'!$K:$P,3,FALSE)&gt;1,0),IFERROR(VLOOKUP('PR Grupo'!N$3&amp;'PR Grupo'!$G52,'Plan CP'!$K:$P,3,FALSE),0),0)))</f>
        <v>0</v>
      </c>
      <c r="O52" s="58">
        <f>IF(N52&gt;1,N52-1,IF(COUNTIFS('Plan CP'!$O:$O,'PR Grupo'!$G52,'Plan CP'!$P:$P,'PR Grupo'!O$3,'Plan CP'!$M:$M,1)=1,1,IF(IFERROR(VLOOKUP('PR Grupo'!O$3&amp;'PR Grupo'!$G52,'Plan CP'!$K:$P,3,FALSE)&gt;1,0),IFERROR(VLOOKUP('PR Grupo'!O$3&amp;'PR Grupo'!$G52,'Plan CP'!$K:$P,3,FALSE),0),0)))</f>
        <v>0</v>
      </c>
      <c r="P52" s="58">
        <f>IF(O52&gt;1,O52-1,IF(COUNTIFS('Plan CP'!$O:$O,'PR Grupo'!$G52,'Plan CP'!$P:$P,'PR Grupo'!P$3,'Plan CP'!$M:$M,1)=1,1,IF(IFERROR(VLOOKUP('PR Grupo'!P$3&amp;'PR Grupo'!$G52,'Plan CP'!$K:$P,3,FALSE)&gt;1,0),IFERROR(VLOOKUP('PR Grupo'!P$3&amp;'PR Grupo'!$G52,'Plan CP'!$K:$P,3,FALSE),0),0)))</f>
        <v>0</v>
      </c>
      <c r="Q52" s="58">
        <f>IF(P52&gt;1,P52-1,IF(COUNTIFS('Plan CP'!$O:$O,'PR Grupo'!$G52,'Plan CP'!$P:$P,'PR Grupo'!Q$3,'Plan CP'!$M:$M,1)=1,1,IF(IFERROR(VLOOKUP('PR Grupo'!Q$3&amp;'PR Grupo'!$G52,'Plan CP'!$K:$P,3,FALSE)&gt;1,0),IFERROR(VLOOKUP('PR Grupo'!Q$3&amp;'PR Grupo'!$G52,'Plan CP'!$K:$P,3,FALSE),0),0)))</f>
        <v>0</v>
      </c>
      <c r="R52" s="58">
        <f>IF(Q52&gt;1,Q52-1,IF(COUNTIFS('Plan CP'!$O:$O,'PR Grupo'!$G52,'Plan CP'!$P:$P,'PR Grupo'!R$3,'Plan CP'!$M:$M,1)=1,1,IF(IFERROR(VLOOKUP('PR Grupo'!R$3&amp;'PR Grupo'!$G52,'Plan CP'!$K:$P,3,FALSE)&gt;1,0),IFERROR(VLOOKUP('PR Grupo'!R$3&amp;'PR Grupo'!$G52,'Plan CP'!$K:$P,3,FALSE),0),0)))</f>
        <v>1</v>
      </c>
      <c r="S52" s="58">
        <f>IF(R52&gt;1,R52-1,IF(COUNTIFS('Plan CP'!$O:$O,'PR Grupo'!$G52,'Plan CP'!$P:$P,'PR Grupo'!S$3,'Plan CP'!$M:$M,1)=1,1,IF(IFERROR(VLOOKUP('PR Grupo'!S$3&amp;'PR Grupo'!$G52,'Plan CP'!$K:$P,3,FALSE)&gt;1,0),IFERROR(VLOOKUP('PR Grupo'!S$3&amp;'PR Grupo'!$G52,'Plan CP'!$K:$P,3,FALSE),0),0)))</f>
        <v>1</v>
      </c>
      <c r="T52" s="58">
        <f>IF(S52&gt;1,S52-1,IF(COUNTIFS('Plan CP'!$O:$O,'PR Grupo'!$G52,'Plan CP'!$P:$P,'PR Grupo'!T$3,'Plan CP'!$M:$M,1)=1,1,IF(IFERROR(VLOOKUP('PR Grupo'!T$3&amp;'PR Grupo'!$G52,'Plan CP'!$K:$P,3,FALSE)&gt;1,0),IFERROR(VLOOKUP('PR Grupo'!T$3&amp;'PR Grupo'!$G52,'Plan CP'!$K:$P,3,FALSE),0),0)))</f>
        <v>1</v>
      </c>
      <c r="U52" s="58">
        <f>IF(T52&gt;1,T52-1,IF(COUNTIFS('Plan CP'!$O:$O,'PR Grupo'!$G52,'Plan CP'!$P:$P,'PR Grupo'!U$3,'Plan CP'!$M:$M,1)=1,1,IF(IFERROR(VLOOKUP('PR Grupo'!U$3&amp;'PR Grupo'!$G52,'Plan CP'!$K:$P,3,FALSE)&gt;1,0),IFERROR(VLOOKUP('PR Grupo'!U$3&amp;'PR Grupo'!$G52,'Plan CP'!$K:$P,3,FALSE),0),0)))</f>
        <v>1</v>
      </c>
      <c r="V52" s="58">
        <f>IF(U52&gt;1,U52-1,IF(COUNTIFS('Plan CP'!$O:$O,'PR Grupo'!$G52,'Plan CP'!$P:$P,'PR Grupo'!V$3,'Plan CP'!$M:$M,1)=1,1,IF(IFERROR(VLOOKUP('PR Grupo'!V$3&amp;'PR Grupo'!$G52,'Plan CP'!$K:$P,3,FALSE)&gt;1,0),IFERROR(VLOOKUP('PR Grupo'!V$3&amp;'PR Grupo'!$G52,'Plan CP'!$K:$P,3,FALSE),0),0)))</f>
        <v>1</v>
      </c>
      <c r="W52" s="58">
        <f>IF(V52&gt;1,V52-1,IF(COUNTIFS('Plan CP'!$O:$O,'PR Grupo'!$G52,'Plan CP'!$P:$P,'PR Grupo'!W$3,'Plan CP'!$M:$M,1)=1,1,IF(IFERROR(VLOOKUP('PR Grupo'!W$3&amp;'PR Grupo'!$G52,'Plan CP'!$K:$P,3,FALSE)&gt;1,0),IFERROR(VLOOKUP('PR Grupo'!W$3&amp;'PR Grupo'!$G52,'Plan CP'!$K:$P,3,FALSE),0),0)))</f>
        <v>1</v>
      </c>
      <c r="X52" s="58">
        <f>IF(W52&gt;1,W52-1,IF(COUNTIFS('Plan CP'!$O:$O,'PR Grupo'!$G52,'Plan CP'!$P:$P,'PR Grupo'!X$3,'Plan CP'!$M:$M,1)=1,1,IF(IFERROR(VLOOKUP('PR Grupo'!X$3&amp;'PR Grupo'!$G52,'Plan CP'!$K:$P,3,FALSE)&gt;1,0),IFERROR(VLOOKUP('PR Grupo'!X$3&amp;'PR Grupo'!$G52,'Plan CP'!$K:$P,3,FALSE),0),0)))</f>
        <v>1</v>
      </c>
      <c r="Y52" s="58">
        <f>IF(X52&gt;1,X52-1,IF(COUNTIFS('Plan CP'!$O:$O,'PR Grupo'!$G52,'Plan CP'!$P:$P,'PR Grupo'!Y$3,'Plan CP'!$M:$M,1)=1,1,IF(IFERROR(VLOOKUP('PR Grupo'!Y$3&amp;'PR Grupo'!$G52,'Plan CP'!$K:$P,3,FALSE)&gt;1,0),IFERROR(VLOOKUP('PR Grupo'!Y$3&amp;'PR Grupo'!$G52,'Plan CP'!$K:$P,3,FALSE),0),0)))</f>
        <v>1</v>
      </c>
      <c r="Z52" s="58">
        <f>IF(Y52&gt;1,Y52-1,IF(COUNTIFS('Plan CP'!$O:$O,'PR Grupo'!$G52,'Plan CP'!$P:$P,'PR Grupo'!Z$3,'Plan CP'!$M:$M,1)=1,1,IF(IFERROR(VLOOKUP('PR Grupo'!Z$3&amp;'PR Grupo'!$G52,'Plan CP'!$K:$P,3,FALSE)&gt;1,0),IFERROR(VLOOKUP('PR Grupo'!Z$3&amp;'PR Grupo'!$G52,'Plan CP'!$K:$P,3,FALSE),0),0)))</f>
        <v>1</v>
      </c>
      <c r="AA52" s="58">
        <f>IF(Z52&gt;1,Z52-1,IF(COUNTIFS('Plan CP'!$O:$O,'PR Grupo'!$G52,'Plan CP'!$P:$P,'PR Grupo'!AA$3,'Plan CP'!$M:$M,1)=1,1,IF(IFERROR(VLOOKUP('PR Grupo'!AA$3&amp;'PR Grupo'!$G52,'Plan CP'!$K:$P,3,FALSE)&gt;1,0),IFERROR(VLOOKUP('PR Grupo'!AA$3&amp;'PR Grupo'!$G52,'Plan CP'!$K:$P,3,FALSE),0),0)))</f>
        <v>1</v>
      </c>
      <c r="AB52" s="58">
        <f>IF(AA52&gt;1,AA52-1,IF(COUNTIFS('Plan CP'!$O:$O,'PR Grupo'!$G52,'Plan CP'!$P:$P,'PR Grupo'!AB$3,'Plan CP'!$M:$M,1)=1,1,IF(IFERROR(VLOOKUP('PR Grupo'!AB$3&amp;'PR Grupo'!$G52,'Plan CP'!$K:$P,3,FALSE)&gt;1,0),IFERROR(VLOOKUP('PR Grupo'!AB$3&amp;'PR Grupo'!$G52,'Plan CP'!$K:$P,3,FALSE),0),0)))</f>
        <v>1</v>
      </c>
      <c r="AC52" s="58">
        <f>IF(AB52&gt;1,AB52-1,IF(COUNTIFS('Plan CP'!$O:$O,'PR Grupo'!$G52,'Plan CP'!$P:$P,'PR Grupo'!AC$3,'Plan CP'!$M:$M,1)=1,1,IF(IFERROR(VLOOKUP('PR Grupo'!AC$3&amp;'PR Grupo'!$G52,'Plan CP'!$K:$P,3,FALSE)&gt;1,0),IFERROR(VLOOKUP('PR Grupo'!AC$3&amp;'PR Grupo'!$G52,'Plan CP'!$K:$P,3,FALSE),0),0)))</f>
        <v>1</v>
      </c>
      <c r="AD52" s="58">
        <f>IF(AC52&gt;1,AC52-1,IF(COUNTIFS('Plan CP'!$O:$O,'PR Grupo'!$G52,'Plan CP'!$P:$P,'PR Grupo'!AD$3,'Plan CP'!$M:$M,1)=1,1,IF(IFERROR(VLOOKUP('PR Grupo'!AD$3&amp;'PR Grupo'!$G52,'Plan CP'!$K:$P,3,FALSE)&gt;1,0),IFERROR(VLOOKUP('PR Grupo'!AD$3&amp;'PR Grupo'!$G52,'Plan CP'!$K:$P,3,FALSE),0),0)))</f>
        <v>1</v>
      </c>
      <c r="AE52" s="58">
        <f>IF(AD52&gt;1,AD52-1,IF(COUNTIFS('Plan CP'!$O:$O,'PR Grupo'!$G52,'Plan CP'!$P:$P,'PR Grupo'!AE$3,'Plan CP'!$M:$M,1)=1,1,IF(IFERROR(VLOOKUP('PR Grupo'!AE$3&amp;'PR Grupo'!$G52,'Plan CP'!$K:$P,3,FALSE)&gt;1,0),IFERROR(VLOOKUP('PR Grupo'!AE$3&amp;'PR Grupo'!$G52,'Plan CP'!$K:$P,3,FALSE),0),0)))</f>
        <v>1</v>
      </c>
      <c r="AF52" s="58">
        <f>IF(AE52&gt;1,AE52-1,IF(COUNTIFS('Plan CP'!$O:$O,'PR Grupo'!$G52,'Plan CP'!$P:$P,'PR Grupo'!AF$3,'Plan CP'!$M:$M,1)=1,1,IF(IFERROR(VLOOKUP('PR Grupo'!AF$3&amp;'PR Grupo'!$G52,'Plan CP'!$K:$P,3,FALSE)&gt;1,0),IFERROR(VLOOKUP('PR Grupo'!AF$3&amp;'PR Grupo'!$G52,'Plan CP'!$K:$P,3,FALSE),0),0)))</f>
        <v>1</v>
      </c>
      <c r="AG52" s="58">
        <f>IF(AF52&gt;1,AF52-1,IF(COUNTIFS('Plan CP'!$O:$O,'PR Grupo'!$G52,'Plan CP'!$P:$P,'PR Grupo'!AG$3,'Plan CP'!$M:$M,1)=1,1,IF(IFERROR(VLOOKUP('PR Grupo'!AG$3&amp;'PR Grupo'!$G52,'Plan CP'!$K:$P,3,FALSE)&gt;1,0),IFERROR(VLOOKUP('PR Grupo'!AG$3&amp;'PR Grupo'!$G52,'Plan CP'!$K:$P,3,FALSE),0),0)))</f>
        <v>1</v>
      </c>
      <c r="AH52" s="58">
        <f>IF(AG52&gt;1,AG52-1,IF(COUNTIFS('Plan CP'!$O:$O,'PR Grupo'!$G52,'Plan CP'!$P:$P,'PR Grupo'!AH$3,'Plan CP'!$M:$M,1)=1,1,IF(IFERROR(VLOOKUP('PR Grupo'!AH$3&amp;'PR Grupo'!$G52,'Plan CP'!$K:$P,3,FALSE)&gt;1,0),IFERROR(VLOOKUP('PR Grupo'!AH$3&amp;'PR Grupo'!$G52,'Plan CP'!$K:$P,3,FALSE),0),0)))</f>
        <v>1</v>
      </c>
      <c r="AI52" s="58">
        <f>IF(AH52&gt;1,AH52-1,IF(COUNTIFS('Plan CP'!$O:$O,'PR Grupo'!$G52,'Plan CP'!$P:$P,'PR Grupo'!AI$3,'Plan CP'!$M:$M,1)=1,1,IF(IFERROR(VLOOKUP('PR Grupo'!AI$3&amp;'PR Grupo'!$G52,'Plan CP'!$K:$P,3,FALSE)&gt;1,0),IFERROR(VLOOKUP('PR Grupo'!AI$3&amp;'PR Grupo'!$G52,'Plan CP'!$K:$P,3,FALSE),0),0)))</f>
        <v>1</v>
      </c>
      <c r="AJ52" s="58">
        <f>IF(AI52&gt;1,AI52-1,IF(COUNTIFS('Plan CP'!$O:$O,'PR Grupo'!$G52,'Plan CP'!$P:$P,'PR Grupo'!AJ$3,'Plan CP'!$M:$M,1)=1,1,IF(IFERROR(VLOOKUP('PR Grupo'!AJ$3&amp;'PR Grupo'!$G52,'Plan CP'!$K:$P,3,FALSE)&gt;1,0),IFERROR(VLOOKUP('PR Grupo'!AJ$3&amp;'PR Grupo'!$G52,'Plan CP'!$K:$P,3,FALSE),0),0)))</f>
        <v>0</v>
      </c>
      <c r="AK52" s="58">
        <f>IF(AJ52&gt;1,AJ52-1,IF(COUNTIFS('Plan CP'!$O:$O,'PR Grupo'!$G52,'Plan CP'!$P:$P,'PR Grupo'!AK$3,'Plan CP'!$M:$M,1)=1,1,IF(IFERROR(VLOOKUP('PR Grupo'!AK$3&amp;'PR Grupo'!$G52,'Plan CP'!$K:$P,3,FALSE)&gt;1,0),IFERROR(VLOOKUP('PR Grupo'!AK$3&amp;'PR Grupo'!$G52,'Plan CP'!$K:$P,3,FALSE),0),0)))</f>
        <v>0</v>
      </c>
      <c r="AL52" s="58">
        <f>IF(AK52&gt;1,AK52-1,IF(COUNTIFS('Plan CP'!$O:$O,'PR Grupo'!$G52,'Plan CP'!$P:$P,'PR Grupo'!AL$3,'Plan CP'!$M:$M,1)=1,1,IF(IFERROR(VLOOKUP('PR Grupo'!AL$3&amp;'PR Grupo'!$G52,'Plan CP'!$K:$P,3,FALSE)&gt;1,0),IFERROR(VLOOKUP('PR Grupo'!AL$3&amp;'PR Grupo'!$G52,'Plan CP'!$K:$P,3,FALSE),0),0)))</f>
        <v>0</v>
      </c>
      <c r="AM52" s="58">
        <f>IF(AL52&gt;1,AL52-1,IF(COUNTIFS('Plan CP'!$O:$O,'PR Grupo'!$G52,'Plan CP'!$P:$P,'PR Grupo'!AM$3,'Plan CP'!$M:$M,1)=1,1,IF(IFERROR(VLOOKUP('PR Grupo'!AM$3&amp;'PR Grupo'!$G52,'Plan CP'!$K:$P,3,FALSE)&gt;1,0),IFERROR(VLOOKUP('PR Grupo'!AM$3&amp;'PR Grupo'!$G52,'Plan CP'!$K:$P,3,FALSE),0),0)))</f>
        <v>0</v>
      </c>
      <c r="AN52" s="58">
        <f>IF(AM52&gt;1,AM52-1,IF(COUNTIFS('Plan CP'!$O:$O,'PR Grupo'!$G52,'Plan CP'!$P:$P,'PR Grupo'!AN$3,'Plan CP'!$M:$M,1)=1,1,IF(IFERROR(VLOOKUP('PR Grupo'!AN$3&amp;'PR Grupo'!$G52,'Plan CP'!$K:$P,3,FALSE)&gt;1,0),IFERROR(VLOOKUP('PR Grupo'!AN$3&amp;'PR Grupo'!$G52,'Plan CP'!$K:$P,3,FALSE),0),0)))</f>
        <v>0</v>
      </c>
      <c r="AO52" s="58">
        <f>IF(AN52&gt;1,AN52-1,IF(COUNTIFS('Plan CP'!$O:$O,'PR Grupo'!$G52,'Plan CP'!$P:$P,'PR Grupo'!AO$3,'Plan CP'!$M:$M,1)=1,1,IF(IFERROR(VLOOKUP('PR Grupo'!AO$3&amp;'PR Grupo'!$G52,'Plan CP'!$K:$P,3,FALSE)&gt;1,0),IFERROR(VLOOKUP('PR Grupo'!AO$3&amp;'PR Grupo'!$G52,'Plan CP'!$K:$P,3,FALSE),0),0)))</f>
        <v>0</v>
      </c>
    </row>
    <row r="53" spans="1:41">
      <c r="A53" s="21" t="s">
        <v>33</v>
      </c>
      <c r="B53" s="21" t="s">
        <v>37</v>
      </c>
      <c r="C53" s="21" t="s">
        <v>245</v>
      </c>
      <c r="D53" s="21" t="s">
        <v>269</v>
      </c>
      <c r="E53" s="24" t="s">
        <v>174</v>
      </c>
      <c r="F53" s="21" t="s">
        <v>269</v>
      </c>
      <c r="G53" s="33" t="s">
        <v>193</v>
      </c>
      <c r="H53" s="24">
        <v>25</v>
      </c>
      <c r="I53" s="33">
        <f t="shared" si="2"/>
        <v>25</v>
      </c>
      <c r="J53" s="33" t="str">
        <f t="shared" si="3"/>
        <v>OK</v>
      </c>
      <c r="K53" s="58">
        <f>IF(COUNTIFS('Plan CP'!$O:$O,'PR Grupo'!$G53,'Plan CP'!$P:$P,'PR Grupo'!K$3,'Plan CP'!$M:$M,1)=1,1,IF(IFERROR(VLOOKUP('PR Grupo'!K$3&amp;'PR Grupo'!$G53,'Plan CP'!$K:$P,3,FALSE)&gt;1,0),IFERROR(VLOOKUP('PR Grupo'!K$3&amp;'PR Grupo'!$G53,'Plan CP'!$K:$P,3,FALSE),0),0))</f>
        <v>1</v>
      </c>
      <c r="L53" s="58">
        <f>IF(K53&gt;1,K53-1,IF(COUNTIFS('Plan CP'!$O:$O,'PR Grupo'!$G53,'Plan CP'!$P:$P,'PR Grupo'!L$3,'Plan CP'!$M:$M,1)=1,1,IF(IFERROR(VLOOKUP('PR Grupo'!L$3&amp;'PR Grupo'!$G53,'Plan CP'!$K:$P,3,FALSE)&gt;1,0),IFERROR(VLOOKUP('PR Grupo'!L$3&amp;'PR Grupo'!$G53,'Plan CP'!$K:$P,3,FALSE),0),0)))</f>
        <v>1</v>
      </c>
      <c r="M53" s="58">
        <f>IF(L53&gt;1,L53-1,IF(COUNTIFS('Plan CP'!$O:$O,'PR Grupo'!$G53,'Plan CP'!$P:$P,'PR Grupo'!M$3,'Plan CP'!$M:$M,1)=1,1,IF(IFERROR(VLOOKUP('PR Grupo'!M$3&amp;'PR Grupo'!$G53,'Plan CP'!$K:$P,3,FALSE)&gt;1,0),IFERROR(VLOOKUP('PR Grupo'!M$3&amp;'PR Grupo'!$G53,'Plan CP'!$K:$P,3,FALSE),0),0)))</f>
        <v>1</v>
      </c>
      <c r="N53" s="58">
        <f>IF(M53&gt;1,M53-1,IF(COUNTIFS('Plan CP'!$O:$O,'PR Grupo'!$G53,'Plan CP'!$P:$P,'PR Grupo'!N$3,'Plan CP'!$M:$M,1)=1,1,IF(IFERROR(VLOOKUP('PR Grupo'!N$3&amp;'PR Grupo'!$G53,'Plan CP'!$K:$P,3,FALSE)&gt;1,0),IFERROR(VLOOKUP('PR Grupo'!N$3&amp;'PR Grupo'!$G53,'Plan CP'!$K:$P,3,FALSE),0),0)))</f>
        <v>1</v>
      </c>
      <c r="O53" s="58">
        <f>IF(N53&gt;1,N53-1,IF(COUNTIFS('Plan CP'!$O:$O,'PR Grupo'!$G53,'Plan CP'!$P:$P,'PR Grupo'!O$3,'Plan CP'!$M:$M,1)=1,1,IF(IFERROR(VLOOKUP('PR Grupo'!O$3&amp;'PR Grupo'!$G53,'Plan CP'!$K:$P,3,FALSE)&gt;1,0),IFERROR(VLOOKUP('PR Grupo'!O$3&amp;'PR Grupo'!$G53,'Plan CP'!$K:$P,3,FALSE),0),0)))</f>
        <v>1</v>
      </c>
      <c r="P53" s="58">
        <f>IF(O53&gt;1,O53-1,IF(COUNTIFS('Plan CP'!$O:$O,'PR Grupo'!$G53,'Plan CP'!$P:$P,'PR Grupo'!P$3,'Plan CP'!$M:$M,1)=1,1,IF(IFERROR(VLOOKUP('PR Grupo'!P$3&amp;'PR Grupo'!$G53,'Plan CP'!$K:$P,3,FALSE)&gt;1,0),IFERROR(VLOOKUP('PR Grupo'!P$3&amp;'PR Grupo'!$G53,'Plan CP'!$K:$P,3,FALSE),0),0)))</f>
        <v>1</v>
      </c>
      <c r="Q53" s="58">
        <f>IF(P53&gt;1,P53-1,IF(COUNTIFS('Plan CP'!$O:$O,'PR Grupo'!$G53,'Plan CP'!$P:$P,'PR Grupo'!Q$3,'Plan CP'!$M:$M,1)=1,1,IF(IFERROR(VLOOKUP('PR Grupo'!Q$3&amp;'PR Grupo'!$G53,'Plan CP'!$K:$P,3,FALSE)&gt;1,0),IFERROR(VLOOKUP('PR Grupo'!Q$3&amp;'PR Grupo'!$G53,'Plan CP'!$K:$P,3,FALSE),0),0)))</f>
        <v>1</v>
      </c>
      <c r="R53" s="58">
        <f>IF(Q53&gt;1,Q53-1,IF(COUNTIFS('Plan CP'!$O:$O,'PR Grupo'!$G53,'Plan CP'!$P:$P,'PR Grupo'!R$3,'Plan CP'!$M:$M,1)=1,1,IF(IFERROR(VLOOKUP('PR Grupo'!R$3&amp;'PR Grupo'!$G53,'Plan CP'!$K:$P,3,FALSE)&gt;1,0),IFERROR(VLOOKUP('PR Grupo'!R$3&amp;'PR Grupo'!$G53,'Plan CP'!$K:$P,3,FALSE),0),0)))</f>
        <v>1</v>
      </c>
      <c r="S53" s="58">
        <f>IF(R53&gt;1,R53-1,IF(COUNTIFS('Plan CP'!$O:$O,'PR Grupo'!$G53,'Plan CP'!$P:$P,'PR Grupo'!S$3,'Plan CP'!$M:$M,1)=1,1,IF(IFERROR(VLOOKUP('PR Grupo'!S$3&amp;'PR Grupo'!$G53,'Plan CP'!$K:$P,3,FALSE)&gt;1,0),IFERROR(VLOOKUP('PR Grupo'!S$3&amp;'PR Grupo'!$G53,'Plan CP'!$K:$P,3,FALSE),0),0)))</f>
        <v>1</v>
      </c>
      <c r="T53" s="58">
        <f>IF(S53&gt;1,S53-1,IF(COUNTIFS('Plan CP'!$O:$O,'PR Grupo'!$G53,'Plan CP'!$P:$P,'PR Grupo'!T$3,'Plan CP'!$M:$M,1)=1,1,IF(IFERROR(VLOOKUP('PR Grupo'!T$3&amp;'PR Grupo'!$G53,'Plan CP'!$K:$P,3,FALSE)&gt;1,0),IFERROR(VLOOKUP('PR Grupo'!T$3&amp;'PR Grupo'!$G53,'Plan CP'!$K:$P,3,FALSE),0),0)))</f>
        <v>1</v>
      </c>
      <c r="U53" s="58">
        <f>IF(T53&gt;1,T53-1,IF(COUNTIFS('Plan CP'!$O:$O,'PR Grupo'!$G53,'Plan CP'!$P:$P,'PR Grupo'!U$3,'Plan CP'!$M:$M,1)=1,1,IF(IFERROR(VLOOKUP('PR Grupo'!U$3&amp;'PR Grupo'!$G53,'Plan CP'!$K:$P,3,FALSE)&gt;1,0),IFERROR(VLOOKUP('PR Grupo'!U$3&amp;'PR Grupo'!$G53,'Plan CP'!$K:$P,3,FALSE),0),0)))</f>
        <v>1</v>
      </c>
      <c r="V53" s="58">
        <f>IF(U53&gt;1,U53-1,IF(COUNTIFS('Plan CP'!$O:$O,'PR Grupo'!$G53,'Plan CP'!$P:$P,'PR Grupo'!V$3,'Plan CP'!$M:$M,1)=1,1,IF(IFERROR(VLOOKUP('PR Grupo'!V$3&amp;'PR Grupo'!$G53,'Plan CP'!$K:$P,3,FALSE)&gt;1,0),IFERROR(VLOOKUP('PR Grupo'!V$3&amp;'PR Grupo'!$G53,'Plan CP'!$K:$P,3,FALSE),0),0)))</f>
        <v>1</v>
      </c>
      <c r="W53" s="58">
        <f>IF(V53&gt;1,V53-1,IF(COUNTIFS('Plan CP'!$O:$O,'PR Grupo'!$G53,'Plan CP'!$P:$P,'PR Grupo'!W$3,'Plan CP'!$M:$M,1)=1,1,IF(IFERROR(VLOOKUP('PR Grupo'!W$3&amp;'PR Grupo'!$G53,'Plan CP'!$K:$P,3,FALSE)&gt;1,0),IFERROR(VLOOKUP('PR Grupo'!W$3&amp;'PR Grupo'!$G53,'Plan CP'!$K:$P,3,FALSE),0),0)))</f>
        <v>1</v>
      </c>
      <c r="X53" s="58">
        <f>IF(W53&gt;1,W53-1,IF(COUNTIFS('Plan CP'!$O:$O,'PR Grupo'!$G53,'Plan CP'!$P:$P,'PR Grupo'!X$3,'Plan CP'!$M:$M,1)=1,1,IF(IFERROR(VLOOKUP('PR Grupo'!X$3&amp;'PR Grupo'!$G53,'Plan CP'!$K:$P,3,FALSE)&gt;1,0),IFERROR(VLOOKUP('PR Grupo'!X$3&amp;'PR Grupo'!$G53,'Plan CP'!$K:$P,3,FALSE),0),0)))</f>
        <v>1</v>
      </c>
      <c r="Y53" s="58">
        <f>IF(X53&gt;1,X53-1,IF(COUNTIFS('Plan CP'!$O:$O,'PR Grupo'!$G53,'Plan CP'!$P:$P,'PR Grupo'!Y$3,'Plan CP'!$M:$M,1)=1,1,IF(IFERROR(VLOOKUP('PR Grupo'!Y$3&amp;'PR Grupo'!$G53,'Plan CP'!$K:$P,3,FALSE)&gt;1,0),IFERROR(VLOOKUP('PR Grupo'!Y$3&amp;'PR Grupo'!$G53,'Plan CP'!$K:$P,3,FALSE),0),0)))</f>
        <v>1</v>
      </c>
      <c r="Z53" s="58">
        <f>IF(Y53&gt;1,Y53-1,IF(COUNTIFS('Plan CP'!$O:$O,'PR Grupo'!$G53,'Plan CP'!$P:$P,'PR Grupo'!Z$3,'Plan CP'!$M:$M,1)=1,1,IF(IFERROR(VLOOKUP('PR Grupo'!Z$3&amp;'PR Grupo'!$G53,'Plan CP'!$K:$P,3,FALSE)&gt;1,0),IFERROR(VLOOKUP('PR Grupo'!Z$3&amp;'PR Grupo'!$G53,'Plan CP'!$K:$P,3,FALSE),0),0)))</f>
        <v>1</v>
      </c>
      <c r="AA53" s="58">
        <f>IF(Z53&gt;1,Z53-1,IF(COUNTIFS('Plan CP'!$O:$O,'PR Grupo'!$G53,'Plan CP'!$P:$P,'PR Grupo'!AA$3,'Plan CP'!$M:$M,1)=1,1,IF(IFERROR(VLOOKUP('PR Grupo'!AA$3&amp;'PR Grupo'!$G53,'Plan CP'!$K:$P,3,FALSE)&gt;1,0),IFERROR(VLOOKUP('PR Grupo'!AA$3&amp;'PR Grupo'!$G53,'Plan CP'!$K:$P,3,FALSE),0),0)))</f>
        <v>1</v>
      </c>
      <c r="AB53" s="58">
        <f>IF(AA53&gt;1,AA53-1,IF(COUNTIFS('Plan CP'!$O:$O,'PR Grupo'!$G53,'Plan CP'!$P:$P,'PR Grupo'!AB$3,'Plan CP'!$M:$M,1)=1,1,IF(IFERROR(VLOOKUP('PR Grupo'!AB$3&amp;'PR Grupo'!$G53,'Plan CP'!$K:$P,3,FALSE)&gt;1,0),IFERROR(VLOOKUP('PR Grupo'!AB$3&amp;'PR Grupo'!$G53,'Plan CP'!$K:$P,3,FALSE),0),0)))</f>
        <v>1</v>
      </c>
      <c r="AC53" s="58">
        <f>IF(AB53&gt;1,AB53-1,IF(COUNTIFS('Plan CP'!$O:$O,'PR Grupo'!$G53,'Plan CP'!$P:$P,'PR Grupo'!AC$3,'Plan CP'!$M:$M,1)=1,1,IF(IFERROR(VLOOKUP('PR Grupo'!AC$3&amp;'PR Grupo'!$G53,'Plan CP'!$K:$P,3,FALSE)&gt;1,0),IFERROR(VLOOKUP('PR Grupo'!AC$3&amp;'PR Grupo'!$G53,'Plan CP'!$K:$P,3,FALSE),0),0)))</f>
        <v>1</v>
      </c>
      <c r="AD53" s="58">
        <f>IF(AC53&gt;1,AC53-1,IF(COUNTIFS('Plan CP'!$O:$O,'PR Grupo'!$G53,'Plan CP'!$P:$P,'PR Grupo'!AD$3,'Plan CP'!$M:$M,1)=1,1,IF(IFERROR(VLOOKUP('PR Grupo'!AD$3&amp;'PR Grupo'!$G53,'Plan CP'!$K:$P,3,FALSE)&gt;1,0),IFERROR(VLOOKUP('PR Grupo'!AD$3&amp;'PR Grupo'!$G53,'Plan CP'!$K:$P,3,FALSE),0),0)))</f>
        <v>0</v>
      </c>
      <c r="AE53" s="58">
        <f>IF(AD53&gt;1,AD53-1,IF(COUNTIFS('Plan CP'!$O:$O,'PR Grupo'!$G53,'Plan CP'!$P:$P,'PR Grupo'!AE$3,'Plan CP'!$M:$M,1)=1,1,IF(IFERROR(VLOOKUP('PR Grupo'!AE$3&amp;'PR Grupo'!$G53,'Plan CP'!$K:$P,3,FALSE)&gt;1,0),IFERROR(VLOOKUP('PR Grupo'!AE$3&amp;'PR Grupo'!$G53,'Plan CP'!$K:$P,3,FALSE),0),0)))</f>
        <v>0</v>
      </c>
      <c r="AF53" s="58">
        <f>IF(AE53&gt;1,AE53-1,IF(COUNTIFS('Plan CP'!$O:$O,'PR Grupo'!$G53,'Plan CP'!$P:$P,'PR Grupo'!AF$3,'Plan CP'!$M:$M,1)=1,1,IF(IFERROR(VLOOKUP('PR Grupo'!AF$3&amp;'PR Grupo'!$G53,'Plan CP'!$K:$P,3,FALSE)&gt;1,0),IFERROR(VLOOKUP('PR Grupo'!AF$3&amp;'PR Grupo'!$G53,'Plan CP'!$K:$P,3,FALSE),0),0)))</f>
        <v>0</v>
      </c>
      <c r="AG53" s="58">
        <f>IF(AF53&gt;1,AF53-1,IF(COUNTIFS('Plan CP'!$O:$O,'PR Grupo'!$G53,'Plan CP'!$P:$P,'PR Grupo'!AG$3,'Plan CP'!$M:$M,1)=1,1,IF(IFERROR(VLOOKUP('PR Grupo'!AG$3&amp;'PR Grupo'!$G53,'Plan CP'!$K:$P,3,FALSE)&gt;1,0),IFERROR(VLOOKUP('PR Grupo'!AG$3&amp;'PR Grupo'!$G53,'Plan CP'!$K:$P,3,FALSE),0),0)))</f>
        <v>0</v>
      </c>
      <c r="AH53" s="58">
        <f>IF(AG53&gt;1,AG53-1,IF(COUNTIFS('Plan CP'!$O:$O,'PR Grupo'!$G53,'Plan CP'!$P:$P,'PR Grupo'!AH$3,'Plan CP'!$M:$M,1)=1,1,IF(IFERROR(VLOOKUP('PR Grupo'!AH$3&amp;'PR Grupo'!$G53,'Plan CP'!$K:$P,3,FALSE)&gt;1,0),IFERROR(VLOOKUP('PR Grupo'!AH$3&amp;'PR Grupo'!$G53,'Plan CP'!$K:$P,3,FALSE),0),0)))</f>
        <v>0</v>
      </c>
      <c r="AI53" s="58">
        <f>IF(AH53&gt;1,AH53-1,IF(COUNTIFS('Plan CP'!$O:$O,'PR Grupo'!$G53,'Plan CP'!$P:$P,'PR Grupo'!AI$3,'Plan CP'!$M:$M,1)=1,1,IF(IFERROR(VLOOKUP('PR Grupo'!AI$3&amp;'PR Grupo'!$G53,'Plan CP'!$K:$P,3,FALSE)&gt;1,0),IFERROR(VLOOKUP('PR Grupo'!AI$3&amp;'PR Grupo'!$G53,'Plan CP'!$K:$P,3,FALSE),0),0)))</f>
        <v>0</v>
      </c>
      <c r="AJ53" s="58">
        <f>IF(AI53&gt;1,AI53-1,IF(COUNTIFS('Plan CP'!$O:$O,'PR Grupo'!$G53,'Plan CP'!$P:$P,'PR Grupo'!AJ$3,'Plan CP'!$M:$M,1)=1,1,IF(IFERROR(VLOOKUP('PR Grupo'!AJ$3&amp;'PR Grupo'!$G53,'Plan CP'!$K:$P,3,FALSE)&gt;1,0),IFERROR(VLOOKUP('PR Grupo'!AJ$3&amp;'PR Grupo'!$G53,'Plan CP'!$K:$P,3,FALSE),0),0)))</f>
        <v>1</v>
      </c>
      <c r="AK53" s="58">
        <f>IF(AJ53&gt;1,AJ53-1,IF(COUNTIFS('Plan CP'!$O:$O,'PR Grupo'!$G53,'Plan CP'!$P:$P,'PR Grupo'!AK$3,'Plan CP'!$M:$M,1)=1,1,IF(IFERROR(VLOOKUP('PR Grupo'!AK$3&amp;'PR Grupo'!$G53,'Plan CP'!$K:$P,3,FALSE)&gt;1,0),IFERROR(VLOOKUP('PR Grupo'!AK$3&amp;'PR Grupo'!$G53,'Plan CP'!$K:$P,3,FALSE),0),0)))</f>
        <v>1</v>
      </c>
      <c r="AL53" s="58">
        <f>IF(AK53&gt;1,AK53-1,IF(COUNTIFS('Plan CP'!$O:$O,'PR Grupo'!$G53,'Plan CP'!$P:$P,'PR Grupo'!AL$3,'Plan CP'!$M:$M,1)=1,1,IF(IFERROR(VLOOKUP('PR Grupo'!AL$3&amp;'PR Grupo'!$G53,'Plan CP'!$K:$P,3,FALSE)&gt;1,0),IFERROR(VLOOKUP('PR Grupo'!AL$3&amp;'PR Grupo'!$G53,'Plan CP'!$K:$P,3,FALSE),0),0)))</f>
        <v>1</v>
      </c>
      <c r="AM53" s="58">
        <f>IF(AL53&gt;1,AL53-1,IF(COUNTIFS('Plan CP'!$O:$O,'PR Grupo'!$G53,'Plan CP'!$P:$P,'PR Grupo'!AM$3,'Plan CP'!$M:$M,1)=1,1,IF(IFERROR(VLOOKUP('PR Grupo'!AM$3&amp;'PR Grupo'!$G53,'Plan CP'!$K:$P,3,FALSE)&gt;1,0),IFERROR(VLOOKUP('PR Grupo'!AM$3&amp;'PR Grupo'!$G53,'Plan CP'!$K:$P,3,FALSE),0),0)))</f>
        <v>1</v>
      </c>
      <c r="AN53" s="58">
        <f>IF(AM53&gt;1,AM53-1,IF(COUNTIFS('Plan CP'!$O:$O,'PR Grupo'!$G53,'Plan CP'!$P:$P,'PR Grupo'!AN$3,'Plan CP'!$M:$M,1)=1,1,IF(IFERROR(VLOOKUP('PR Grupo'!AN$3&amp;'PR Grupo'!$G53,'Plan CP'!$K:$P,3,FALSE)&gt;1,0),IFERROR(VLOOKUP('PR Grupo'!AN$3&amp;'PR Grupo'!$G53,'Plan CP'!$K:$P,3,FALSE),0),0)))</f>
        <v>1</v>
      </c>
      <c r="AO53" s="58">
        <f>IF(AN53&gt;1,AN53-1,IF(COUNTIFS('Plan CP'!$O:$O,'PR Grupo'!$G53,'Plan CP'!$P:$P,'PR Grupo'!AO$3,'Plan CP'!$M:$M,1)=1,1,IF(IFERROR(VLOOKUP('PR Grupo'!AO$3&amp;'PR Grupo'!$G53,'Plan CP'!$K:$P,3,FALSE)&gt;1,0),IFERROR(VLOOKUP('PR Grupo'!AO$3&amp;'PR Grupo'!$G53,'Plan CP'!$K:$P,3,FALSE),0),0)))</f>
        <v>1</v>
      </c>
    </row>
    <row r="54" spans="1:41">
      <c r="A54" s="21" t="s">
        <v>33</v>
      </c>
      <c r="B54" s="21" t="s">
        <v>44</v>
      </c>
      <c r="C54" s="21" t="s">
        <v>246</v>
      </c>
      <c r="D54" s="21" t="s">
        <v>266</v>
      </c>
      <c r="E54" s="24" t="s">
        <v>174</v>
      </c>
      <c r="F54" s="21" t="s">
        <v>266</v>
      </c>
      <c r="G54" s="33" t="s">
        <v>193</v>
      </c>
      <c r="H54" s="24">
        <v>25</v>
      </c>
      <c r="I54" s="33">
        <f t="shared" si="2"/>
        <v>25</v>
      </c>
      <c r="J54" s="33" t="str">
        <f t="shared" si="3"/>
        <v>OK</v>
      </c>
      <c r="K54" s="58">
        <f>IF(COUNTIFS('Plan CP'!$O:$O,'PR Grupo'!$G54,'Plan CP'!$P:$P,'PR Grupo'!K$3,'Plan CP'!$M:$M,1)=1,1,IF(IFERROR(VLOOKUP('PR Grupo'!K$3&amp;'PR Grupo'!$G54,'Plan CP'!$K:$P,3,FALSE)&gt;1,0),IFERROR(VLOOKUP('PR Grupo'!K$3&amp;'PR Grupo'!$G54,'Plan CP'!$K:$P,3,FALSE),0),0))</f>
        <v>1</v>
      </c>
      <c r="L54" s="58">
        <f>IF(K54&gt;1,K54-1,IF(COUNTIFS('Plan CP'!$O:$O,'PR Grupo'!$G54,'Plan CP'!$P:$P,'PR Grupo'!L$3,'Plan CP'!$M:$M,1)=1,1,IF(IFERROR(VLOOKUP('PR Grupo'!L$3&amp;'PR Grupo'!$G54,'Plan CP'!$K:$P,3,FALSE)&gt;1,0),IFERROR(VLOOKUP('PR Grupo'!L$3&amp;'PR Grupo'!$G54,'Plan CP'!$K:$P,3,FALSE),0),0)))</f>
        <v>1</v>
      </c>
      <c r="M54" s="58">
        <f>IF(L54&gt;1,L54-1,IF(COUNTIFS('Plan CP'!$O:$O,'PR Grupo'!$G54,'Plan CP'!$P:$P,'PR Grupo'!M$3,'Plan CP'!$M:$M,1)=1,1,IF(IFERROR(VLOOKUP('PR Grupo'!M$3&amp;'PR Grupo'!$G54,'Plan CP'!$K:$P,3,FALSE)&gt;1,0),IFERROR(VLOOKUP('PR Grupo'!M$3&amp;'PR Grupo'!$G54,'Plan CP'!$K:$P,3,FALSE),0),0)))</f>
        <v>1</v>
      </c>
      <c r="N54" s="58">
        <f>IF(M54&gt;1,M54-1,IF(COUNTIFS('Plan CP'!$O:$O,'PR Grupo'!$G54,'Plan CP'!$P:$P,'PR Grupo'!N$3,'Plan CP'!$M:$M,1)=1,1,IF(IFERROR(VLOOKUP('PR Grupo'!N$3&amp;'PR Grupo'!$G54,'Plan CP'!$K:$P,3,FALSE)&gt;1,0),IFERROR(VLOOKUP('PR Grupo'!N$3&amp;'PR Grupo'!$G54,'Plan CP'!$K:$P,3,FALSE),0),0)))</f>
        <v>1</v>
      </c>
      <c r="O54" s="58">
        <f>IF(N54&gt;1,N54-1,IF(COUNTIFS('Plan CP'!$O:$O,'PR Grupo'!$G54,'Plan CP'!$P:$P,'PR Grupo'!O$3,'Plan CP'!$M:$M,1)=1,1,IF(IFERROR(VLOOKUP('PR Grupo'!O$3&amp;'PR Grupo'!$G54,'Plan CP'!$K:$P,3,FALSE)&gt;1,0),IFERROR(VLOOKUP('PR Grupo'!O$3&amp;'PR Grupo'!$G54,'Plan CP'!$K:$P,3,FALSE),0),0)))</f>
        <v>1</v>
      </c>
      <c r="P54" s="58">
        <f>IF(O54&gt;1,O54-1,IF(COUNTIFS('Plan CP'!$O:$O,'PR Grupo'!$G54,'Plan CP'!$P:$P,'PR Grupo'!P$3,'Plan CP'!$M:$M,1)=1,1,IF(IFERROR(VLOOKUP('PR Grupo'!P$3&amp;'PR Grupo'!$G54,'Plan CP'!$K:$P,3,FALSE)&gt;1,0),IFERROR(VLOOKUP('PR Grupo'!P$3&amp;'PR Grupo'!$G54,'Plan CP'!$K:$P,3,FALSE),0),0)))</f>
        <v>1</v>
      </c>
      <c r="Q54" s="58">
        <f>IF(P54&gt;1,P54-1,IF(COUNTIFS('Plan CP'!$O:$O,'PR Grupo'!$G54,'Plan CP'!$P:$P,'PR Grupo'!Q$3,'Plan CP'!$M:$M,1)=1,1,IF(IFERROR(VLOOKUP('PR Grupo'!Q$3&amp;'PR Grupo'!$G54,'Plan CP'!$K:$P,3,FALSE)&gt;1,0),IFERROR(VLOOKUP('PR Grupo'!Q$3&amp;'PR Grupo'!$G54,'Plan CP'!$K:$P,3,FALSE),0),0)))</f>
        <v>1</v>
      </c>
      <c r="R54" s="58">
        <f>IF(Q54&gt;1,Q54-1,IF(COUNTIFS('Plan CP'!$O:$O,'PR Grupo'!$G54,'Plan CP'!$P:$P,'PR Grupo'!R$3,'Plan CP'!$M:$M,1)=1,1,IF(IFERROR(VLOOKUP('PR Grupo'!R$3&amp;'PR Grupo'!$G54,'Plan CP'!$K:$P,3,FALSE)&gt;1,0),IFERROR(VLOOKUP('PR Grupo'!R$3&amp;'PR Grupo'!$G54,'Plan CP'!$K:$P,3,FALSE),0),0)))</f>
        <v>1</v>
      </c>
      <c r="S54" s="58">
        <f>IF(R54&gt;1,R54-1,IF(COUNTIFS('Plan CP'!$O:$O,'PR Grupo'!$G54,'Plan CP'!$P:$P,'PR Grupo'!S$3,'Plan CP'!$M:$M,1)=1,1,IF(IFERROR(VLOOKUP('PR Grupo'!S$3&amp;'PR Grupo'!$G54,'Plan CP'!$K:$P,3,FALSE)&gt;1,0),IFERROR(VLOOKUP('PR Grupo'!S$3&amp;'PR Grupo'!$G54,'Plan CP'!$K:$P,3,FALSE),0),0)))</f>
        <v>1</v>
      </c>
      <c r="T54" s="58">
        <f>IF(S54&gt;1,S54-1,IF(COUNTIFS('Plan CP'!$O:$O,'PR Grupo'!$G54,'Plan CP'!$P:$P,'PR Grupo'!T$3,'Plan CP'!$M:$M,1)=1,1,IF(IFERROR(VLOOKUP('PR Grupo'!T$3&amp;'PR Grupo'!$G54,'Plan CP'!$K:$P,3,FALSE)&gt;1,0),IFERROR(VLOOKUP('PR Grupo'!T$3&amp;'PR Grupo'!$G54,'Plan CP'!$K:$P,3,FALSE),0),0)))</f>
        <v>1</v>
      </c>
      <c r="U54" s="58">
        <f>IF(T54&gt;1,T54-1,IF(COUNTIFS('Plan CP'!$O:$O,'PR Grupo'!$G54,'Plan CP'!$P:$P,'PR Grupo'!U$3,'Plan CP'!$M:$M,1)=1,1,IF(IFERROR(VLOOKUP('PR Grupo'!U$3&amp;'PR Grupo'!$G54,'Plan CP'!$K:$P,3,FALSE)&gt;1,0),IFERROR(VLOOKUP('PR Grupo'!U$3&amp;'PR Grupo'!$G54,'Plan CP'!$K:$P,3,FALSE),0),0)))</f>
        <v>1</v>
      </c>
      <c r="V54" s="58">
        <f>IF(U54&gt;1,U54-1,IF(COUNTIFS('Plan CP'!$O:$O,'PR Grupo'!$G54,'Plan CP'!$P:$P,'PR Grupo'!V$3,'Plan CP'!$M:$M,1)=1,1,IF(IFERROR(VLOOKUP('PR Grupo'!V$3&amp;'PR Grupo'!$G54,'Plan CP'!$K:$P,3,FALSE)&gt;1,0),IFERROR(VLOOKUP('PR Grupo'!V$3&amp;'PR Grupo'!$G54,'Plan CP'!$K:$P,3,FALSE),0),0)))</f>
        <v>1</v>
      </c>
      <c r="W54" s="58">
        <f>IF(V54&gt;1,V54-1,IF(COUNTIFS('Plan CP'!$O:$O,'PR Grupo'!$G54,'Plan CP'!$P:$P,'PR Grupo'!W$3,'Plan CP'!$M:$M,1)=1,1,IF(IFERROR(VLOOKUP('PR Grupo'!W$3&amp;'PR Grupo'!$G54,'Plan CP'!$K:$P,3,FALSE)&gt;1,0),IFERROR(VLOOKUP('PR Grupo'!W$3&amp;'PR Grupo'!$G54,'Plan CP'!$K:$P,3,FALSE),0),0)))</f>
        <v>1</v>
      </c>
      <c r="X54" s="58">
        <f>IF(W54&gt;1,W54-1,IF(COUNTIFS('Plan CP'!$O:$O,'PR Grupo'!$G54,'Plan CP'!$P:$P,'PR Grupo'!X$3,'Plan CP'!$M:$M,1)=1,1,IF(IFERROR(VLOOKUP('PR Grupo'!X$3&amp;'PR Grupo'!$G54,'Plan CP'!$K:$P,3,FALSE)&gt;1,0),IFERROR(VLOOKUP('PR Grupo'!X$3&amp;'PR Grupo'!$G54,'Plan CP'!$K:$P,3,FALSE),0),0)))</f>
        <v>1</v>
      </c>
      <c r="Y54" s="58">
        <f>IF(X54&gt;1,X54-1,IF(COUNTIFS('Plan CP'!$O:$O,'PR Grupo'!$G54,'Plan CP'!$P:$P,'PR Grupo'!Y$3,'Plan CP'!$M:$M,1)=1,1,IF(IFERROR(VLOOKUP('PR Grupo'!Y$3&amp;'PR Grupo'!$G54,'Plan CP'!$K:$P,3,FALSE)&gt;1,0),IFERROR(VLOOKUP('PR Grupo'!Y$3&amp;'PR Grupo'!$G54,'Plan CP'!$K:$P,3,FALSE),0),0)))</f>
        <v>1</v>
      </c>
      <c r="Z54" s="58">
        <f>IF(Y54&gt;1,Y54-1,IF(COUNTIFS('Plan CP'!$O:$O,'PR Grupo'!$G54,'Plan CP'!$P:$P,'PR Grupo'!Z$3,'Plan CP'!$M:$M,1)=1,1,IF(IFERROR(VLOOKUP('PR Grupo'!Z$3&amp;'PR Grupo'!$G54,'Plan CP'!$K:$P,3,FALSE)&gt;1,0),IFERROR(VLOOKUP('PR Grupo'!Z$3&amp;'PR Grupo'!$G54,'Plan CP'!$K:$P,3,FALSE),0),0)))</f>
        <v>1</v>
      </c>
      <c r="AA54" s="58">
        <f>IF(Z54&gt;1,Z54-1,IF(COUNTIFS('Plan CP'!$O:$O,'PR Grupo'!$G54,'Plan CP'!$P:$P,'PR Grupo'!AA$3,'Plan CP'!$M:$M,1)=1,1,IF(IFERROR(VLOOKUP('PR Grupo'!AA$3&amp;'PR Grupo'!$G54,'Plan CP'!$K:$P,3,FALSE)&gt;1,0),IFERROR(VLOOKUP('PR Grupo'!AA$3&amp;'PR Grupo'!$G54,'Plan CP'!$K:$P,3,FALSE),0),0)))</f>
        <v>1</v>
      </c>
      <c r="AB54" s="58">
        <f>IF(AA54&gt;1,AA54-1,IF(COUNTIFS('Plan CP'!$O:$O,'PR Grupo'!$G54,'Plan CP'!$P:$P,'PR Grupo'!AB$3,'Plan CP'!$M:$M,1)=1,1,IF(IFERROR(VLOOKUP('PR Grupo'!AB$3&amp;'PR Grupo'!$G54,'Plan CP'!$K:$P,3,FALSE)&gt;1,0),IFERROR(VLOOKUP('PR Grupo'!AB$3&amp;'PR Grupo'!$G54,'Plan CP'!$K:$P,3,FALSE),0),0)))</f>
        <v>1</v>
      </c>
      <c r="AC54" s="58">
        <f>IF(AB54&gt;1,AB54-1,IF(COUNTIFS('Plan CP'!$O:$O,'PR Grupo'!$G54,'Plan CP'!$P:$P,'PR Grupo'!AC$3,'Plan CP'!$M:$M,1)=1,1,IF(IFERROR(VLOOKUP('PR Grupo'!AC$3&amp;'PR Grupo'!$G54,'Plan CP'!$K:$P,3,FALSE)&gt;1,0),IFERROR(VLOOKUP('PR Grupo'!AC$3&amp;'PR Grupo'!$G54,'Plan CP'!$K:$P,3,FALSE),0),0)))</f>
        <v>1</v>
      </c>
      <c r="AD54" s="58">
        <f>IF(AC54&gt;1,AC54-1,IF(COUNTIFS('Plan CP'!$O:$O,'PR Grupo'!$G54,'Plan CP'!$P:$P,'PR Grupo'!AD$3,'Plan CP'!$M:$M,1)=1,1,IF(IFERROR(VLOOKUP('PR Grupo'!AD$3&amp;'PR Grupo'!$G54,'Plan CP'!$K:$P,3,FALSE)&gt;1,0),IFERROR(VLOOKUP('PR Grupo'!AD$3&amp;'PR Grupo'!$G54,'Plan CP'!$K:$P,3,FALSE),0),0)))</f>
        <v>0</v>
      </c>
      <c r="AE54" s="58">
        <f>IF(AD54&gt;1,AD54-1,IF(COUNTIFS('Plan CP'!$O:$O,'PR Grupo'!$G54,'Plan CP'!$P:$P,'PR Grupo'!AE$3,'Plan CP'!$M:$M,1)=1,1,IF(IFERROR(VLOOKUP('PR Grupo'!AE$3&amp;'PR Grupo'!$G54,'Plan CP'!$K:$P,3,FALSE)&gt;1,0),IFERROR(VLOOKUP('PR Grupo'!AE$3&amp;'PR Grupo'!$G54,'Plan CP'!$K:$P,3,FALSE),0),0)))</f>
        <v>0</v>
      </c>
      <c r="AF54" s="58">
        <f>IF(AE54&gt;1,AE54-1,IF(COUNTIFS('Plan CP'!$O:$O,'PR Grupo'!$G54,'Plan CP'!$P:$P,'PR Grupo'!AF$3,'Plan CP'!$M:$M,1)=1,1,IF(IFERROR(VLOOKUP('PR Grupo'!AF$3&amp;'PR Grupo'!$G54,'Plan CP'!$K:$P,3,FALSE)&gt;1,0),IFERROR(VLOOKUP('PR Grupo'!AF$3&amp;'PR Grupo'!$G54,'Plan CP'!$K:$P,3,FALSE),0),0)))</f>
        <v>0</v>
      </c>
      <c r="AG54" s="58">
        <f>IF(AF54&gt;1,AF54-1,IF(COUNTIFS('Plan CP'!$O:$O,'PR Grupo'!$G54,'Plan CP'!$P:$P,'PR Grupo'!AG$3,'Plan CP'!$M:$M,1)=1,1,IF(IFERROR(VLOOKUP('PR Grupo'!AG$3&amp;'PR Grupo'!$G54,'Plan CP'!$K:$P,3,FALSE)&gt;1,0),IFERROR(VLOOKUP('PR Grupo'!AG$3&amp;'PR Grupo'!$G54,'Plan CP'!$K:$P,3,FALSE),0),0)))</f>
        <v>0</v>
      </c>
      <c r="AH54" s="58">
        <f>IF(AG54&gt;1,AG54-1,IF(COUNTIFS('Plan CP'!$O:$O,'PR Grupo'!$G54,'Plan CP'!$P:$P,'PR Grupo'!AH$3,'Plan CP'!$M:$M,1)=1,1,IF(IFERROR(VLOOKUP('PR Grupo'!AH$3&amp;'PR Grupo'!$G54,'Plan CP'!$K:$P,3,FALSE)&gt;1,0),IFERROR(VLOOKUP('PR Grupo'!AH$3&amp;'PR Grupo'!$G54,'Plan CP'!$K:$P,3,FALSE),0),0)))</f>
        <v>0</v>
      </c>
      <c r="AI54" s="58">
        <f>IF(AH54&gt;1,AH54-1,IF(COUNTIFS('Plan CP'!$O:$O,'PR Grupo'!$G54,'Plan CP'!$P:$P,'PR Grupo'!AI$3,'Plan CP'!$M:$M,1)=1,1,IF(IFERROR(VLOOKUP('PR Grupo'!AI$3&amp;'PR Grupo'!$G54,'Plan CP'!$K:$P,3,FALSE)&gt;1,0),IFERROR(VLOOKUP('PR Grupo'!AI$3&amp;'PR Grupo'!$G54,'Plan CP'!$K:$P,3,FALSE),0),0)))</f>
        <v>0</v>
      </c>
      <c r="AJ54" s="58">
        <f>IF(AI54&gt;1,AI54-1,IF(COUNTIFS('Plan CP'!$O:$O,'PR Grupo'!$G54,'Plan CP'!$P:$P,'PR Grupo'!AJ$3,'Plan CP'!$M:$M,1)=1,1,IF(IFERROR(VLOOKUP('PR Grupo'!AJ$3&amp;'PR Grupo'!$G54,'Plan CP'!$K:$P,3,FALSE)&gt;1,0),IFERROR(VLOOKUP('PR Grupo'!AJ$3&amp;'PR Grupo'!$G54,'Plan CP'!$K:$P,3,FALSE),0),0)))</f>
        <v>1</v>
      </c>
      <c r="AK54" s="58">
        <f>IF(AJ54&gt;1,AJ54-1,IF(COUNTIFS('Plan CP'!$O:$O,'PR Grupo'!$G54,'Plan CP'!$P:$P,'PR Grupo'!AK$3,'Plan CP'!$M:$M,1)=1,1,IF(IFERROR(VLOOKUP('PR Grupo'!AK$3&amp;'PR Grupo'!$G54,'Plan CP'!$K:$P,3,FALSE)&gt;1,0),IFERROR(VLOOKUP('PR Grupo'!AK$3&amp;'PR Grupo'!$G54,'Plan CP'!$K:$P,3,FALSE),0),0)))</f>
        <v>1</v>
      </c>
      <c r="AL54" s="58">
        <f>IF(AK54&gt;1,AK54-1,IF(COUNTIFS('Plan CP'!$O:$O,'PR Grupo'!$G54,'Plan CP'!$P:$P,'PR Grupo'!AL$3,'Plan CP'!$M:$M,1)=1,1,IF(IFERROR(VLOOKUP('PR Grupo'!AL$3&amp;'PR Grupo'!$G54,'Plan CP'!$K:$P,3,FALSE)&gt;1,0),IFERROR(VLOOKUP('PR Grupo'!AL$3&amp;'PR Grupo'!$G54,'Plan CP'!$K:$P,3,FALSE),0),0)))</f>
        <v>1</v>
      </c>
      <c r="AM54" s="58">
        <f>IF(AL54&gt;1,AL54-1,IF(COUNTIFS('Plan CP'!$O:$O,'PR Grupo'!$G54,'Plan CP'!$P:$P,'PR Grupo'!AM$3,'Plan CP'!$M:$M,1)=1,1,IF(IFERROR(VLOOKUP('PR Grupo'!AM$3&amp;'PR Grupo'!$G54,'Plan CP'!$K:$P,3,FALSE)&gt;1,0),IFERROR(VLOOKUP('PR Grupo'!AM$3&amp;'PR Grupo'!$G54,'Plan CP'!$K:$P,3,FALSE),0),0)))</f>
        <v>1</v>
      </c>
      <c r="AN54" s="58">
        <f>IF(AM54&gt;1,AM54-1,IF(COUNTIFS('Plan CP'!$O:$O,'PR Grupo'!$G54,'Plan CP'!$P:$P,'PR Grupo'!AN$3,'Plan CP'!$M:$M,1)=1,1,IF(IFERROR(VLOOKUP('PR Grupo'!AN$3&amp;'PR Grupo'!$G54,'Plan CP'!$K:$P,3,FALSE)&gt;1,0),IFERROR(VLOOKUP('PR Grupo'!AN$3&amp;'PR Grupo'!$G54,'Plan CP'!$K:$P,3,FALSE),0),0)))</f>
        <v>1</v>
      </c>
      <c r="AO54" s="58">
        <f>IF(AN54&gt;1,AN54-1,IF(COUNTIFS('Plan CP'!$O:$O,'PR Grupo'!$G54,'Plan CP'!$P:$P,'PR Grupo'!AO$3,'Plan CP'!$M:$M,1)=1,1,IF(IFERROR(VLOOKUP('PR Grupo'!AO$3&amp;'PR Grupo'!$G54,'Plan CP'!$K:$P,3,FALSE)&gt;1,0),IFERROR(VLOOKUP('PR Grupo'!AO$3&amp;'PR Grupo'!$G54,'Plan CP'!$K:$P,3,FALSE),0),0)))</f>
        <v>1</v>
      </c>
    </row>
    <row r="55" spans="1:41">
      <c r="A55" s="21" t="s">
        <v>33</v>
      </c>
      <c r="B55" s="21" t="s">
        <v>42</v>
      </c>
      <c r="C55" s="21" t="s">
        <v>247</v>
      </c>
      <c r="D55" s="21" t="s">
        <v>274</v>
      </c>
      <c r="E55" s="24" t="s">
        <v>174</v>
      </c>
      <c r="F55" s="21" t="s">
        <v>274</v>
      </c>
      <c r="G55" s="33" t="s">
        <v>193</v>
      </c>
      <c r="H55" s="24">
        <v>25</v>
      </c>
      <c r="I55" s="33">
        <f t="shared" si="2"/>
        <v>25</v>
      </c>
      <c r="J55" s="33" t="str">
        <f t="shared" si="3"/>
        <v>OK</v>
      </c>
      <c r="K55" s="58">
        <f>IF(COUNTIFS('Plan CP'!$O:$O,'PR Grupo'!$G55,'Plan CP'!$P:$P,'PR Grupo'!K$3,'Plan CP'!$M:$M,1)=1,1,IF(IFERROR(VLOOKUP('PR Grupo'!K$3&amp;'PR Grupo'!$G55,'Plan CP'!$K:$P,3,FALSE)&gt;1,0),IFERROR(VLOOKUP('PR Grupo'!K$3&amp;'PR Grupo'!$G55,'Plan CP'!$K:$P,3,FALSE),0),0))</f>
        <v>1</v>
      </c>
      <c r="L55" s="58">
        <f>IF(K55&gt;1,K55-1,IF(COUNTIFS('Plan CP'!$O:$O,'PR Grupo'!$G55,'Plan CP'!$P:$P,'PR Grupo'!L$3,'Plan CP'!$M:$M,1)=1,1,IF(IFERROR(VLOOKUP('PR Grupo'!L$3&amp;'PR Grupo'!$G55,'Plan CP'!$K:$P,3,FALSE)&gt;1,0),IFERROR(VLOOKUP('PR Grupo'!L$3&amp;'PR Grupo'!$G55,'Plan CP'!$K:$P,3,FALSE),0),0)))</f>
        <v>1</v>
      </c>
      <c r="M55" s="58">
        <f>IF(L55&gt;1,L55-1,IF(COUNTIFS('Plan CP'!$O:$O,'PR Grupo'!$G55,'Plan CP'!$P:$P,'PR Grupo'!M$3,'Plan CP'!$M:$M,1)=1,1,IF(IFERROR(VLOOKUP('PR Grupo'!M$3&amp;'PR Grupo'!$G55,'Plan CP'!$K:$P,3,FALSE)&gt;1,0),IFERROR(VLOOKUP('PR Grupo'!M$3&amp;'PR Grupo'!$G55,'Plan CP'!$K:$P,3,FALSE),0),0)))</f>
        <v>1</v>
      </c>
      <c r="N55" s="58">
        <f>IF(M55&gt;1,M55-1,IF(COUNTIFS('Plan CP'!$O:$O,'PR Grupo'!$G55,'Plan CP'!$P:$P,'PR Grupo'!N$3,'Plan CP'!$M:$M,1)=1,1,IF(IFERROR(VLOOKUP('PR Grupo'!N$3&amp;'PR Grupo'!$G55,'Plan CP'!$K:$P,3,FALSE)&gt;1,0),IFERROR(VLOOKUP('PR Grupo'!N$3&amp;'PR Grupo'!$G55,'Plan CP'!$K:$P,3,FALSE),0),0)))</f>
        <v>1</v>
      </c>
      <c r="O55" s="58">
        <f>IF(N55&gt;1,N55-1,IF(COUNTIFS('Plan CP'!$O:$O,'PR Grupo'!$G55,'Plan CP'!$P:$P,'PR Grupo'!O$3,'Plan CP'!$M:$M,1)=1,1,IF(IFERROR(VLOOKUP('PR Grupo'!O$3&amp;'PR Grupo'!$G55,'Plan CP'!$K:$P,3,FALSE)&gt;1,0),IFERROR(VLOOKUP('PR Grupo'!O$3&amp;'PR Grupo'!$G55,'Plan CP'!$K:$P,3,FALSE),0),0)))</f>
        <v>1</v>
      </c>
      <c r="P55" s="58">
        <f>IF(O55&gt;1,O55-1,IF(COUNTIFS('Plan CP'!$O:$O,'PR Grupo'!$G55,'Plan CP'!$P:$P,'PR Grupo'!P$3,'Plan CP'!$M:$M,1)=1,1,IF(IFERROR(VLOOKUP('PR Grupo'!P$3&amp;'PR Grupo'!$G55,'Plan CP'!$K:$P,3,FALSE)&gt;1,0),IFERROR(VLOOKUP('PR Grupo'!P$3&amp;'PR Grupo'!$G55,'Plan CP'!$K:$P,3,FALSE),0),0)))</f>
        <v>1</v>
      </c>
      <c r="Q55" s="58">
        <f>IF(P55&gt;1,P55-1,IF(COUNTIFS('Plan CP'!$O:$O,'PR Grupo'!$G55,'Plan CP'!$P:$P,'PR Grupo'!Q$3,'Plan CP'!$M:$M,1)=1,1,IF(IFERROR(VLOOKUP('PR Grupo'!Q$3&amp;'PR Grupo'!$G55,'Plan CP'!$K:$P,3,FALSE)&gt;1,0),IFERROR(VLOOKUP('PR Grupo'!Q$3&amp;'PR Grupo'!$G55,'Plan CP'!$K:$P,3,FALSE),0),0)))</f>
        <v>1</v>
      </c>
      <c r="R55" s="58">
        <f>IF(Q55&gt;1,Q55-1,IF(COUNTIFS('Plan CP'!$O:$O,'PR Grupo'!$G55,'Plan CP'!$P:$P,'PR Grupo'!R$3,'Plan CP'!$M:$M,1)=1,1,IF(IFERROR(VLOOKUP('PR Grupo'!R$3&amp;'PR Grupo'!$G55,'Plan CP'!$K:$P,3,FALSE)&gt;1,0),IFERROR(VLOOKUP('PR Grupo'!R$3&amp;'PR Grupo'!$G55,'Plan CP'!$K:$P,3,FALSE),0),0)))</f>
        <v>1</v>
      </c>
      <c r="S55" s="58">
        <f>IF(R55&gt;1,R55-1,IF(COUNTIFS('Plan CP'!$O:$O,'PR Grupo'!$G55,'Plan CP'!$P:$P,'PR Grupo'!S$3,'Plan CP'!$M:$M,1)=1,1,IF(IFERROR(VLOOKUP('PR Grupo'!S$3&amp;'PR Grupo'!$G55,'Plan CP'!$K:$P,3,FALSE)&gt;1,0),IFERROR(VLOOKUP('PR Grupo'!S$3&amp;'PR Grupo'!$G55,'Plan CP'!$K:$P,3,FALSE),0),0)))</f>
        <v>1</v>
      </c>
      <c r="T55" s="58">
        <f>IF(S55&gt;1,S55-1,IF(COUNTIFS('Plan CP'!$O:$O,'PR Grupo'!$G55,'Plan CP'!$P:$P,'PR Grupo'!T$3,'Plan CP'!$M:$M,1)=1,1,IF(IFERROR(VLOOKUP('PR Grupo'!T$3&amp;'PR Grupo'!$G55,'Plan CP'!$K:$P,3,FALSE)&gt;1,0),IFERROR(VLOOKUP('PR Grupo'!T$3&amp;'PR Grupo'!$G55,'Plan CP'!$K:$P,3,FALSE),0),0)))</f>
        <v>1</v>
      </c>
      <c r="U55" s="58">
        <f>IF(T55&gt;1,T55-1,IF(COUNTIFS('Plan CP'!$O:$O,'PR Grupo'!$G55,'Plan CP'!$P:$P,'PR Grupo'!U$3,'Plan CP'!$M:$M,1)=1,1,IF(IFERROR(VLOOKUP('PR Grupo'!U$3&amp;'PR Grupo'!$G55,'Plan CP'!$K:$P,3,FALSE)&gt;1,0),IFERROR(VLOOKUP('PR Grupo'!U$3&amp;'PR Grupo'!$G55,'Plan CP'!$K:$P,3,FALSE),0),0)))</f>
        <v>1</v>
      </c>
      <c r="V55" s="58">
        <f>IF(U55&gt;1,U55-1,IF(COUNTIFS('Plan CP'!$O:$O,'PR Grupo'!$G55,'Plan CP'!$P:$P,'PR Grupo'!V$3,'Plan CP'!$M:$M,1)=1,1,IF(IFERROR(VLOOKUP('PR Grupo'!V$3&amp;'PR Grupo'!$G55,'Plan CP'!$K:$P,3,FALSE)&gt;1,0),IFERROR(VLOOKUP('PR Grupo'!V$3&amp;'PR Grupo'!$G55,'Plan CP'!$K:$P,3,FALSE),0),0)))</f>
        <v>1</v>
      </c>
      <c r="W55" s="58">
        <f>IF(V55&gt;1,V55-1,IF(COUNTIFS('Plan CP'!$O:$O,'PR Grupo'!$G55,'Plan CP'!$P:$P,'PR Grupo'!W$3,'Plan CP'!$M:$M,1)=1,1,IF(IFERROR(VLOOKUP('PR Grupo'!W$3&amp;'PR Grupo'!$G55,'Plan CP'!$K:$P,3,FALSE)&gt;1,0),IFERROR(VLOOKUP('PR Grupo'!W$3&amp;'PR Grupo'!$G55,'Plan CP'!$K:$P,3,FALSE),0),0)))</f>
        <v>1</v>
      </c>
      <c r="X55" s="58">
        <f>IF(W55&gt;1,W55-1,IF(COUNTIFS('Plan CP'!$O:$O,'PR Grupo'!$G55,'Plan CP'!$P:$P,'PR Grupo'!X$3,'Plan CP'!$M:$M,1)=1,1,IF(IFERROR(VLOOKUP('PR Grupo'!X$3&amp;'PR Grupo'!$G55,'Plan CP'!$K:$P,3,FALSE)&gt;1,0),IFERROR(VLOOKUP('PR Grupo'!X$3&amp;'PR Grupo'!$G55,'Plan CP'!$K:$P,3,FALSE),0),0)))</f>
        <v>1</v>
      </c>
      <c r="Y55" s="58">
        <f>IF(X55&gt;1,X55-1,IF(COUNTIFS('Plan CP'!$O:$O,'PR Grupo'!$G55,'Plan CP'!$P:$P,'PR Grupo'!Y$3,'Plan CP'!$M:$M,1)=1,1,IF(IFERROR(VLOOKUP('PR Grupo'!Y$3&amp;'PR Grupo'!$G55,'Plan CP'!$K:$P,3,FALSE)&gt;1,0),IFERROR(VLOOKUP('PR Grupo'!Y$3&amp;'PR Grupo'!$G55,'Plan CP'!$K:$P,3,FALSE),0),0)))</f>
        <v>1</v>
      </c>
      <c r="Z55" s="58">
        <f>IF(Y55&gt;1,Y55-1,IF(COUNTIFS('Plan CP'!$O:$O,'PR Grupo'!$G55,'Plan CP'!$P:$P,'PR Grupo'!Z$3,'Plan CP'!$M:$M,1)=1,1,IF(IFERROR(VLOOKUP('PR Grupo'!Z$3&amp;'PR Grupo'!$G55,'Plan CP'!$K:$P,3,FALSE)&gt;1,0),IFERROR(VLOOKUP('PR Grupo'!Z$3&amp;'PR Grupo'!$G55,'Plan CP'!$K:$P,3,FALSE),0),0)))</f>
        <v>1</v>
      </c>
      <c r="AA55" s="58">
        <f>IF(Z55&gt;1,Z55-1,IF(COUNTIFS('Plan CP'!$O:$O,'PR Grupo'!$G55,'Plan CP'!$P:$P,'PR Grupo'!AA$3,'Plan CP'!$M:$M,1)=1,1,IF(IFERROR(VLOOKUP('PR Grupo'!AA$3&amp;'PR Grupo'!$G55,'Plan CP'!$K:$P,3,FALSE)&gt;1,0),IFERROR(VLOOKUP('PR Grupo'!AA$3&amp;'PR Grupo'!$G55,'Plan CP'!$K:$P,3,FALSE),0),0)))</f>
        <v>1</v>
      </c>
      <c r="AB55" s="58">
        <f>IF(AA55&gt;1,AA55-1,IF(COUNTIFS('Plan CP'!$O:$O,'PR Grupo'!$G55,'Plan CP'!$P:$P,'PR Grupo'!AB$3,'Plan CP'!$M:$M,1)=1,1,IF(IFERROR(VLOOKUP('PR Grupo'!AB$3&amp;'PR Grupo'!$G55,'Plan CP'!$K:$P,3,FALSE)&gt;1,0),IFERROR(VLOOKUP('PR Grupo'!AB$3&amp;'PR Grupo'!$G55,'Plan CP'!$K:$P,3,FALSE),0),0)))</f>
        <v>1</v>
      </c>
      <c r="AC55" s="58">
        <f>IF(AB55&gt;1,AB55-1,IF(COUNTIFS('Plan CP'!$O:$O,'PR Grupo'!$G55,'Plan CP'!$P:$P,'PR Grupo'!AC$3,'Plan CP'!$M:$M,1)=1,1,IF(IFERROR(VLOOKUP('PR Grupo'!AC$3&amp;'PR Grupo'!$G55,'Plan CP'!$K:$P,3,FALSE)&gt;1,0),IFERROR(VLOOKUP('PR Grupo'!AC$3&amp;'PR Grupo'!$G55,'Plan CP'!$K:$P,3,FALSE),0),0)))</f>
        <v>1</v>
      </c>
      <c r="AD55" s="58">
        <f>IF(AC55&gt;1,AC55-1,IF(COUNTIFS('Plan CP'!$O:$O,'PR Grupo'!$G55,'Plan CP'!$P:$P,'PR Grupo'!AD$3,'Plan CP'!$M:$M,1)=1,1,IF(IFERROR(VLOOKUP('PR Grupo'!AD$3&amp;'PR Grupo'!$G55,'Plan CP'!$K:$P,3,FALSE)&gt;1,0),IFERROR(VLOOKUP('PR Grupo'!AD$3&amp;'PR Grupo'!$G55,'Plan CP'!$K:$P,3,FALSE),0),0)))</f>
        <v>0</v>
      </c>
      <c r="AE55" s="58">
        <f>IF(AD55&gt;1,AD55-1,IF(COUNTIFS('Plan CP'!$O:$O,'PR Grupo'!$G55,'Plan CP'!$P:$P,'PR Grupo'!AE$3,'Plan CP'!$M:$M,1)=1,1,IF(IFERROR(VLOOKUP('PR Grupo'!AE$3&amp;'PR Grupo'!$G55,'Plan CP'!$K:$P,3,FALSE)&gt;1,0),IFERROR(VLOOKUP('PR Grupo'!AE$3&amp;'PR Grupo'!$G55,'Plan CP'!$K:$P,3,FALSE),0),0)))</f>
        <v>0</v>
      </c>
      <c r="AF55" s="58">
        <f>IF(AE55&gt;1,AE55-1,IF(COUNTIFS('Plan CP'!$O:$O,'PR Grupo'!$G55,'Plan CP'!$P:$P,'PR Grupo'!AF$3,'Plan CP'!$M:$M,1)=1,1,IF(IFERROR(VLOOKUP('PR Grupo'!AF$3&amp;'PR Grupo'!$G55,'Plan CP'!$K:$P,3,FALSE)&gt;1,0),IFERROR(VLOOKUP('PR Grupo'!AF$3&amp;'PR Grupo'!$G55,'Plan CP'!$K:$P,3,FALSE),0),0)))</f>
        <v>0</v>
      </c>
      <c r="AG55" s="58">
        <f>IF(AF55&gt;1,AF55-1,IF(COUNTIFS('Plan CP'!$O:$O,'PR Grupo'!$G55,'Plan CP'!$P:$P,'PR Grupo'!AG$3,'Plan CP'!$M:$M,1)=1,1,IF(IFERROR(VLOOKUP('PR Grupo'!AG$3&amp;'PR Grupo'!$G55,'Plan CP'!$K:$P,3,FALSE)&gt;1,0),IFERROR(VLOOKUP('PR Grupo'!AG$3&amp;'PR Grupo'!$G55,'Plan CP'!$K:$P,3,FALSE),0),0)))</f>
        <v>0</v>
      </c>
      <c r="AH55" s="58">
        <f>IF(AG55&gt;1,AG55-1,IF(COUNTIFS('Plan CP'!$O:$O,'PR Grupo'!$G55,'Plan CP'!$P:$P,'PR Grupo'!AH$3,'Plan CP'!$M:$M,1)=1,1,IF(IFERROR(VLOOKUP('PR Grupo'!AH$3&amp;'PR Grupo'!$G55,'Plan CP'!$K:$P,3,FALSE)&gt;1,0),IFERROR(VLOOKUP('PR Grupo'!AH$3&amp;'PR Grupo'!$G55,'Plan CP'!$K:$P,3,FALSE),0),0)))</f>
        <v>0</v>
      </c>
      <c r="AI55" s="58">
        <f>IF(AH55&gt;1,AH55-1,IF(COUNTIFS('Plan CP'!$O:$O,'PR Grupo'!$G55,'Plan CP'!$P:$P,'PR Grupo'!AI$3,'Plan CP'!$M:$M,1)=1,1,IF(IFERROR(VLOOKUP('PR Grupo'!AI$3&amp;'PR Grupo'!$G55,'Plan CP'!$K:$P,3,FALSE)&gt;1,0),IFERROR(VLOOKUP('PR Grupo'!AI$3&amp;'PR Grupo'!$G55,'Plan CP'!$K:$P,3,FALSE),0),0)))</f>
        <v>0</v>
      </c>
      <c r="AJ55" s="58">
        <f>IF(AI55&gt;1,AI55-1,IF(COUNTIFS('Plan CP'!$O:$O,'PR Grupo'!$G55,'Plan CP'!$P:$P,'PR Grupo'!AJ$3,'Plan CP'!$M:$M,1)=1,1,IF(IFERROR(VLOOKUP('PR Grupo'!AJ$3&amp;'PR Grupo'!$G55,'Plan CP'!$K:$P,3,FALSE)&gt;1,0),IFERROR(VLOOKUP('PR Grupo'!AJ$3&amp;'PR Grupo'!$G55,'Plan CP'!$K:$P,3,FALSE),0),0)))</f>
        <v>1</v>
      </c>
      <c r="AK55" s="58">
        <f>IF(AJ55&gt;1,AJ55-1,IF(COUNTIFS('Plan CP'!$O:$O,'PR Grupo'!$G55,'Plan CP'!$P:$P,'PR Grupo'!AK$3,'Plan CP'!$M:$M,1)=1,1,IF(IFERROR(VLOOKUP('PR Grupo'!AK$3&amp;'PR Grupo'!$G55,'Plan CP'!$K:$P,3,FALSE)&gt;1,0),IFERROR(VLOOKUP('PR Grupo'!AK$3&amp;'PR Grupo'!$G55,'Plan CP'!$K:$P,3,FALSE),0),0)))</f>
        <v>1</v>
      </c>
      <c r="AL55" s="58">
        <f>IF(AK55&gt;1,AK55-1,IF(COUNTIFS('Plan CP'!$O:$O,'PR Grupo'!$G55,'Plan CP'!$P:$P,'PR Grupo'!AL$3,'Plan CP'!$M:$M,1)=1,1,IF(IFERROR(VLOOKUP('PR Grupo'!AL$3&amp;'PR Grupo'!$G55,'Plan CP'!$K:$P,3,FALSE)&gt;1,0),IFERROR(VLOOKUP('PR Grupo'!AL$3&amp;'PR Grupo'!$G55,'Plan CP'!$K:$P,3,FALSE),0),0)))</f>
        <v>1</v>
      </c>
      <c r="AM55" s="58">
        <f>IF(AL55&gt;1,AL55-1,IF(COUNTIFS('Plan CP'!$O:$O,'PR Grupo'!$G55,'Plan CP'!$P:$P,'PR Grupo'!AM$3,'Plan CP'!$M:$M,1)=1,1,IF(IFERROR(VLOOKUP('PR Grupo'!AM$3&amp;'PR Grupo'!$G55,'Plan CP'!$K:$P,3,FALSE)&gt;1,0),IFERROR(VLOOKUP('PR Grupo'!AM$3&amp;'PR Grupo'!$G55,'Plan CP'!$K:$P,3,FALSE),0),0)))</f>
        <v>1</v>
      </c>
      <c r="AN55" s="58">
        <f>IF(AM55&gt;1,AM55-1,IF(COUNTIFS('Plan CP'!$O:$O,'PR Grupo'!$G55,'Plan CP'!$P:$P,'PR Grupo'!AN$3,'Plan CP'!$M:$M,1)=1,1,IF(IFERROR(VLOOKUP('PR Grupo'!AN$3&amp;'PR Grupo'!$G55,'Plan CP'!$K:$P,3,FALSE)&gt;1,0),IFERROR(VLOOKUP('PR Grupo'!AN$3&amp;'PR Grupo'!$G55,'Plan CP'!$K:$P,3,FALSE),0),0)))</f>
        <v>1</v>
      </c>
      <c r="AO55" s="58">
        <f>IF(AN55&gt;1,AN55-1,IF(COUNTIFS('Plan CP'!$O:$O,'PR Grupo'!$G55,'Plan CP'!$P:$P,'PR Grupo'!AO$3,'Plan CP'!$M:$M,1)=1,1,IF(IFERROR(VLOOKUP('PR Grupo'!AO$3&amp;'PR Grupo'!$G55,'Plan CP'!$K:$P,3,FALSE)&gt;1,0),IFERROR(VLOOKUP('PR Grupo'!AO$3&amp;'PR Grupo'!$G55,'Plan CP'!$K:$P,3,FALSE),0),0)))</f>
        <v>1</v>
      </c>
    </row>
    <row r="56" spans="1:41">
      <c r="A56" s="21" t="s">
        <v>33</v>
      </c>
      <c r="B56" s="21" t="s">
        <v>48</v>
      </c>
      <c r="C56" s="21" t="s">
        <v>248</v>
      </c>
      <c r="D56" s="21" t="s">
        <v>275</v>
      </c>
      <c r="E56" s="24" t="s">
        <v>174</v>
      </c>
      <c r="F56" s="21" t="s">
        <v>275</v>
      </c>
      <c r="G56" s="33" t="s">
        <v>193</v>
      </c>
      <c r="H56" s="24">
        <v>25</v>
      </c>
      <c r="I56" s="33">
        <f t="shared" si="2"/>
        <v>25</v>
      </c>
      <c r="J56" s="33" t="str">
        <f t="shared" si="3"/>
        <v>OK</v>
      </c>
      <c r="K56" s="58">
        <f>IF(COUNTIFS('Plan CP'!$O:$O,'PR Grupo'!$G56,'Plan CP'!$P:$P,'PR Grupo'!K$3,'Plan CP'!$M:$M,1)=1,1,IF(IFERROR(VLOOKUP('PR Grupo'!K$3&amp;'PR Grupo'!$G56,'Plan CP'!$K:$P,3,FALSE)&gt;1,0),IFERROR(VLOOKUP('PR Grupo'!K$3&amp;'PR Grupo'!$G56,'Plan CP'!$K:$P,3,FALSE),0),0))</f>
        <v>1</v>
      </c>
      <c r="L56" s="58">
        <f>IF(K56&gt;1,K56-1,IF(COUNTIFS('Plan CP'!$O:$O,'PR Grupo'!$G56,'Plan CP'!$P:$P,'PR Grupo'!L$3,'Plan CP'!$M:$M,1)=1,1,IF(IFERROR(VLOOKUP('PR Grupo'!L$3&amp;'PR Grupo'!$G56,'Plan CP'!$K:$P,3,FALSE)&gt;1,0),IFERROR(VLOOKUP('PR Grupo'!L$3&amp;'PR Grupo'!$G56,'Plan CP'!$K:$P,3,FALSE),0),0)))</f>
        <v>1</v>
      </c>
      <c r="M56" s="58">
        <f>IF(L56&gt;1,L56-1,IF(COUNTIFS('Plan CP'!$O:$O,'PR Grupo'!$G56,'Plan CP'!$P:$P,'PR Grupo'!M$3,'Plan CP'!$M:$M,1)=1,1,IF(IFERROR(VLOOKUP('PR Grupo'!M$3&amp;'PR Grupo'!$G56,'Plan CP'!$K:$P,3,FALSE)&gt;1,0),IFERROR(VLOOKUP('PR Grupo'!M$3&amp;'PR Grupo'!$G56,'Plan CP'!$K:$P,3,FALSE),0),0)))</f>
        <v>1</v>
      </c>
      <c r="N56" s="58">
        <f>IF(M56&gt;1,M56-1,IF(COUNTIFS('Plan CP'!$O:$O,'PR Grupo'!$G56,'Plan CP'!$P:$P,'PR Grupo'!N$3,'Plan CP'!$M:$M,1)=1,1,IF(IFERROR(VLOOKUP('PR Grupo'!N$3&amp;'PR Grupo'!$G56,'Plan CP'!$K:$P,3,FALSE)&gt;1,0),IFERROR(VLOOKUP('PR Grupo'!N$3&amp;'PR Grupo'!$G56,'Plan CP'!$K:$P,3,FALSE),0),0)))</f>
        <v>1</v>
      </c>
      <c r="O56" s="58">
        <f>IF(N56&gt;1,N56-1,IF(COUNTIFS('Plan CP'!$O:$O,'PR Grupo'!$G56,'Plan CP'!$P:$P,'PR Grupo'!O$3,'Plan CP'!$M:$M,1)=1,1,IF(IFERROR(VLOOKUP('PR Grupo'!O$3&amp;'PR Grupo'!$G56,'Plan CP'!$K:$P,3,FALSE)&gt;1,0),IFERROR(VLOOKUP('PR Grupo'!O$3&amp;'PR Grupo'!$G56,'Plan CP'!$K:$P,3,FALSE),0),0)))</f>
        <v>1</v>
      </c>
      <c r="P56" s="58">
        <f>IF(O56&gt;1,O56-1,IF(COUNTIFS('Plan CP'!$O:$O,'PR Grupo'!$G56,'Plan CP'!$P:$P,'PR Grupo'!P$3,'Plan CP'!$M:$M,1)=1,1,IF(IFERROR(VLOOKUP('PR Grupo'!P$3&amp;'PR Grupo'!$G56,'Plan CP'!$K:$P,3,FALSE)&gt;1,0),IFERROR(VLOOKUP('PR Grupo'!P$3&amp;'PR Grupo'!$G56,'Plan CP'!$K:$P,3,FALSE),0),0)))</f>
        <v>1</v>
      </c>
      <c r="Q56" s="58">
        <f>IF(P56&gt;1,P56-1,IF(COUNTIFS('Plan CP'!$O:$O,'PR Grupo'!$G56,'Plan CP'!$P:$P,'PR Grupo'!Q$3,'Plan CP'!$M:$M,1)=1,1,IF(IFERROR(VLOOKUP('PR Grupo'!Q$3&amp;'PR Grupo'!$G56,'Plan CP'!$K:$P,3,FALSE)&gt;1,0),IFERROR(VLOOKUP('PR Grupo'!Q$3&amp;'PR Grupo'!$G56,'Plan CP'!$K:$P,3,FALSE),0),0)))</f>
        <v>1</v>
      </c>
      <c r="R56" s="58">
        <f>IF(Q56&gt;1,Q56-1,IF(COUNTIFS('Plan CP'!$O:$O,'PR Grupo'!$G56,'Plan CP'!$P:$P,'PR Grupo'!R$3,'Plan CP'!$M:$M,1)=1,1,IF(IFERROR(VLOOKUP('PR Grupo'!R$3&amp;'PR Grupo'!$G56,'Plan CP'!$K:$P,3,FALSE)&gt;1,0),IFERROR(VLOOKUP('PR Grupo'!R$3&amp;'PR Grupo'!$G56,'Plan CP'!$K:$P,3,FALSE),0),0)))</f>
        <v>1</v>
      </c>
      <c r="S56" s="58">
        <f>IF(R56&gt;1,R56-1,IF(COUNTIFS('Plan CP'!$O:$O,'PR Grupo'!$G56,'Plan CP'!$P:$P,'PR Grupo'!S$3,'Plan CP'!$M:$M,1)=1,1,IF(IFERROR(VLOOKUP('PR Grupo'!S$3&amp;'PR Grupo'!$G56,'Plan CP'!$K:$P,3,FALSE)&gt;1,0),IFERROR(VLOOKUP('PR Grupo'!S$3&amp;'PR Grupo'!$G56,'Plan CP'!$K:$P,3,FALSE),0),0)))</f>
        <v>1</v>
      </c>
      <c r="T56" s="58">
        <f>IF(S56&gt;1,S56-1,IF(COUNTIFS('Plan CP'!$O:$O,'PR Grupo'!$G56,'Plan CP'!$P:$P,'PR Grupo'!T$3,'Plan CP'!$M:$M,1)=1,1,IF(IFERROR(VLOOKUP('PR Grupo'!T$3&amp;'PR Grupo'!$G56,'Plan CP'!$K:$P,3,FALSE)&gt;1,0),IFERROR(VLOOKUP('PR Grupo'!T$3&amp;'PR Grupo'!$G56,'Plan CP'!$K:$P,3,FALSE),0),0)))</f>
        <v>1</v>
      </c>
      <c r="U56" s="58">
        <f>IF(T56&gt;1,T56-1,IF(COUNTIFS('Plan CP'!$O:$O,'PR Grupo'!$G56,'Plan CP'!$P:$P,'PR Grupo'!U$3,'Plan CP'!$M:$M,1)=1,1,IF(IFERROR(VLOOKUP('PR Grupo'!U$3&amp;'PR Grupo'!$G56,'Plan CP'!$K:$P,3,FALSE)&gt;1,0),IFERROR(VLOOKUP('PR Grupo'!U$3&amp;'PR Grupo'!$G56,'Plan CP'!$K:$P,3,FALSE),0),0)))</f>
        <v>1</v>
      </c>
      <c r="V56" s="58">
        <f>IF(U56&gt;1,U56-1,IF(COUNTIFS('Plan CP'!$O:$O,'PR Grupo'!$G56,'Plan CP'!$P:$P,'PR Grupo'!V$3,'Plan CP'!$M:$M,1)=1,1,IF(IFERROR(VLOOKUP('PR Grupo'!V$3&amp;'PR Grupo'!$G56,'Plan CP'!$K:$P,3,FALSE)&gt;1,0),IFERROR(VLOOKUP('PR Grupo'!V$3&amp;'PR Grupo'!$G56,'Plan CP'!$K:$P,3,FALSE),0),0)))</f>
        <v>1</v>
      </c>
      <c r="W56" s="58">
        <f>IF(V56&gt;1,V56-1,IF(COUNTIFS('Plan CP'!$O:$O,'PR Grupo'!$G56,'Plan CP'!$P:$P,'PR Grupo'!W$3,'Plan CP'!$M:$M,1)=1,1,IF(IFERROR(VLOOKUP('PR Grupo'!W$3&amp;'PR Grupo'!$G56,'Plan CP'!$K:$P,3,FALSE)&gt;1,0),IFERROR(VLOOKUP('PR Grupo'!W$3&amp;'PR Grupo'!$G56,'Plan CP'!$K:$P,3,FALSE),0),0)))</f>
        <v>1</v>
      </c>
      <c r="X56" s="58">
        <f>IF(W56&gt;1,W56-1,IF(COUNTIFS('Plan CP'!$O:$O,'PR Grupo'!$G56,'Plan CP'!$P:$P,'PR Grupo'!X$3,'Plan CP'!$M:$M,1)=1,1,IF(IFERROR(VLOOKUP('PR Grupo'!X$3&amp;'PR Grupo'!$G56,'Plan CP'!$K:$P,3,FALSE)&gt;1,0),IFERROR(VLOOKUP('PR Grupo'!X$3&amp;'PR Grupo'!$G56,'Plan CP'!$K:$P,3,FALSE),0),0)))</f>
        <v>1</v>
      </c>
      <c r="Y56" s="58">
        <f>IF(X56&gt;1,X56-1,IF(COUNTIFS('Plan CP'!$O:$O,'PR Grupo'!$G56,'Plan CP'!$P:$P,'PR Grupo'!Y$3,'Plan CP'!$M:$M,1)=1,1,IF(IFERROR(VLOOKUP('PR Grupo'!Y$3&amp;'PR Grupo'!$G56,'Plan CP'!$K:$P,3,FALSE)&gt;1,0),IFERROR(VLOOKUP('PR Grupo'!Y$3&amp;'PR Grupo'!$G56,'Plan CP'!$K:$P,3,FALSE),0),0)))</f>
        <v>1</v>
      </c>
      <c r="Z56" s="58">
        <f>IF(Y56&gt;1,Y56-1,IF(COUNTIFS('Plan CP'!$O:$O,'PR Grupo'!$G56,'Plan CP'!$P:$P,'PR Grupo'!Z$3,'Plan CP'!$M:$M,1)=1,1,IF(IFERROR(VLOOKUP('PR Grupo'!Z$3&amp;'PR Grupo'!$G56,'Plan CP'!$K:$P,3,FALSE)&gt;1,0),IFERROR(VLOOKUP('PR Grupo'!Z$3&amp;'PR Grupo'!$G56,'Plan CP'!$K:$P,3,FALSE),0),0)))</f>
        <v>1</v>
      </c>
      <c r="AA56" s="58">
        <f>IF(Z56&gt;1,Z56-1,IF(COUNTIFS('Plan CP'!$O:$O,'PR Grupo'!$G56,'Plan CP'!$P:$P,'PR Grupo'!AA$3,'Plan CP'!$M:$M,1)=1,1,IF(IFERROR(VLOOKUP('PR Grupo'!AA$3&amp;'PR Grupo'!$G56,'Plan CP'!$K:$P,3,FALSE)&gt;1,0),IFERROR(VLOOKUP('PR Grupo'!AA$3&amp;'PR Grupo'!$G56,'Plan CP'!$K:$P,3,FALSE),0),0)))</f>
        <v>1</v>
      </c>
      <c r="AB56" s="58">
        <f>IF(AA56&gt;1,AA56-1,IF(COUNTIFS('Plan CP'!$O:$O,'PR Grupo'!$G56,'Plan CP'!$P:$P,'PR Grupo'!AB$3,'Plan CP'!$M:$M,1)=1,1,IF(IFERROR(VLOOKUP('PR Grupo'!AB$3&amp;'PR Grupo'!$G56,'Plan CP'!$K:$P,3,FALSE)&gt;1,0),IFERROR(VLOOKUP('PR Grupo'!AB$3&amp;'PR Grupo'!$G56,'Plan CP'!$K:$P,3,FALSE),0),0)))</f>
        <v>1</v>
      </c>
      <c r="AC56" s="58">
        <f>IF(AB56&gt;1,AB56-1,IF(COUNTIFS('Plan CP'!$O:$O,'PR Grupo'!$G56,'Plan CP'!$P:$P,'PR Grupo'!AC$3,'Plan CP'!$M:$M,1)=1,1,IF(IFERROR(VLOOKUP('PR Grupo'!AC$3&amp;'PR Grupo'!$G56,'Plan CP'!$K:$P,3,FALSE)&gt;1,0),IFERROR(VLOOKUP('PR Grupo'!AC$3&amp;'PR Grupo'!$G56,'Plan CP'!$K:$P,3,FALSE),0),0)))</f>
        <v>1</v>
      </c>
      <c r="AD56" s="58">
        <f>IF(AC56&gt;1,AC56-1,IF(COUNTIFS('Plan CP'!$O:$O,'PR Grupo'!$G56,'Plan CP'!$P:$P,'PR Grupo'!AD$3,'Plan CP'!$M:$M,1)=1,1,IF(IFERROR(VLOOKUP('PR Grupo'!AD$3&amp;'PR Grupo'!$G56,'Plan CP'!$K:$P,3,FALSE)&gt;1,0),IFERROR(VLOOKUP('PR Grupo'!AD$3&amp;'PR Grupo'!$G56,'Plan CP'!$K:$P,3,FALSE),0),0)))</f>
        <v>0</v>
      </c>
      <c r="AE56" s="58">
        <f>IF(AD56&gt;1,AD56-1,IF(COUNTIFS('Plan CP'!$O:$O,'PR Grupo'!$G56,'Plan CP'!$P:$P,'PR Grupo'!AE$3,'Plan CP'!$M:$M,1)=1,1,IF(IFERROR(VLOOKUP('PR Grupo'!AE$3&amp;'PR Grupo'!$G56,'Plan CP'!$K:$P,3,FALSE)&gt;1,0),IFERROR(VLOOKUP('PR Grupo'!AE$3&amp;'PR Grupo'!$G56,'Plan CP'!$K:$P,3,FALSE),0),0)))</f>
        <v>0</v>
      </c>
      <c r="AF56" s="58">
        <f>IF(AE56&gt;1,AE56-1,IF(COUNTIFS('Plan CP'!$O:$O,'PR Grupo'!$G56,'Plan CP'!$P:$P,'PR Grupo'!AF$3,'Plan CP'!$M:$M,1)=1,1,IF(IFERROR(VLOOKUP('PR Grupo'!AF$3&amp;'PR Grupo'!$G56,'Plan CP'!$K:$P,3,FALSE)&gt;1,0),IFERROR(VLOOKUP('PR Grupo'!AF$3&amp;'PR Grupo'!$G56,'Plan CP'!$K:$P,3,FALSE),0),0)))</f>
        <v>0</v>
      </c>
      <c r="AG56" s="58">
        <f>IF(AF56&gt;1,AF56-1,IF(COUNTIFS('Plan CP'!$O:$O,'PR Grupo'!$G56,'Plan CP'!$P:$P,'PR Grupo'!AG$3,'Plan CP'!$M:$M,1)=1,1,IF(IFERROR(VLOOKUP('PR Grupo'!AG$3&amp;'PR Grupo'!$G56,'Plan CP'!$K:$P,3,FALSE)&gt;1,0),IFERROR(VLOOKUP('PR Grupo'!AG$3&amp;'PR Grupo'!$G56,'Plan CP'!$K:$P,3,FALSE),0),0)))</f>
        <v>0</v>
      </c>
      <c r="AH56" s="58">
        <f>IF(AG56&gt;1,AG56-1,IF(COUNTIFS('Plan CP'!$O:$O,'PR Grupo'!$G56,'Plan CP'!$P:$P,'PR Grupo'!AH$3,'Plan CP'!$M:$M,1)=1,1,IF(IFERROR(VLOOKUP('PR Grupo'!AH$3&amp;'PR Grupo'!$G56,'Plan CP'!$K:$P,3,FALSE)&gt;1,0),IFERROR(VLOOKUP('PR Grupo'!AH$3&amp;'PR Grupo'!$G56,'Plan CP'!$K:$P,3,FALSE),0),0)))</f>
        <v>0</v>
      </c>
      <c r="AI56" s="58">
        <f>IF(AH56&gt;1,AH56-1,IF(COUNTIFS('Plan CP'!$O:$O,'PR Grupo'!$G56,'Plan CP'!$P:$P,'PR Grupo'!AI$3,'Plan CP'!$M:$M,1)=1,1,IF(IFERROR(VLOOKUP('PR Grupo'!AI$3&amp;'PR Grupo'!$G56,'Plan CP'!$K:$P,3,FALSE)&gt;1,0),IFERROR(VLOOKUP('PR Grupo'!AI$3&amp;'PR Grupo'!$G56,'Plan CP'!$K:$P,3,FALSE),0),0)))</f>
        <v>0</v>
      </c>
      <c r="AJ56" s="58">
        <f>IF(AI56&gt;1,AI56-1,IF(COUNTIFS('Plan CP'!$O:$O,'PR Grupo'!$G56,'Plan CP'!$P:$P,'PR Grupo'!AJ$3,'Plan CP'!$M:$M,1)=1,1,IF(IFERROR(VLOOKUP('PR Grupo'!AJ$3&amp;'PR Grupo'!$G56,'Plan CP'!$K:$P,3,FALSE)&gt;1,0),IFERROR(VLOOKUP('PR Grupo'!AJ$3&amp;'PR Grupo'!$G56,'Plan CP'!$K:$P,3,FALSE),0),0)))</f>
        <v>1</v>
      </c>
      <c r="AK56" s="58">
        <f>IF(AJ56&gt;1,AJ56-1,IF(COUNTIFS('Plan CP'!$O:$O,'PR Grupo'!$G56,'Plan CP'!$P:$P,'PR Grupo'!AK$3,'Plan CP'!$M:$M,1)=1,1,IF(IFERROR(VLOOKUP('PR Grupo'!AK$3&amp;'PR Grupo'!$G56,'Plan CP'!$K:$P,3,FALSE)&gt;1,0),IFERROR(VLOOKUP('PR Grupo'!AK$3&amp;'PR Grupo'!$G56,'Plan CP'!$K:$P,3,FALSE),0),0)))</f>
        <v>1</v>
      </c>
      <c r="AL56" s="58">
        <f>IF(AK56&gt;1,AK56-1,IF(COUNTIFS('Plan CP'!$O:$O,'PR Grupo'!$G56,'Plan CP'!$P:$P,'PR Grupo'!AL$3,'Plan CP'!$M:$M,1)=1,1,IF(IFERROR(VLOOKUP('PR Grupo'!AL$3&amp;'PR Grupo'!$G56,'Plan CP'!$K:$P,3,FALSE)&gt;1,0),IFERROR(VLOOKUP('PR Grupo'!AL$3&amp;'PR Grupo'!$G56,'Plan CP'!$K:$P,3,FALSE),0),0)))</f>
        <v>1</v>
      </c>
      <c r="AM56" s="58">
        <f>IF(AL56&gt;1,AL56-1,IF(COUNTIFS('Plan CP'!$O:$O,'PR Grupo'!$G56,'Plan CP'!$P:$P,'PR Grupo'!AM$3,'Plan CP'!$M:$M,1)=1,1,IF(IFERROR(VLOOKUP('PR Grupo'!AM$3&amp;'PR Grupo'!$G56,'Plan CP'!$K:$P,3,FALSE)&gt;1,0),IFERROR(VLOOKUP('PR Grupo'!AM$3&amp;'PR Grupo'!$G56,'Plan CP'!$K:$P,3,FALSE),0),0)))</f>
        <v>1</v>
      </c>
      <c r="AN56" s="58">
        <f>IF(AM56&gt;1,AM56-1,IF(COUNTIFS('Plan CP'!$O:$O,'PR Grupo'!$G56,'Plan CP'!$P:$P,'PR Grupo'!AN$3,'Plan CP'!$M:$M,1)=1,1,IF(IFERROR(VLOOKUP('PR Grupo'!AN$3&amp;'PR Grupo'!$G56,'Plan CP'!$K:$P,3,FALSE)&gt;1,0),IFERROR(VLOOKUP('PR Grupo'!AN$3&amp;'PR Grupo'!$G56,'Plan CP'!$K:$P,3,FALSE),0),0)))</f>
        <v>1</v>
      </c>
      <c r="AO56" s="58">
        <f>IF(AN56&gt;1,AN56-1,IF(COUNTIFS('Plan CP'!$O:$O,'PR Grupo'!$G56,'Plan CP'!$P:$P,'PR Grupo'!AO$3,'Plan CP'!$M:$M,1)=1,1,IF(IFERROR(VLOOKUP('PR Grupo'!AO$3&amp;'PR Grupo'!$G56,'Plan CP'!$K:$P,3,FALSE)&gt;1,0),IFERROR(VLOOKUP('PR Grupo'!AO$3&amp;'PR Grupo'!$G56,'Plan CP'!$K:$P,3,FALSE),0),0)))</f>
        <v>1</v>
      </c>
    </row>
    <row r="57" spans="1:41">
      <c r="A57" s="21" t="s">
        <v>33</v>
      </c>
      <c r="B57" s="21" t="s">
        <v>51</v>
      </c>
      <c r="C57" s="21" t="s">
        <v>249</v>
      </c>
      <c r="D57" s="21" t="s">
        <v>271</v>
      </c>
      <c r="E57" s="24" t="s">
        <v>174</v>
      </c>
      <c r="F57" s="21" t="s">
        <v>271</v>
      </c>
      <c r="G57" s="33" t="s">
        <v>193</v>
      </c>
      <c r="H57" s="24">
        <v>25</v>
      </c>
      <c r="I57" s="33">
        <f t="shared" si="2"/>
        <v>25</v>
      </c>
      <c r="J57" s="33" t="str">
        <f t="shared" si="3"/>
        <v>OK</v>
      </c>
      <c r="K57" s="58">
        <f>IF(COUNTIFS('Plan CP'!$O:$O,'PR Grupo'!$G57,'Plan CP'!$P:$P,'PR Grupo'!K$3,'Plan CP'!$M:$M,1)=1,1,IF(IFERROR(VLOOKUP('PR Grupo'!K$3&amp;'PR Grupo'!$G57,'Plan CP'!$K:$P,3,FALSE)&gt;1,0),IFERROR(VLOOKUP('PR Grupo'!K$3&amp;'PR Grupo'!$G57,'Plan CP'!$K:$P,3,FALSE),0),0))</f>
        <v>1</v>
      </c>
      <c r="L57" s="58">
        <f>IF(K57&gt;1,K57-1,IF(COUNTIFS('Plan CP'!$O:$O,'PR Grupo'!$G57,'Plan CP'!$P:$P,'PR Grupo'!L$3,'Plan CP'!$M:$M,1)=1,1,IF(IFERROR(VLOOKUP('PR Grupo'!L$3&amp;'PR Grupo'!$G57,'Plan CP'!$K:$P,3,FALSE)&gt;1,0),IFERROR(VLOOKUP('PR Grupo'!L$3&amp;'PR Grupo'!$G57,'Plan CP'!$K:$P,3,FALSE),0),0)))</f>
        <v>1</v>
      </c>
      <c r="M57" s="58">
        <f>IF(L57&gt;1,L57-1,IF(COUNTIFS('Plan CP'!$O:$O,'PR Grupo'!$G57,'Plan CP'!$P:$P,'PR Grupo'!M$3,'Plan CP'!$M:$M,1)=1,1,IF(IFERROR(VLOOKUP('PR Grupo'!M$3&amp;'PR Grupo'!$G57,'Plan CP'!$K:$P,3,FALSE)&gt;1,0),IFERROR(VLOOKUP('PR Grupo'!M$3&amp;'PR Grupo'!$G57,'Plan CP'!$K:$P,3,FALSE),0),0)))</f>
        <v>1</v>
      </c>
      <c r="N57" s="58">
        <f>IF(M57&gt;1,M57-1,IF(COUNTIFS('Plan CP'!$O:$O,'PR Grupo'!$G57,'Plan CP'!$P:$P,'PR Grupo'!N$3,'Plan CP'!$M:$M,1)=1,1,IF(IFERROR(VLOOKUP('PR Grupo'!N$3&amp;'PR Grupo'!$G57,'Plan CP'!$K:$P,3,FALSE)&gt;1,0),IFERROR(VLOOKUP('PR Grupo'!N$3&amp;'PR Grupo'!$G57,'Plan CP'!$K:$P,3,FALSE),0),0)))</f>
        <v>1</v>
      </c>
      <c r="O57" s="58">
        <f>IF(N57&gt;1,N57-1,IF(COUNTIFS('Plan CP'!$O:$O,'PR Grupo'!$G57,'Plan CP'!$P:$P,'PR Grupo'!O$3,'Plan CP'!$M:$M,1)=1,1,IF(IFERROR(VLOOKUP('PR Grupo'!O$3&amp;'PR Grupo'!$G57,'Plan CP'!$K:$P,3,FALSE)&gt;1,0),IFERROR(VLOOKUP('PR Grupo'!O$3&amp;'PR Grupo'!$G57,'Plan CP'!$K:$P,3,FALSE),0),0)))</f>
        <v>1</v>
      </c>
      <c r="P57" s="58">
        <f>IF(O57&gt;1,O57-1,IF(COUNTIFS('Plan CP'!$O:$O,'PR Grupo'!$G57,'Plan CP'!$P:$P,'PR Grupo'!P$3,'Plan CP'!$M:$M,1)=1,1,IF(IFERROR(VLOOKUP('PR Grupo'!P$3&amp;'PR Grupo'!$G57,'Plan CP'!$K:$P,3,FALSE)&gt;1,0),IFERROR(VLOOKUP('PR Grupo'!P$3&amp;'PR Grupo'!$G57,'Plan CP'!$K:$P,3,FALSE),0),0)))</f>
        <v>1</v>
      </c>
      <c r="Q57" s="58">
        <f>IF(P57&gt;1,P57-1,IF(COUNTIFS('Plan CP'!$O:$O,'PR Grupo'!$G57,'Plan CP'!$P:$P,'PR Grupo'!Q$3,'Plan CP'!$M:$M,1)=1,1,IF(IFERROR(VLOOKUP('PR Grupo'!Q$3&amp;'PR Grupo'!$G57,'Plan CP'!$K:$P,3,FALSE)&gt;1,0),IFERROR(VLOOKUP('PR Grupo'!Q$3&amp;'PR Grupo'!$G57,'Plan CP'!$K:$P,3,FALSE),0),0)))</f>
        <v>1</v>
      </c>
      <c r="R57" s="58">
        <f>IF(Q57&gt;1,Q57-1,IF(COUNTIFS('Plan CP'!$O:$O,'PR Grupo'!$G57,'Plan CP'!$P:$P,'PR Grupo'!R$3,'Plan CP'!$M:$M,1)=1,1,IF(IFERROR(VLOOKUP('PR Grupo'!R$3&amp;'PR Grupo'!$G57,'Plan CP'!$K:$P,3,FALSE)&gt;1,0),IFERROR(VLOOKUP('PR Grupo'!R$3&amp;'PR Grupo'!$G57,'Plan CP'!$K:$P,3,FALSE),0),0)))</f>
        <v>1</v>
      </c>
      <c r="S57" s="58">
        <f>IF(R57&gt;1,R57-1,IF(COUNTIFS('Plan CP'!$O:$O,'PR Grupo'!$G57,'Plan CP'!$P:$P,'PR Grupo'!S$3,'Plan CP'!$M:$M,1)=1,1,IF(IFERROR(VLOOKUP('PR Grupo'!S$3&amp;'PR Grupo'!$G57,'Plan CP'!$K:$P,3,FALSE)&gt;1,0),IFERROR(VLOOKUP('PR Grupo'!S$3&amp;'PR Grupo'!$G57,'Plan CP'!$K:$P,3,FALSE),0),0)))</f>
        <v>1</v>
      </c>
      <c r="T57" s="58">
        <f>IF(S57&gt;1,S57-1,IF(COUNTIFS('Plan CP'!$O:$O,'PR Grupo'!$G57,'Plan CP'!$P:$P,'PR Grupo'!T$3,'Plan CP'!$M:$M,1)=1,1,IF(IFERROR(VLOOKUP('PR Grupo'!T$3&amp;'PR Grupo'!$G57,'Plan CP'!$K:$P,3,FALSE)&gt;1,0),IFERROR(VLOOKUP('PR Grupo'!T$3&amp;'PR Grupo'!$G57,'Plan CP'!$K:$P,3,FALSE),0),0)))</f>
        <v>1</v>
      </c>
      <c r="U57" s="58">
        <f>IF(T57&gt;1,T57-1,IF(COUNTIFS('Plan CP'!$O:$O,'PR Grupo'!$G57,'Plan CP'!$P:$P,'PR Grupo'!U$3,'Plan CP'!$M:$M,1)=1,1,IF(IFERROR(VLOOKUP('PR Grupo'!U$3&amp;'PR Grupo'!$G57,'Plan CP'!$K:$P,3,FALSE)&gt;1,0),IFERROR(VLOOKUP('PR Grupo'!U$3&amp;'PR Grupo'!$G57,'Plan CP'!$K:$P,3,FALSE),0),0)))</f>
        <v>1</v>
      </c>
      <c r="V57" s="58">
        <f>IF(U57&gt;1,U57-1,IF(COUNTIFS('Plan CP'!$O:$O,'PR Grupo'!$G57,'Plan CP'!$P:$P,'PR Grupo'!V$3,'Plan CP'!$M:$M,1)=1,1,IF(IFERROR(VLOOKUP('PR Grupo'!V$3&amp;'PR Grupo'!$G57,'Plan CP'!$K:$P,3,FALSE)&gt;1,0),IFERROR(VLOOKUP('PR Grupo'!V$3&amp;'PR Grupo'!$G57,'Plan CP'!$K:$P,3,FALSE),0),0)))</f>
        <v>1</v>
      </c>
      <c r="W57" s="58">
        <f>IF(V57&gt;1,V57-1,IF(COUNTIFS('Plan CP'!$O:$O,'PR Grupo'!$G57,'Plan CP'!$P:$P,'PR Grupo'!W$3,'Plan CP'!$M:$M,1)=1,1,IF(IFERROR(VLOOKUP('PR Grupo'!W$3&amp;'PR Grupo'!$G57,'Plan CP'!$K:$P,3,FALSE)&gt;1,0),IFERROR(VLOOKUP('PR Grupo'!W$3&amp;'PR Grupo'!$G57,'Plan CP'!$K:$P,3,FALSE),0),0)))</f>
        <v>1</v>
      </c>
      <c r="X57" s="58">
        <f>IF(W57&gt;1,W57-1,IF(COUNTIFS('Plan CP'!$O:$O,'PR Grupo'!$G57,'Plan CP'!$P:$P,'PR Grupo'!X$3,'Plan CP'!$M:$M,1)=1,1,IF(IFERROR(VLOOKUP('PR Grupo'!X$3&amp;'PR Grupo'!$G57,'Plan CP'!$K:$P,3,FALSE)&gt;1,0),IFERROR(VLOOKUP('PR Grupo'!X$3&amp;'PR Grupo'!$G57,'Plan CP'!$K:$P,3,FALSE),0),0)))</f>
        <v>1</v>
      </c>
      <c r="Y57" s="58">
        <f>IF(X57&gt;1,X57-1,IF(COUNTIFS('Plan CP'!$O:$O,'PR Grupo'!$G57,'Plan CP'!$P:$P,'PR Grupo'!Y$3,'Plan CP'!$M:$M,1)=1,1,IF(IFERROR(VLOOKUP('PR Grupo'!Y$3&amp;'PR Grupo'!$G57,'Plan CP'!$K:$P,3,FALSE)&gt;1,0),IFERROR(VLOOKUP('PR Grupo'!Y$3&amp;'PR Grupo'!$G57,'Plan CP'!$K:$P,3,FALSE),0),0)))</f>
        <v>1</v>
      </c>
      <c r="Z57" s="58">
        <f>IF(Y57&gt;1,Y57-1,IF(COUNTIFS('Plan CP'!$O:$O,'PR Grupo'!$G57,'Plan CP'!$P:$P,'PR Grupo'!Z$3,'Plan CP'!$M:$M,1)=1,1,IF(IFERROR(VLOOKUP('PR Grupo'!Z$3&amp;'PR Grupo'!$G57,'Plan CP'!$K:$P,3,FALSE)&gt;1,0),IFERROR(VLOOKUP('PR Grupo'!Z$3&amp;'PR Grupo'!$G57,'Plan CP'!$K:$P,3,FALSE),0),0)))</f>
        <v>1</v>
      </c>
      <c r="AA57" s="58">
        <f>IF(Z57&gt;1,Z57-1,IF(COUNTIFS('Plan CP'!$O:$O,'PR Grupo'!$G57,'Plan CP'!$P:$P,'PR Grupo'!AA$3,'Plan CP'!$M:$M,1)=1,1,IF(IFERROR(VLOOKUP('PR Grupo'!AA$3&amp;'PR Grupo'!$G57,'Plan CP'!$K:$P,3,FALSE)&gt;1,0),IFERROR(VLOOKUP('PR Grupo'!AA$3&amp;'PR Grupo'!$G57,'Plan CP'!$K:$P,3,FALSE),0),0)))</f>
        <v>1</v>
      </c>
      <c r="AB57" s="58">
        <f>IF(AA57&gt;1,AA57-1,IF(COUNTIFS('Plan CP'!$O:$O,'PR Grupo'!$G57,'Plan CP'!$P:$P,'PR Grupo'!AB$3,'Plan CP'!$M:$M,1)=1,1,IF(IFERROR(VLOOKUP('PR Grupo'!AB$3&amp;'PR Grupo'!$G57,'Plan CP'!$K:$P,3,FALSE)&gt;1,0),IFERROR(VLOOKUP('PR Grupo'!AB$3&amp;'PR Grupo'!$G57,'Plan CP'!$K:$P,3,FALSE),0),0)))</f>
        <v>1</v>
      </c>
      <c r="AC57" s="58">
        <f>IF(AB57&gt;1,AB57-1,IF(COUNTIFS('Plan CP'!$O:$O,'PR Grupo'!$G57,'Plan CP'!$P:$P,'PR Grupo'!AC$3,'Plan CP'!$M:$M,1)=1,1,IF(IFERROR(VLOOKUP('PR Grupo'!AC$3&amp;'PR Grupo'!$G57,'Plan CP'!$K:$P,3,FALSE)&gt;1,0),IFERROR(VLOOKUP('PR Grupo'!AC$3&amp;'PR Grupo'!$G57,'Plan CP'!$K:$P,3,FALSE),0),0)))</f>
        <v>1</v>
      </c>
      <c r="AD57" s="58">
        <f>IF(AC57&gt;1,AC57-1,IF(COUNTIFS('Plan CP'!$O:$O,'PR Grupo'!$G57,'Plan CP'!$P:$P,'PR Grupo'!AD$3,'Plan CP'!$M:$M,1)=1,1,IF(IFERROR(VLOOKUP('PR Grupo'!AD$3&amp;'PR Grupo'!$G57,'Plan CP'!$K:$P,3,FALSE)&gt;1,0),IFERROR(VLOOKUP('PR Grupo'!AD$3&amp;'PR Grupo'!$G57,'Plan CP'!$K:$P,3,FALSE),0),0)))</f>
        <v>0</v>
      </c>
      <c r="AE57" s="58">
        <f>IF(AD57&gt;1,AD57-1,IF(COUNTIFS('Plan CP'!$O:$O,'PR Grupo'!$G57,'Plan CP'!$P:$P,'PR Grupo'!AE$3,'Plan CP'!$M:$M,1)=1,1,IF(IFERROR(VLOOKUP('PR Grupo'!AE$3&amp;'PR Grupo'!$G57,'Plan CP'!$K:$P,3,FALSE)&gt;1,0),IFERROR(VLOOKUP('PR Grupo'!AE$3&amp;'PR Grupo'!$G57,'Plan CP'!$K:$P,3,FALSE),0),0)))</f>
        <v>0</v>
      </c>
      <c r="AF57" s="58">
        <f>IF(AE57&gt;1,AE57-1,IF(COUNTIFS('Plan CP'!$O:$O,'PR Grupo'!$G57,'Plan CP'!$P:$P,'PR Grupo'!AF$3,'Plan CP'!$M:$M,1)=1,1,IF(IFERROR(VLOOKUP('PR Grupo'!AF$3&amp;'PR Grupo'!$G57,'Plan CP'!$K:$P,3,FALSE)&gt;1,0),IFERROR(VLOOKUP('PR Grupo'!AF$3&amp;'PR Grupo'!$G57,'Plan CP'!$K:$P,3,FALSE),0),0)))</f>
        <v>0</v>
      </c>
      <c r="AG57" s="58">
        <f>IF(AF57&gt;1,AF57-1,IF(COUNTIFS('Plan CP'!$O:$O,'PR Grupo'!$G57,'Plan CP'!$P:$P,'PR Grupo'!AG$3,'Plan CP'!$M:$M,1)=1,1,IF(IFERROR(VLOOKUP('PR Grupo'!AG$3&amp;'PR Grupo'!$G57,'Plan CP'!$K:$P,3,FALSE)&gt;1,0),IFERROR(VLOOKUP('PR Grupo'!AG$3&amp;'PR Grupo'!$G57,'Plan CP'!$K:$P,3,FALSE),0),0)))</f>
        <v>0</v>
      </c>
      <c r="AH57" s="58">
        <f>IF(AG57&gt;1,AG57-1,IF(COUNTIFS('Plan CP'!$O:$O,'PR Grupo'!$G57,'Plan CP'!$P:$P,'PR Grupo'!AH$3,'Plan CP'!$M:$M,1)=1,1,IF(IFERROR(VLOOKUP('PR Grupo'!AH$3&amp;'PR Grupo'!$G57,'Plan CP'!$K:$P,3,FALSE)&gt;1,0),IFERROR(VLOOKUP('PR Grupo'!AH$3&amp;'PR Grupo'!$G57,'Plan CP'!$K:$P,3,FALSE),0),0)))</f>
        <v>0</v>
      </c>
      <c r="AI57" s="58">
        <f>IF(AH57&gt;1,AH57-1,IF(COUNTIFS('Plan CP'!$O:$O,'PR Grupo'!$G57,'Plan CP'!$P:$P,'PR Grupo'!AI$3,'Plan CP'!$M:$M,1)=1,1,IF(IFERROR(VLOOKUP('PR Grupo'!AI$3&amp;'PR Grupo'!$G57,'Plan CP'!$K:$P,3,FALSE)&gt;1,0),IFERROR(VLOOKUP('PR Grupo'!AI$3&amp;'PR Grupo'!$G57,'Plan CP'!$K:$P,3,FALSE),0),0)))</f>
        <v>0</v>
      </c>
      <c r="AJ57" s="58">
        <f>IF(AI57&gt;1,AI57-1,IF(COUNTIFS('Plan CP'!$O:$O,'PR Grupo'!$G57,'Plan CP'!$P:$P,'PR Grupo'!AJ$3,'Plan CP'!$M:$M,1)=1,1,IF(IFERROR(VLOOKUP('PR Grupo'!AJ$3&amp;'PR Grupo'!$G57,'Plan CP'!$K:$P,3,FALSE)&gt;1,0),IFERROR(VLOOKUP('PR Grupo'!AJ$3&amp;'PR Grupo'!$G57,'Plan CP'!$K:$P,3,FALSE),0),0)))</f>
        <v>1</v>
      </c>
      <c r="AK57" s="58">
        <f>IF(AJ57&gt;1,AJ57-1,IF(COUNTIFS('Plan CP'!$O:$O,'PR Grupo'!$G57,'Plan CP'!$P:$P,'PR Grupo'!AK$3,'Plan CP'!$M:$M,1)=1,1,IF(IFERROR(VLOOKUP('PR Grupo'!AK$3&amp;'PR Grupo'!$G57,'Plan CP'!$K:$P,3,FALSE)&gt;1,0),IFERROR(VLOOKUP('PR Grupo'!AK$3&amp;'PR Grupo'!$G57,'Plan CP'!$K:$P,3,FALSE),0),0)))</f>
        <v>1</v>
      </c>
      <c r="AL57" s="58">
        <f>IF(AK57&gt;1,AK57-1,IF(COUNTIFS('Plan CP'!$O:$O,'PR Grupo'!$G57,'Plan CP'!$P:$P,'PR Grupo'!AL$3,'Plan CP'!$M:$M,1)=1,1,IF(IFERROR(VLOOKUP('PR Grupo'!AL$3&amp;'PR Grupo'!$G57,'Plan CP'!$K:$P,3,FALSE)&gt;1,0),IFERROR(VLOOKUP('PR Grupo'!AL$3&amp;'PR Grupo'!$G57,'Plan CP'!$K:$P,3,FALSE),0),0)))</f>
        <v>1</v>
      </c>
      <c r="AM57" s="58">
        <f>IF(AL57&gt;1,AL57-1,IF(COUNTIFS('Plan CP'!$O:$O,'PR Grupo'!$G57,'Plan CP'!$P:$P,'PR Grupo'!AM$3,'Plan CP'!$M:$M,1)=1,1,IF(IFERROR(VLOOKUP('PR Grupo'!AM$3&amp;'PR Grupo'!$G57,'Plan CP'!$K:$P,3,FALSE)&gt;1,0),IFERROR(VLOOKUP('PR Grupo'!AM$3&amp;'PR Grupo'!$G57,'Plan CP'!$K:$P,3,FALSE),0),0)))</f>
        <v>1</v>
      </c>
      <c r="AN57" s="58">
        <f>IF(AM57&gt;1,AM57-1,IF(COUNTIFS('Plan CP'!$O:$O,'PR Grupo'!$G57,'Plan CP'!$P:$P,'PR Grupo'!AN$3,'Plan CP'!$M:$M,1)=1,1,IF(IFERROR(VLOOKUP('PR Grupo'!AN$3&amp;'PR Grupo'!$G57,'Plan CP'!$K:$P,3,FALSE)&gt;1,0),IFERROR(VLOOKUP('PR Grupo'!AN$3&amp;'PR Grupo'!$G57,'Plan CP'!$K:$P,3,FALSE),0),0)))</f>
        <v>1</v>
      </c>
      <c r="AO57" s="58">
        <f>IF(AN57&gt;1,AN57-1,IF(COUNTIFS('Plan CP'!$O:$O,'PR Grupo'!$G57,'Plan CP'!$P:$P,'PR Grupo'!AO$3,'Plan CP'!$M:$M,1)=1,1,IF(IFERROR(VLOOKUP('PR Grupo'!AO$3&amp;'PR Grupo'!$G57,'Plan CP'!$K:$P,3,FALSE)&gt;1,0),IFERROR(VLOOKUP('PR Grupo'!AO$3&amp;'PR Grupo'!$G57,'Plan CP'!$K:$P,3,FALSE),0),0)))</f>
        <v>1</v>
      </c>
    </row>
    <row r="58" spans="1:41">
      <c r="A58" s="21" t="s">
        <v>33</v>
      </c>
      <c r="B58" s="21" t="s">
        <v>40</v>
      </c>
      <c r="C58" s="21" t="s">
        <v>250</v>
      </c>
      <c r="D58" s="21" t="s">
        <v>265</v>
      </c>
      <c r="E58" s="24" t="s">
        <v>174</v>
      </c>
      <c r="F58" s="21" t="s">
        <v>265</v>
      </c>
      <c r="G58" s="33" t="s">
        <v>193</v>
      </c>
      <c r="H58" s="24">
        <v>25</v>
      </c>
      <c r="I58" s="33">
        <f t="shared" si="2"/>
        <v>25</v>
      </c>
      <c r="J58" s="33" t="str">
        <f t="shared" si="3"/>
        <v>OK</v>
      </c>
      <c r="K58" s="58">
        <f>IF(COUNTIFS('Plan CP'!$O:$O,'PR Grupo'!$G58,'Plan CP'!$P:$P,'PR Grupo'!K$3,'Plan CP'!$M:$M,1)=1,1,IF(IFERROR(VLOOKUP('PR Grupo'!K$3&amp;'PR Grupo'!$G58,'Plan CP'!$K:$P,3,FALSE)&gt;1,0),IFERROR(VLOOKUP('PR Grupo'!K$3&amp;'PR Grupo'!$G58,'Plan CP'!$K:$P,3,FALSE),0),0))</f>
        <v>1</v>
      </c>
      <c r="L58" s="58">
        <f>IF(K58&gt;1,K58-1,IF(COUNTIFS('Plan CP'!$O:$O,'PR Grupo'!$G58,'Plan CP'!$P:$P,'PR Grupo'!L$3,'Plan CP'!$M:$M,1)=1,1,IF(IFERROR(VLOOKUP('PR Grupo'!L$3&amp;'PR Grupo'!$G58,'Plan CP'!$K:$P,3,FALSE)&gt;1,0),IFERROR(VLOOKUP('PR Grupo'!L$3&amp;'PR Grupo'!$G58,'Plan CP'!$K:$P,3,FALSE),0),0)))</f>
        <v>1</v>
      </c>
      <c r="M58" s="58">
        <f>IF(L58&gt;1,L58-1,IF(COUNTIFS('Plan CP'!$O:$O,'PR Grupo'!$G58,'Plan CP'!$P:$P,'PR Grupo'!M$3,'Plan CP'!$M:$M,1)=1,1,IF(IFERROR(VLOOKUP('PR Grupo'!M$3&amp;'PR Grupo'!$G58,'Plan CP'!$K:$P,3,FALSE)&gt;1,0),IFERROR(VLOOKUP('PR Grupo'!M$3&amp;'PR Grupo'!$G58,'Plan CP'!$K:$P,3,FALSE),0),0)))</f>
        <v>1</v>
      </c>
      <c r="N58" s="58">
        <f>IF(M58&gt;1,M58-1,IF(COUNTIFS('Plan CP'!$O:$O,'PR Grupo'!$G58,'Plan CP'!$P:$P,'PR Grupo'!N$3,'Plan CP'!$M:$M,1)=1,1,IF(IFERROR(VLOOKUP('PR Grupo'!N$3&amp;'PR Grupo'!$G58,'Plan CP'!$K:$P,3,FALSE)&gt;1,0),IFERROR(VLOOKUP('PR Grupo'!N$3&amp;'PR Grupo'!$G58,'Plan CP'!$K:$P,3,FALSE),0),0)))</f>
        <v>1</v>
      </c>
      <c r="O58" s="58">
        <f>IF(N58&gt;1,N58-1,IF(COUNTIFS('Plan CP'!$O:$O,'PR Grupo'!$G58,'Plan CP'!$P:$P,'PR Grupo'!O$3,'Plan CP'!$M:$M,1)=1,1,IF(IFERROR(VLOOKUP('PR Grupo'!O$3&amp;'PR Grupo'!$G58,'Plan CP'!$K:$P,3,FALSE)&gt;1,0),IFERROR(VLOOKUP('PR Grupo'!O$3&amp;'PR Grupo'!$G58,'Plan CP'!$K:$P,3,FALSE),0),0)))</f>
        <v>1</v>
      </c>
      <c r="P58" s="58">
        <f>IF(O58&gt;1,O58-1,IF(COUNTIFS('Plan CP'!$O:$O,'PR Grupo'!$G58,'Plan CP'!$P:$P,'PR Grupo'!P$3,'Plan CP'!$M:$M,1)=1,1,IF(IFERROR(VLOOKUP('PR Grupo'!P$3&amp;'PR Grupo'!$G58,'Plan CP'!$K:$P,3,FALSE)&gt;1,0),IFERROR(VLOOKUP('PR Grupo'!P$3&amp;'PR Grupo'!$G58,'Plan CP'!$K:$P,3,FALSE),0),0)))</f>
        <v>1</v>
      </c>
      <c r="Q58" s="58">
        <f>IF(P58&gt;1,P58-1,IF(COUNTIFS('Plan CP'!$O:$O,'PR Grupo'!$G58,'Plan CP'!$P:$P,'PR Grupo'!Q$3,'Plan CP'!$M:$M,1)=1,1,IF(IFERROR(VLOOKUP('PR Grupo'!Q$3&amp;'PR Grupo'!$G58,'Plan CP'!$K:$P,3,FALSE)&gt;1,0),IFERROR(VLOOKUP('PR Grupo'!Q$3&amp;'PR Grupo'!$G58,'Plan CP'!$K:$P,3,FALSE),0),0)))</f>
        <v>1</v>
      </c>
      <c r="R58" s="58">
        <f>IF(Q58&gt;1,Q58-1,IF(COUNTIFS('Plan CP'!$O:$O,'PR Grupo'!$G58,'Plan CP'!$P:$P,'PR Grupo'!R$3,'Plan CP'!$M:$M,1)=1,1,IF(IFERROR(VLOOKUP('PR Grupo'!R$3&amp;'PR Grupo'!$G58,'Plan CP'!$K:$P,3,FALSE)&gt;1,0),IFERROR(VLOOKUP('PR Grupo'!R$3&amp;'PR Grupo'!$G58,'Plan CP'!$K:$P,3,FALSE),0),0)))</f>
        <v>1</v>
      </c>
      <c r="S58" s="58">
        <f>IF(R58&gt;1,R58-1,IF(COUNTIFS('Plan CP'!$O:$O,'PR Grupo'!$G58,'Plan CP'!$P:$P,'PR Grupo'!S$3,'Plan CP'!$M:$M,1)=1,1,IF(IFERROR(VLOOKUP('PR Grupo'!S$3&amp;'PR Grupo'!$G58,'Plan CP'!$K:$P,3,FALSE)&gt;1,0),IFERROR(VLOOKUP('PR Grupo'!S$3&amp;'PR Grupo'!$G58,'Plan CP'!$K:$P,3,FALSE),0),0)))</f>
        <v>1</v>
      </c>
      <c r="T58" s="58">
        <f>IF(S58&gt;1,S58-1,IF(COUNTIFS('Plan CP'!$O:$O,'PR Grupo'!$G58,'Plan CP'!$P:$P,'PR Grupo'!T$3,'Plan CP'!$M:$M,1)=1,1,IF(IFERROR(VLOOKUP('PR Grupo'!T$3&amp;'PR Grupo'!$G58,'Plan CP'!$K:$P,3,FALSE)&gt;1,0),IFERROR(VLOOKUP('PR Grupo'!T$3&amp;'PR Grupo'!$G58,'Plan CP'!$K:$P,3,FALSE),0),0)))</f>
        <v>1</v>
      </c>
      <c r="U58" s="58">
        <f>IF(T58&gt;1,T58-1,IF(COUNTIFS('Plan CP'!$O:$O,'PR Grupo'!$G58,'Plan CP'!$P:$P,'PR Grupo'!U$3,'Plan CP'!$M:$M,1)=1,1,IF(IFERROR(VLOOKUP('PR Grupo'!U$3&amp;'PR Grupo'!$G58,'Plan CP'!$K:$P,3,FALSE)&gt;1,0),IFERROR(VLOOKUP('PR Grupo'!U$3&amp;'PR Grupo'!$G58,'Plan CP'!$K:$P,3,FALSE),0),0)))</f>
        <v>1</v>
      </c>
      <c r="V58" s="58">
        <f>IF(U58&gt;1,U58-1,IF(COUNTIFS('Plan CP'!$O:$O,'PR Grupo'!$G58,'Plan CP'!$P:$P,'PR Grupo'!V$3,'Plan CP'!$M:$M,1)=1,1,IF(IFERROR(VLOOKUP('PR Grupo'!V$3&amp;'PR Grupo'!$G58,'Plan CP'!$K:$P,3,FALSE)&gt;1,0),IFERROR(VLOOKUP('PR Grupo'!V$3&amp;'PR Grupo'!$G58,'Plan CP'!$K:$P,3,FALSE),0),0)))</f>
        <v>1</v>
      </c>
      <c r="W58" s="58">
        <f>IF(V58&gt;1,V58-1,IF(COUNTIFS('Plan CP'!$O:$O,'PR Grupo'!$G58,'Plan CP'!$P:$P,'PR Grupo'!W$3,'Plan CP'!$M:$M,1)=1,1,IF(IFERROR(VLOOKUP('PR Grupo'!W$3&amp;'PR Grupo'!$G58,'Plan CP'!$K:$P,3,FALSE)&gt;1,0),IFERROR(VLOOKUP('PR Grupo'!W$3&amp;'PR Grupo'!$G58,'Plan CP'!$K:$P,3,FALSE),0),0)))</f>
        <v>1</v>
      </c>
      <c r="X58" s="58">
        <f>IF(W58&gt;1,W58-1,IF(COUNTIFS('Plan CP'!$O:$O,'PR Grupo'!$G58,'Plan CP'!$P:$P,'PR Grupo'!X$3,'Plan CP'!$M:$M,1)=1,1,IF(IFERROR(VLOOKUP('PR Grupo'!X$3&amp;'PR Grupo'!$G58,'Plan CP'!$K:$P,3,FALSE)&gt;1,0),IFERROR(VLOOKUP('PR Grupo'!X$3&amp;'PR Grupo'!$G58,'Plan CP'!$K:$P,3,FALSE),0),0)))</f>
        <v>1</v>
      </c>
      <c r="Y58" s="58">
        <f>IF(X58&gt;1,X58-1,IF(COUNTIFS('Plan CP'!$O:$O,'PR Grupo'!$G58,'Plan CP'!$P:$P,'PR Grupo'!Y$3,'Plan CP'!$M:$M,1)=1,1,IF(IFERROR(VLOOKUP('PR Grupo'!Y$3&amp;'PR Grupo'!$G58,'Plan CP'!$K:$P,3,FALSE)&gt;1,0),IFERROR(VLOOKUP('PR Grupo'!Y$3&amp;'PR Grupo'!$G58,'Plan CP'!$K:$P,3,FALSE),0),0)))</f>
        <v>1</v>
      </c>
      <c r="Z58" s="58">
        <f>IF(Y58&gt;1,Y58-1,IF(COUNTIFS('Plan CP'!$O:$O,'PR Grupo'!$G58,'Plan CP'!$P:$P,'PR Grupo'!Z$3,'Plan CP'!$M:$M,1)=1,1,IF(IFERROR(VLOOKUP('PR Grupo'!Z$3&amp;'PR Grupo'!$G58,'Plan CP'!$K:$P,3,FALSE)&gt;1,0),IFERROR(VLOOKUP('PR Grupo'!Z$3&amp;'PR Grupo'!$G58,'Plan CP'!$K:$P,3,FALSE),0),0)))</f>
        <v>1</v>
      </c>
      <c r="AA58" s="58">
        <f>IF(Z58&gt;1,Z58-1,IF(COUNTIFS('Plan CP'!$O:$O,'PR Grupo'!$G58,'Plan CP'!$P:$P,'PR Grupo'!AA$3,'Plan CP'!$M:$M,1)=1,1,IF(IFERROR(VLOOKUP('PR Grupo'!AA$3&amp;'PR Grupo'!$G58,'Plan CP'!$K:$P,3,FALSE)&gt;1,0),IFERROR(VLOOKUP('PR Grupo'!AA$3&amp;'PR Grupo'!$G58,'Plan CP'!$K:$P,3,FALSE),0),0)))</f>
        <v>1</v>
      </c>
      <c r="AB58" s="58">
        <f>IF(AA58&gt;1,AA58-1,IF(COUNTIFS('Plan CP'!$O:$O,'PR Grupo'!$G58,'Plan CP'!$P:$P,'PR Grupo'!AB$3,'Plan CP'!$M:$M,1)=1,1,IF(IFERROR(VLOOKUP('PR Grupo'!AB$3&amp;'PR Grupo'!$G58,'Plan CP'!$K:$P,3,FALSE)&gt;1,0),IFERROR(VLOOKUP('PR Grupo'!AB$3&amp;'PR Grupo'!$G58,'Plan CP'!$K:$P,3,FALSE),0),0)))</f>
        <v>1</v>
      </c>
      <c r="AC58" s="58">
        <f>IF(AB58&gt;1,AB58-1,IF(COUNTIFS('Plan CP'!$O:$O,'PR Grupo'!$G58,'Plan CP'!$P:$P,'PR Grupo'!AC$3,'Plan CP'!$M:$M,1)=1,1,IF(IFERROR(VLOOKUP('PR Grupo'!AC$3&amp;'PR Grupo'!$G58,'Plan CP'!$K:$P,3,FALSE)&gt;1,0),IFERROR(VLOOKUP('PR Grupo'!AC$3&amp;'PR Grupo'!$G58,'Plan CP'!$K:$P,3,FALSE),0),0)))</f>
        <v>1</v>
      </c>
      <c r="AD58" s="58">
        <f>IF(AC58&gt;1,AC58-1,IF(COUNTIFS('Plan CP'!$O:$O,'PR Grupo'!$G58,'Plan CP'!$P:$P,'PR Grupo'!AD$3,'Plan CP'!$M:$M,1)=1,1,IF(IFERROR(VLOOKUP('PR Grupo'!AD$3&amp;'PR Grupo'!$G58,'Plan CP'!$K:$P,3,FALSE)&gt;1,0),IFERROR(VLOOKUP('PR Grupo'!AD$3&amp;'PR Grupo'!$G58,'Plan CP'!$K:$P,3,FALSE),0),0)))</f>
        <v>0</v>
      </c>
      <c r="AE58" s="58">
        <f>IF(AD58&gt;1,AD58-1,IF(COUNTIFS('Plan CP'!$O:$O,'PR Grupo'!$G58,'Plan CP'!$P:$P,'PR Grupo'!AE$3,'Plan CP'!$M:$M,1)=1,1,IF(IFERROR(VLOOKUP('PR Grupo'!AE$3&amp;'PR Grupo'!$G58,'Plan CP'!$K:$P,3,FALSE)&gt;1,0),IFERROR(VLOOKUP('PR Grupo'!AE$3&amp;'PR Grupo'!$G58,'Plan CP'!$K:$P,3,FALSE),0),0)))</f>
        <v>0</v>
      </c>
      <c r="AF58" s="58">
        <f>IF(AE58&gt;1,AE58-1,IF(COUNTIFS('Plan CP'!$O:$O,'PR Grupo'!$G58,'Plan CP'!$P:$P,'PR Grupo'!AF$3,'Plan CP'!$M:$M,1)=1,1,IF(IFERROR(VLOOKUP('PR Grupo'!AF$3&amp;'PR Grupo'!$G58,'Plan CP'!$K:$P,3,FALSE)&gt;1,0),IFERROR(VLOOKUP('PR Grupo'!AF$3&amp;'PR Grupo'!$G58,'Plan CP'!$K:$P,3,FALSE),0),0)))</f>
        <v>0</v>
      </c>
      <c r="AG58" s="58">
        <f>IF(AF58&gt;1,AF58-1,IF(COUNTIFS('Plan CP'!$O:$O,'PR Grupo'!$G58,'Plan CP'!$P:$P,'PR Grupo'!AG$3,'Plan CP'!$M:$M,1)=1,1,IF(IFERROR(VLOOKUP('PR Grupo'!AG$3&amp;'PR Grupo'!$G58,'Plan CP'!$K:$P,3,FALSE)&gt;1,0),IFERROR(VLOOKUP('PR Grupo'!AG$3&amp;'PR Grupo'!$G58,'Plan CP'!$K:$P,3,FALSE),0),0)))</f>
        <v>0</v>
      </c>
      <c r="AH58" s="58">
        <f>IF(AG58&gt;1,AG58-1,IF(COUNTIFS('Plan CP'!$O:$O,'PR Grupo'!$G58,'Plan CP'!$P:$P,'PR Grupo'!AH$3,'Plan CP'!$M:$M,1)=1,1,IF(IFERROR(VLOOKUP('PR Grupo'!AH$3&amp;'PR Grupo'!$G58,'Plan CP'!$K:$P,3,FALSE)&gt;1,0),IFERROR(VLOOKUP('PR Grupo'!AH$3&amp;'PR Grupo'!$G58,'Plan CP'!$K:$P,3,FALSE),0),0)))</f>
        <v>0</v>
      </c>
      <c r="AI58" s="58">
        <f>IF(AH58&gt;1,AH58-1,IF(COUNTIFS('Plan CP'!$O:$O,'PR Grupo'!$G58,'Plan CP'!$P:$P,'PR Grupo'!AI$3,'Plan CP'!$M:$M,1)=1,1,IF(IFERROR(VLOOKUP('PR Grupo'!AI$3&amp;'PR Grupo'!$G58,'Plan CP'!$K:$P,3,FALSE)&gt;1,0),IFERROR(VLOOKUP('PR Grupo'!AI$3&amp;'PR Grupo'!$G58,'Plan CP'!$K:$P,3,FALSE),0),0)))</f>
        <v>0</v>
      </c>
      <c r="AJ58" s="58">
        <f>IF(AI58&gt;1,AI58-1,IF(COUNTIFS('Plan CP'!$O:$O,'PR Grupo'!$G58,'Plan CP'!$P:$P,'PR Grupo'!AJ$3,'Plan CP'!$M:$M,1)=1,1,IF(IFERROR(VLOOKUP('PR Grupo'!AJ$3&amp;'PR Grupo'!$G58,'Plan CP'!$K:$P,3,FALSE)&gt;1,0),IFERROR(VLOOKUP('PR Grupo'!AJ$3&amp;'PR Grupo'!$G58,'Plan CP'!$K:$P,3,FALSE),0),0)))</f>
        <v>1</v>
      </c>
      <c r="AK58" s="58">
        <f>IF(AJ58&gt;1,AJ58-1,IF(COUNTIFS('Plan CP'!$O:$O,'PR Grupo'!$G58,'Plan CP'!$P:$P,'PR Grupo'!AK$3,'Plan CP'!$M:$M,1)=1,1,IF(IFERROR(VLOOKUP('PR Grupo'!AK$3&amp;'PR Grupo'!$G58,'Plan CP'!$K:$P,3,FALSE)&gt;1,0),IFERROR(VLOOKUP('PR Grupo'!AK$3&amp;'PR Grupo'!$G58,'Plan CP'!$K:$P,3,FALSE),0),0)))</f>
        <v>1</v>
      </c>
      <c r="AL58" s="58">
        <f>IF(AK58&gt;1,AK58-1,IF(COUNTIFS('Plan CP'!$O:$O,'PR Grupo'!$G58,'Plan CP'!$P:$P,'PR Grupo'!AL$3,'Plan CP'!$M:$M,1)=1,1,IF(IFERROR(VLOOKUP('PR Grupo'!AL$3&amp;'PR Grupo'!$G58,'Plan CP'!$K:$P,3,FALSE)&gt;1,0),IFERROR(VLOOKUP('PR Grupo'!AL$3&amp;'PR Grupo'!$G58,'Plan CP'!$K:$P,3,FALSE),0),0)))</f>
        <v>1</v>
      </c>
      <c r="AM58" s="58">
        <f>IF(AL58&gt;1,AL58-1,IF(COUNTIFS('Plan CP'!$O:$O,'PR Grupo'!$G58,'Plan CP'!$P:$P,'PR Grupo'!AM$3,'Plan CP'!$M:$M,1)=1,1,IF(IFERROR(VLOOKUP('PR Grupo'!AM$3&amp;'PR Grupo'!$G58,'Plan CP'!$K:$P,3,FALSE)&gt;1,0),IFERROR(VLOOKUP('PR Grupo'!AM$3&amp;'PR Grupo'!$G58,'Plan CP'!$K:$P,3,FALSE),0),0)))</f>
        <v>1</v>
      </c>
      <c r="AN58" s="58">
        <f>IF(AM58&gt;1,AM58-1,IF(COUNTIFS('Plan CP'!$O:$O,'PR Grupo'!$G58,'Plan CP'!$P:$P,'PR Grupo'!AN$3,'Plan CP'!$M:$M,1)=1,1,IF(IFERROR(VLOOKUP('PR Grupo'!AN$3&amp;'PR Grupo'!$G58,'Plan CP'!$K:$P,3,FALSE)&gt;1,0),IFERROR(VLOOKUP('PR Grupo'!AN$3&amp;'PR Grupo'!$G58,'Plan CP'!$K:$P,3,FALSE),0),0)))</f>
        <v>1</v>
      </c>
      <c r="AO58" s="58">
        <f>IF(AN58&gt;1,AN58-1,IF(COUNTIFS('Plan CP'!$O:$O,'PR Grupo'!$G58,'Plan CP'!$P:$P,'PR Grupo'!AO$3,'Plan CP'!$M:$M,1)=1,1,IF(IFERROR(VLOOKUP('PR Grupo'!AO$3&amp;'PR Grupo'!$G58,'Plan CP'!$K:$P,3,FALSE)&gt;1,0),IFERROR(VLOOKUP('PR Grupo'!AO$3&amp;'PR Grupo'!$G58,'Plan CP'!$K:$P,3,FALSE),0),0)))</f>
        <v>1</v>
      </c>
    </row>
    <row r="59" spans="1:41">
      <c r="A59" s="21" t="s">
        <v>33</v>
      </c>
      <c r="B59" s="21" t="s">
        <v>51</v>
      </c>
      <c r="C59" s="21" t="s">
        <v>251</v>
      </c>
      <c r="D59" s="21" t="s">
        <v>271</v>
      </c>
      <c r="E59" s="24" t="s">
        <v>174</v>
      </c>
      <c r="F59" s="21" t="s">
        <v>271</v>
      </c>
      <c r="G59" s="33" t="s">
        <v>193</v>
      </c>
      <c r="H59" s="24">
        <v>25</v>
      </c>
      <c r="I59" s="33">
        <f t="shared" si="2"/>
        <v>25</v>
      </c>
      <c r="J59" s="33" t="str">
        <f t="shared" si="3"/>
        <v>OK</v>
      </c>
      <c r="K59" s="58">
        <f>IF(COUNTIFS('Plan CP'!$O:$O,'PR Grupo'!$G59,'Plan CP'!$P:$P,'PR Grupo'!K$3,'Plan CP'!$M:$M,1)=1,1,IF(IFERROR(VLOOKUP('PR Grupo'!K$3&amp;'PR Grupo'!$G59,'Plan CP'!$K:$P,3,FALSE)&gt;1,0),IFERROR(VLOOKUP('PR Grupo'!K$3&amp;'PR Grupo'!$G59,'Plan CP'!$K:$P,3,FALSE),0),0))</f>
        <v>1</v>
      </c>
      <c r="L59" s="58">
        <f>IF(K59&gt;1,K59-1,IF(COUNTIFS('Plan CP'!$O:$O,'PR Grupo'!$G59,'Plan CP'!$P:$P,'PR Grupo'!L$3,'Plan CP'!$M:$M,1)=1,1,IF(IFERROR(VLOOKUP('PR Grupo'!L$3&amp;'PR Grupo'!$G59,'Plan CP'!$K:$P,3,FALSE)&gt;1,0),IFERROR(VLOOKUP('PR Grupo'!L$3&amp;'PR Grupo'!$G59,'Plan CP'!$K:$P,3,FALSE),0),0)))</f>
        <v>1</v>
      </c>
      <c r="M59" s="58">
        <f>IF(L59&gt;1,L59-1,IF(COUNTIFS('Plan CP'!$O:$O,'PR Grupo'!$G59,'Plan CP'!$P:$P,'PR Grupo'!M$3,'Plan CP'!$M:$M,1)=1,1,IF(IFERROR(VLOOKUP('PR Grupo'!M$3&amp;'PR Grupo'!$G59,'Plan CP'!$K:$P,3,FALSE)&gt;1,0),IFERROR(VLOOKUP('PR Grupo'!M$3&amp;'PR Grupo'!$G59,'Plan CP'!$K:$P,3,FALSE),0),0)))</f>
        <v>1</v>
      </c>
      <c r="N59" s="58">
        <f>IF(M59&gt;1,M59-1,IF(COUNTIFS('Plan CP'!$O:$O,'PR Grupo'!$G59,'Plan CP'!$P:$P,'PR Grupo'!N$3,'Plan CP'!$M:$M,1)=1,1,IF(IFERROR(VLOOKUP('PR Grupo'!N$3&amp;'PR Grupo'!$G59,'Plan CP'!$K:$P,3,FALSE)&gt;1,0),IFERROR(VLOOKUP('PR Grupo'!N$3&amp;'PR Grupo'!$G59,'Plan CP'!$K:$P,3,FALSE),0),0)))</f>
        <v>1</v>
      </c>
      <c r="O59" s="58">
        <f>IF(N59&gt;1,N59-1,IF(COUNTIFS('Plan CP'!$O:$O,'PR Grupo'!$G59,'Plan CP'!$P:$P,'PR Grupo'!O$3,'Plan CP'!$M:$M,1)=1,1,IF(IFERROR(VLOOKUP('PR Grupo'!O$3&amp;'PR Grupo'!$G59,'Plan CP'!$K:$P,3,FALSE)&gt;1,0),IFERROR(VLOOKUP('PR Grupo'!O$3&amp;'PR Grupo'!$G59,'Plan CP'!$K:$P,3,FALSE),0),0)))</f>
        <v>1</v>
      </c>
      <c r="P59" s="58">
        <f>IF(O59&gt;1,O59-1,IF(COUNTIFS('Plan CP'!$O:$O,'PR Grupo'!$G59,'Plan CP'!$P:$P,'PR Grupo'!P$3,'Plan CP'!$M:$M,1)=1,1,IF(IFERROR(VLOOKUP('PR Grupo'!P$3&amp;'PR Grupo'!$G59,'Plan CP'!$K:$P,3,FALSE)&gt;1,0),IFERROR(VLOOKUP('PR Grupo'!P$3&amp;'PR Grupo'!$G59,'Plan CP'!$K:$P,3,FALSE),0),0)))</f>
        <v>1</v>
      </c>
      <c r="Q59" s="58">
        <f>IF(P59&gt;1,P59-1,IF(COUNTIFS('Plan CP'!$O:$O,'PR Grupo'!$G59,'Plan CP'!$P:$P,'PR Grupo'!Q$3,'Plan CP'!$M:$M,1)=1,1,IF(IFERROR(VLOOKUP('PR Grupo'!Q$3&amp;'PR Grupo'!$G59,'Plan CP'!$K:$P,3,FALSE)&gt;1,0),IFERROR(VLOOKUP('PR Grupo'!Q$3&amp;'PR Grupo'!$G59,'Plan CP'!$K:$P,3,FALSE),0),0)))</f>
        <v>1</v>
      </c>
      <c r="R59" s="58">
        <f>IF(Q59&gt;1,Q59-1,IF(COUNTIFS('Plan CP'!$O:$O,'PR Grupo'!$G59,'Plan CP'!$P:$P,'PR Grupo'!R$3,'Plan CP'!$M:$M,1)=1,1,IF(IFERROR(VLOOKUP('PR Grupo'!R$3&amp;'PR Grupo'!$G59,'Plan CP'!$K:$P,3,FALSE)&gt;1,0),IFERROR(VLOOKUP('PR Grupo'!R$3&amp;'PR Grupo'!$G59,'Plan CP'!$K:$P,3,FALSE),0),0)))</f>
        <v>1</v>
      </c>
      <c r="S59" s="58">
        <f>IF(R59&gt;1,R59-1,IF(COUNTIFS('Plan CP'!$O:$O,'PR Grupo'!$G59,'Plan CP'!$P:$P,'PR Grupo'!S$3,'Plan CP'!$M:$M,1)=1,1,IF(IFERROR(VLOOKUP('PR Grupo'!S$3&amp;'PR Grupo'!$G59,'Plan CP'!$K:$P,3,FALSE)&gt;1,0),IFERROR(VLOOKUP('PR Grupo'!S$3&amp;'PR Grupo'!$G59,'Plan CP'!$K:$P,3,FALSE),0),0)))</f>
        <v>1</v>
      </c>
      <c r="T59" s="58">
        <f>IF(S59&gt;1,S59-1,IF(COUNTIFS('Plan CP'!$O:$O,'PR Grupo'!$G59,'Plan CP'!$P:$P,'PR Grupo'!T$3,'Plan CP'!$M:$M,1)=1,1,IF(IFERROR(VLOOKUP('PR Grupo'!T$3&amp;'PR Grupo'!$G59,'Plan CP'!$K:$P,3,FALSE)&gt;1,0),IFERROR(VLOOKUP('PR Grupo'!T$3&amp;'PR Grupo'!$G59,'Plan CP'!$K:$P,3,FALSE),0),0)))</f>
        <v>1</v>
      </c>
      <c r="U59" s="58">
        <f>IF(T59&gt;1,T59-1,IF(COUNTIFS('Plan CP'!$O:$O,'PR Grupo'!$G59,'Plan CP'!$P:$P,'PR Grupo'!U$3,'Plan CP'!$M:$M,1)=1,1,IF(IFERROR(VLOOKUP('PR Grupo'!U$3&amp;'PR Grupo'!$G59,'Plan CP'!$K:$P,3,FALSE)&gt;1,0),IFERROR(VLOOKUP('PR Grupo'!U$3&amp;'PR Grupo'!$G59,'Plan CP'!$K:$P,3,FALSE),0),0)))</f>
        <v>1</v>
      </c>
      <c r="V59" s="58">
        <f>IF(U59&gt;1,U59-1,IF(COUNTIFS('Plan CP'!$O:$O,'PR Grupo'!$G59,'Plan CP'!$P:$P,'PR Grupo'!V$3,'Plan CP'!$M:$M,1)=1,1,IF(IFERROR(VLOOKUP('PR Grupo'!V$3&amp;'PR Grupo'!$G59,'Plan CP'!$K:$P,3,FALSE)&gt;1,0),IFERROR(VLOOKUP('PR Grupo'!V$3&amp;'PR Grupo'!$G59,'Plan CP'!$K:$P,3,FALSE),0),0)))</f>
        <v>1</v>
      </c>
      <c r="W59" s="58">
        <f>IF(V59&gt;1,V59-1,IF(COUNTIFS('Plan CP'!$O:$O,'PR Grupo'!$G59,'Plan CP'!$P:$P,'PR Grupo'!W$3,'Plan CP'!$M:$M,1)=1,1,IF(IFERROR(VLOOKUP('PR Grupo'!W$3&amp;'PR Grupo'!$G59,'Plan CP'!$K:$P,3,FALSE)&gt;1,0),IFERROR(VLOOKUP('PR Grupo'!W$3&amp;'PR Grupo'!$G59,'Plan CP'!$K:$P,3,FALSE),0),0)))</f>
        <v>1</v>
      </c>
      <c r="X59" s="58">
        <f>IF(W59&gt;1,W59-1,IF(COUNTIFS('Plan CP'!$O:$O,'PR Grupo'!$G59,'Plan CP'!$P:$P,'PR Grupo'!X$3,'Plan CP'!$M:$M,1)=1,1,IF(IFERROR(VLOOKUP('PR Grupo'!X$3&amp;'PR Grupo'!$G59,'Plan CP'!$K:$P,3,FALSE)&gt;1,0),IFERROR(VLOOKUP('PR Grupo'!X$3&amp;'PR Grupo'!$G59,'Plan CP'!$K:$P,3,FALSE),0),0)))</f>
        <v>1</v>
      </c>
      <c r="Y59" s="58">
        <f>IF(X59&gt;1,X59-1,IF(COUNTIFS('Plan CP'!$O:$O,'PR Grupo'!$G59,'Plan CP'!$P:$P,'PR Grupo'!Y$3,'Plan CP'!$M:$M,1)=1,1,IF(IFERROR(VLOOKUP('PR Grupo'!Y$3&amp;'PR Grupo'!$G59,'Plan CP'!$K:$P,3,FALSE)&gt;1,0),IFERROR(VLOOKUP('PR Grupo'!Y$3&amp;'PR Grupo'!$G59,'Plan CP'!$K:$P,3,FALSE),0),0)))</f>
        <v>1</v>
      </c>
      <c r="Z59" s="58">
        <f>IF(Y59&gt;1,Y59-1,IF(COUNTIFS('Plan CP'!$O:$O,'PR Grupo'!$G59,'Plan CP'!$P:$P,'PR Grupo'!Z$3,'Plan CP'!$M:$M,1)=1,1,IF(IFERROR(VLOOKUP('PR Grupo'!Z$3&amp;'PR Grupo'!$G59,'Plan CP'!$K:$P,3,FALSE)&gt;1,0),IFERROR(VLOOKUP('PR Grupo'!Z$3&amp;'PR Grupo'!$G59,'Plan CP'!$K:$P,3,FALSE),0),0)))</f>
        <v>1</v>
      </c>
      <c r="AA59" s="58">
        <f>IF(Z59&gt;1,Z59-1,IF(COUNTIFS('Plan CP'!$O:$O,'PR Grupo'!$G59,'Plan CP'!$P:$P,'PR Grupo'!AA$3,'Plan CP'!$M:$M,1)=1,1,IF(IFERROR(VLOOKUP('PR Grupo'!AA$3&amp;'PR Grupo'!$G59,'Plan CP'!$K:$P,3,FALSE)&gt;1,0),IFERROR(VLOOKUP('PR Grupo'!AA$3&amp;'PR Grupo'!$G59,'Plan CP'!$K:$P,3,FALSE),0),0)))</f>
        <v>1</v>
      </c>
      <c r="AB59" s="58">
        <f>IF(AA59&gt;1,AA59-1,IF(COUNTIFS('Plan CP'!$O:$O,'PR Grupo'!$G59,'Plan CP'!$P:$P,'PR Grupo'!AB$3,'Plan CP'!$M:$M,1)=1,1,IF(IFERROR(VLOOKUP('PR Grupo'!AB$3&amp;'PR Grupo'!$G59,'Plan CP'!$K:$P,3,FALSE)&gt;1,0),IFERROR(VLOOKUP('PR Grupo'!AB$3&amp;'PR Grupo'!$G59,'Plan CP'!$K:$P,3,FALSE),0),0)))</f>
        <v>1</v>
      </c>
      <c r="AC59" s="58">
        <f>IF(AB59&gt;1,AB59-1,IF(COUNTIFS('Plan CP'!$O:$O,'PR Grupo'!$G59,'Plan CP'!$P:$P,'PR Grupo'!AC$3,'Plan CP'!$M:$M,1)=1,1,IF(IFERROR(VLOOKUP('PR Grupo'!AC$3&amp;'PR Grupo'!$G59,'Plan CP'!$K:$P,3,FALSE)&gt;1,0),IFERROR(VLOOKUP('PR Grupo'!AC$3&amp;'PR Grupo'!$G59,'Plan CP'!$K:$P,3,FALSE),0),0)))</f>
        <v>1</v>
      </c>
      <c r="AD59" s="58">
        <f>IF(AC59&gt;1,AC59-1,IF(COUNTIFS('Plan CP'!$O:$O,'PR Grupo'!$G59,'Plan CP'!$P:$P,'PR Grupo'!AD$3,'Plan CP'!$M:$M,1)=1,1,IF(IFERROR(VLOOKUP('PR Grupo'!AD$3&amp;'PR Grupo'!$G59,'Plan CP'!$K:$P,3,FALSE)&gt;1,0),IFERROR(VLOOKUP('PR Grupo'!AD$3&amp;'PR Grupo'!$G59,'Plan CP'!$K:$P,3,FALSE),0),0)))</f>
        <v>0</v>
      </c>
      <c r="AE59" s="58">
        <f>IF(AD59&gt;1,AD59-1,IF(COUNTIFS('Plan CP'!$O:$O,'PR Grupo'!$G59,'Plan CP'!$P:$P,'PR Grupo'!AE$3,'Plan CP'!$M:$M,1)=1,1,IF(IFERROR(VLOOKUP('PR Grupo'!AE$3&amp;'PR Grupo'!$G59,'Plan CP'!$K:$P,3,FALSE)&gt;1,0),IFERROR(VLOOKUP('PR Grupo'!AE$3&amp;'PR Grupo'!$G59,'Plan CP'!$K:$P,3,FALSE),0),0)))</f>
        <v>0</v>
      </c>
      <c r="AF59" s="58">
        <f>IF(AE59&gt;1,AE59-1,IF(COUNTIFS('Plan CP'!$O:$O,'PR Grupo'!$G59,'Plan CP'!$P:$P,'PR Grupo'!AF$3,'Plan CP'!$M:$M,1)=1,1,IF(IFERROR(VLOOKUP('PR Grupo'!AF$3&amp;'PR Grupo'!$G59,'Plan CP'!$K:$P,3,FALSE)&gt;1,0),IFERROR(VLOOKUP('PR Grupo'!AF$3&amp;'PR Grupo'!$G59,'Plan CP'!$K:$P,3,FALSE),0),0)))</f>
        <v>0</v>
      </c>
      <c r="AG59" s="58">
        <f>IF(AF59&gt;1,AF59-1,IF(COUNTIFS('Plan CP'!$O:$O,'PR Grupo'!$G59,'Plan CP'!$P:$P,'PR Grupo'!AG$3,'Plan CP'!$M:$M,1)=1,1,IF(IFERROR(VLOOKUP('PR Grupo'!AG$3&amp;'PR Grupo'!$G59,'Plan CP'!$K:$P,3,FALSE)&gt;1,0),IFERROR(VLOOKUP('PR Grupo'!AG$3&amp;'PR Grupo'!$G59,'Plan CP'!$K:$P,3,FALSE),0),0)))</f>
        <v>0</v>
      </c>
      <c r="AH59" s="58">
        <f>IF(AG59&gt;1,AG59-1,IF(COUNTIFS('Plan CP'!$O:$O,'PR Grupo'!$G59,'Plan CP'!$P:$P,'PR Grupo'!AH$3,'Plan CP'!$M:$M,1)=1,1,IF(IFERROR(VLOOKUP('PR Grupo'!AH$3&amp;'PR Grupo'!$G59,'Plan CP'!$K:$P,3,FALSE)&gt;1,0),IFERROR(VLOOKUP('PR Grupo'!AH$3&amp;'PR Grupo'!$G59,'Plan CP'!$K:$P,3,FALSE),0),0)))</f>
        <v>0</v>
      </c>
      <c r="AI59" s="58">
        <f>IF(AH59&gt;1,AH59-1,IF(COUNTIFS('Plan CP'!$O:$O,'PR Grupo'!$G59,'Plan CP'!$P:$P,'PR Grupo'!AI$3,'Plan CP'!$M:$M,1)=1,1,IF(IFERROR(VLOOKUP('PR Grupo'!AI$3&amp;'PR Grupo'!$G59,'Plan CP'!$K:$P,3,FALSE)&gt;1,0),IFERROR(VLOOKUP('PR Grupo'!AI$3&amp;'PR Grupo'!$G59,'Plan CP'!$K:$P,3,FALSE),0),0)))</f>
        <v>0</v>
      </c>
      <c r="AJ59" s="58">
        <f>IF(AI59&gt;1,AI59-1,IF(COUNTIFS('Plan CP'!$O:$O,'PR Grupo'!$G59,'Plan CP'!$P:$P,'PR Grupo'!AJ$3,'Plan CP'!$M:$M,1)=1,1,IF(IFERROR(VLOOKUP('PR Grupo'!AJ$3&amp;'PR Grupo'!$G59,'Plan CP'!$K:$P,3,FALSE)&gt;1,0),IFERROR(VLOOKUP('PR Grupo'!AJ$3&amp;'PR Grupo'!$G59,'Plan CP'!$K:$P,3,FALSE),0),0)))</f>
        <v>1</v>
      </c>
      <c r="AK59" s="58">
        <f>IF(AJ59&gt;1,AJ59-1,IF(COUNTIFS('Plan CP'!$O:$O,'PR Grupo'!$G59,'Plan CP'!$P:$P,'PR Grupo'!AK$3,'Plan CP'!$M:$M,1)=1,1,IF(IFERROR(VLOOKUP('PR Grupo'!AK$3&amp;'PR Grupo'!$G59,'Plan CP'!$K:$P,3,FALSE)&gt;1,0),IFERROR(VLOOKUP('PR Grupo'!AK$3&amp;'PR Grupo'!$G59,'Plan CP'!$K:$P,3,FALSE),0),0)))</f>
        <v>1</v>
      </c>
      <c r="AL59" s="58">
        <f>IF(AK59&gt;1,AK59-1,IF(COUNTIFS('Plan CP'!$O:$O,'PR Grupo'!$G59,'Plan CP'!$P:$P,'PR Grupo'!AL$3,'Plan CP'!$M:$M,1)=1,1,IF(IFERROR(VLOOKUP('PR Grupo'!AL$3&amp;'PR Grupo'!$G59,'Plan CP'!$K:$P,3,FALSE)&gt;1,0),IFERROR(VLOOKUP('PR Grupo'!AL$3&amp;'PR Grupo'!$G59,'Plan CP'!$K:$P,3,FALSE),0),0)))</f>
        <v>1</v>
      </c>
      <c r="AM59" s="58">
        <f>IF(AL59&gt;1,AL59-1,IF(COUNTIFS('Plan CP'!$O:$O,'PR Grupo'!$G59,'Plan CP'!$P:$P,'PR Grupo'!AM$3,'Plan CP'!$M:$M,1)=1,1,IF(IFERROR(VLOOKUP('PR Grupo'!AM$3&amp;'PR Grupo'!$G59,'Plan CP'!$K:$P,3,FALSE)&gt;1,0),IFERROR(VLOOKUP('PR Grupo'!AM$3&amp;'PR Grupo'!$G59,'Plan CP'!$K:$P,3,FALSE),0),0)))</f>
        <v>1</v>
      </c>
      <c r="AN59" s="58">
        <f>IF(AM59&gt;1,AM59-1,IF(COUNTIFS('Plan CP'!$O:$O,'PR Grupo'!$G59,'Plan CP'!$P:$P,'PR Grupo'!AN$3,'Plan CP'!$M:$M,1)=1,1,IF(IFERROR(VLOOKUP('PR Grupo'!AN$3&amp;'PR Grupo'!$G59,'Plan CP'!$K:$P,3,FALSE)&gt;1,0),IFERROR(VLOOKUP('PR Grupo'!AN$3&amp;'PR Grupo'!$G59,'Plan CP'!$K:$P,3,FALSE),0),0)))</f>
        <v>1</v>
      </c>
      <c r="AO59" s="58">
        <f>IF(AN59&gt;1,AN59-1,IF(COUNTIFS('Plan CP'!$O:$O,'PR Grupo'!$G59,'Plan CP'!$P:$P,'PR Grupo'!AO$3,'Plan CP'!$M:$M,1)=1,1,IF(IFERROR(VLOOKUP('PR Grupo'!AO$3&amp;'PR Grupo'!$G59,'Plan CP'!$K:$P,3,FALSE)&gt;1,0),IFERROR(VLOOKUP('PR Grupo'!AO$3&amp;'PR Grupo'!$G59,'Plan CP'!$K:$P,3,FALSE),0),0)))</f>
        <v>1</v>
      </c>
    </row>
    <row r="60" spans="1:41">
      <c r="A60" s="21" t="s">
        <v>33</v>
      </c>
      <c r="B60" s="21" t="s">
        <v>40</v>
      </c>
      <c r="C60" s="21" t="s">
        <v>252</v>
      </c>
      <c r="D60" s="21" t="s">
        <v>265</v>
      </c>
      <c r="E60" s="24" t="s">
        <v>174</v>
      </c>
      <c r="F60" s="21" t="s">
        <v>265</v>
      </c>
      <c r="G60" s="33" t="s">
        <v>193</v>
      </c>
      <c r="H60" s="24">
        <v>25</v>
      </c>
      <c r="I60" s="33">
        <f t="shared" si="2"/>
        <v>25</v>
      </c>
      <c r="J60" s="33" t="str">
        <f t="shared" si="3"/>
        <v>OK</v>
      </c>
      <c r="K60" s="58">
        <f>IF(COUNTIFS('Plan CP'!$O:$O,'PR Grupo'!$G60,'Plan CP'!$P:$P,'PR Grupo'!K$3,'Plan CP'!$M:$M,1)=1,1,IF(IFERROR(VLOOKUP('PR Grupo'!K$3&amp;'PR Grupo'!$G60,'Plan CP'!$K:$P,3,FALSE)&gt;1,0),IFERROR(VLOOKUP('PR Grupo'!K$3&amp;'PR Grupo'!$G60,'Plan CP'!$K:$P,3,FALSE),0),0))</f>
        <v>1</v>
      </c>
      <c r="L60" s="58">
        <f>IF(K60&gt;1,K60-1,IF(COUNTIFS('Plan CP'!$O:$O,'PR Grupo'!$G60,'Plan CP'!$P:$P,'PR Grupo'!L$3,'Plan CP'!$M:$M,1)=1,1,IF(IFERROR(VLOOKUP('PR Grupo'!L$3&amp;'PR Grupo'!$G60,'Plan CP'!$K:$P,3,FALSE)&gt;1,0),IFERROR(VLOOKUP('PR Grupo'!L$3&amp;'PR Grupo'!$G60,'Plan CP'!$K:$P,3,FALSE),0),0)))</f>
        <v>1</v>
      </c>
      <c r="M60" s="58">
        <f>IF(L60&gt;1,L60-1,IF(COUNTIFS('Plan CP'!$O:$O,'PR Grupo'!$G60,'Plan CP'!$P:$P,'PR Grupo'!M$3,'Plan CP'!$M:$M,1)=1,1,IF(IFERROR(VLOOKUP('PR Grupo'!M$3&amp;'PR Grupo'!$G60,'Plan CP'!$K:$P,3,FALSE)&gt;1,0),IFERROR(VLOOKUP('PR Grupo'!M$3&amp;'PR Grupo'!$G60,'Plan CP'!$K:$P,3,FALSE),0),0)))</f>
        <v>1</v>
      </c>
      <c r="N60" s="58">
        <f>IF(M60&gt;1,M60-1,IF(COUNTIFS('Plan CP'!$O:$O,'PR Grupo'!$G60,'Plan CP'!$P:$P,'PR Grupo'!N$3,'Plan CP'!$M:$M,1)=1,1,IF(IFERROR(VLOOKUP('PR Grupo'!N$3&amp;'PR Grupo'!$G60,'Plan CP'!$K:$P,3,FALSE)&gt;1,0),IFERROR(VLOOKUP('PR Grupo'!N$3&amp;'PR Grupo'!$G60,'Plan CP'!$K:$P,3,FALSE),0),0)))</f>
        <v>1</v>
      </c>
      <c r="O60" s="58">
        <f>IF(N60&gt;1,N60-1,IF(COUNTIFS('Plan CP'!$O:$O,'PR Grupo'!$G60,'Plan CP'!$P:$P,'PR Grupo'!O$3,'Plan CP'!$M:$M,1)=1,1,IF(IFERROR(VLOOKUP('PR Grupo'!O$3&amp;'PR Grupo'!$G60,'Plan CP'!$K:$P,3,FALSE)&gt;1,0),IFERROR(VLOOKUP('PR Grupo'!O$3&amp;'PR Grupo'!$G60,'Plan CP'!$K:$P,3,FALSE),0),0)))</f>
        <v>1</v>
      </c>
      <c r="P60" s="58">
        <f>IF(O60&gt;1,O60-1,IF(COUNTIFS('Plan CP'!$O:$O,'PR Grupo'!$G60,'Plan CP'!$P:$P,'PR Grupo'!P$3,'Plan CP'!$M:$M,1)=1,1,IF(IFERROR(VLOOKUP('PR Grupo'!P$3&amp;'PR Grupo'!$G60,'Plan CP'!$K:$P,3,FALSE)&gt;1,0),IFERROR(VLOOKUP('PR Grupo'!P$3&amp;'PR Grupo'!$G60,'Plan CP'!$K:$P,3,FALSE),0),0)))</f>
        <v>1</v>
      </c>
      <c r="Q60" s="58">
        <f>IF(P60&gt;1,P60-1,IF(COUNTIFS('Plan CP'!$O:$O,'PR Grupo'!$G60,'Plan CP'!$P:$P,'PR Grupo'!Q$3,'Plan CP'!$M:$M,1)=1,1,IF(IFERROR(VLOOKUP('PR Grupo'!Q$3&amp;'PR Grupo'!$G60,'Plan CP'!$K:$P,3,FALSE)&gt;1,0),IFERROR(VLOOKUP('PR Grupo'!Q$3&amp;'PR Grupo'!$G60,'Plan CP'!$K:$P,3,FALSE),0),0)))</f>
        <v>1</v>
      </c>
      <c r="R60" s="58">
        <f>IF(Q60&gt;1,Q60-1,IF(COUNTIFS('Plan CP'!$O:$O,'PR Grupo'!$G60,'Plan CP'!$P:$P,'PR Grupo'!R$3,'Plan CP'!$M:$M,1)=1,1,IF(IFERROR(VLOOKUP('PR Grupo'!R$3&amp;'PR Grupo'!$G60,'Plan CP'!$K:$P,3,FALSE)&gt;1,0),IFERROR(VLOOKUP('PR Grupo'!R$3&amp;'PR Grupo'!$G60,'Plan CP'!$K:$P,3,FALSE),0),0)))</f>
        <v>1</v>
      </c>
      <c r="S60" s="58">
        <f>IF(R60&gt;1,R60-1,IF(COUNTIFS('Plan CP'!$O:$O,'PR Grupo'!$G60,'Plan CP'!$P:$P,'PR Grupo'!S$3,'Plan CP'!$M:$M,1)=1,1,IF(IFERROR(VLOOKUP('PR Grupo'!S$3&amp;'PR Grupo'!$G60,'Plan CP'!$K:$P,3,FALSE)&gt;1,0),IFERROR(VLOOKUP('PR Grupo'!S$3&amp;'PR Grupo'!$G60,'Plan CP'!$K:$P,3,FALSE),0),0)))</f>
        <v>1</v>
      </c>
      <c r="T60" s="58">
        <f>IF(S60&gt;1,S60-1,IF(COUNTIFS('Plan CP'!$O:$O,'PR Grupo'!$G60,'Plan CP'!$P:$P,'PR Grupo'!T$3,'Plan CP'!$M:$M,1)=1,1,IF(IFERROR(VLOOKUP('PR Grupo'!T$3&amp;'PR Grupo'!$G60,'Plan CP'!$K:$P,3,FALSE)&gt;1,0),IFERROR(VLOOKUP('PR Grupo'!T$3&amp;'PR Grupo'!$G60,'Plan CP'!$K:$P,3,FALSE),0),0)))</f>
        <v>1</v>
      </c>
      <c r="U60" s="58">
        <f>IF(T60&gt;1,T60-1,IF(COUNTIFS('Plan CP'!$O:$O,'PR Grupo'!$G60,'Plan CP'!$P:$P,'PR Grupo'!U$3,'Plan CP'!$M:$M,1)=1,1,IF(IFERROR(VLOOKUP('PR Grupo'!U$3&amp;'PR Grupo'!$G60,'Plan CP'!$K:$P,3,FALSE)&gt;1,0),IFERROR(VLOOKUP('PR Grupo'!U$3&amp;'PR Grupo'!$G60,'Plan CP'!$K:$P,3,FALSE),0),0)))</f>
        <v>1</v>
      </c>
      <c r="V60" s="58">
        <f>IF(U60&gt;1,U60-1,IF(COUNTIFS('Plan CP'!$O:$O,'PR Grupo'!$G60,'Plan CP'!$P:$P,'PR Grupo'!V$3,'Plan CP'!$M:$M,1)=1,1,IF(IFERROR(VLOOKUP('PR Grupo'!V$3&amp;'PR Grupo'!$G60,'Plan CP'!$K:$P,3,FALSE)&gt;1,0),IFERROR(VLOOKUP('PR Grupo'!V$3&amp;'PR Grupo'!$G60,'Plan CP'!$K:$P,3,FALSE),0),0)))</f>
        <v>1</v>
      </c>
      <c r="W60" s="58">
        <f>IF(V60&gt;1,V60-1,IF(COUNTIFS('Plan CP'!$O:$O,'PR Grupo'!$G60,'Plan CP'!$P:$P,'PR Grupo'!W$3,'Plan CP'!$M:$M,1)=1,1,IF(IFERROR(VLOOKUP('PR Grupo'!W$3&amp;'PR Grupo'!$G60,'Plan CP'!$K:$P,3,FALSE)&gt;1,0),IFERROR(VLOOKUP('PR Grupo'!W$3&amp;'PR Grupo'!$G60,'Plan CP'!$K:$P,3,FALSE),0),0)))</f>
        <v>1</v>
      </c>
      <c r="X60" s="58">
        <f>IF(W60&gt;1,W60-1,IF(COUNTIFS('Plan CP'!$O:$O,'PR Grupo'!$G60,'Plan CP'!$P:$P,'PR Grupo'!X$3,'Plan CP'!$M:$M,1)=1,1,IF(IFERROR(VLOOKUP('PR Grupo'!X$3&amp;'PR Grupo'!$G60,'Plan CP'!$K:$P,3,FALSE)&gt;1,0),IFERROR(VLOOKUP('PR Grupo'!X$3&amp;'PR Grupo'!$G60,'Plan CP'!$K:$P,3,FALSE),0),0)))</f>
        <v>1</v>
      </c>
      <c r="Y60" s="58">
        <f>IF(X60&gt;1,X60-1,IF(COUNTIFS('Plan CP'!$O:$O,'PR Grupo'!$G60,'Plan CP'!$P:$P,'PR Grupo'!Y$3,'Plan CP'!$M:$M,1)=1,1,IF(IFERROR(VLOOKUP('PR Grupo'!Y$3&amp;'PR Grupo'!$G60,'Plan CP'!$K:$P,3,FALSE)&gt;1,0),IFERROR(VLOOKUP('PR Grupo'!Y$3&amp;'PR Grupo'!$G60,'Plan CP'!$K:$P,3,FALSE),0),0)))</f>
        <v>1</v>
      </c>
      <c r="Z60" s="58">
        <f>IF(Y60&gt;1,Y60-1,IF(COUNTIFS('Plan CP'!$O:$O,'PR Grupo'!$G60,'Plan CP'!$P:$P,'PR Grupo'!Z$3,'Plan CP'!$M:$M,1)=1,1,IF(IFERROR(VLOOKUP('PR Grupo'!Z$3&amp;'PR Grupo'!$G60,'Plan CP'!$K:$P,3,FALSE)&gt;1,0),IFERROR(VLOOKUP('PR Grupo'!Z$3&amp;'PR Grupo'!$G60,'Plan CP'!$K:$P,3,FALSE),0),0)))</f>
        <v>1</v>
      </c>
      <c r="AA60" s="58">
        <f>IF(Z60&gt;1,Z60-1,IF(COUNTIFS('Plan CP'!$O:$O,'PR Grupo'!$G60,'Plan CP'!$P:$P,'PR Grupo'!AA$3,'Plan CP'!$M:$M,1)=1,1,IF(IFERROR(VLOOKUP('PR Grupo'!AA$3&amp;'PR Grupo'!$G60,'Plan CP'!$K:$P,3,FALSE)&gt;1,0),IFERROR(VLOOKUP('PR Grupo'!AA$3&amp;'PR Grupo'!$G60,'Plan CP'!$K:$P,3,FALSE),0),0)))</f>
        <v>1</v>
      </c>
      <c r="AB60" s="58">
        <f>IF(AA60&gt;1,AA60-1,IF(COUNTIFS('Plan CP'!$O:$O,'PR Grupo'!$G60,'Plan CP'!$P:$P,'PR Grupo'!AB$3,'Plan CP'!$M:$M,1)=1,1,IF(IFERROR(VLOOKUP('PR Grupo'!AB$3&amp;'PR Grupo'!$G60,'Plan CP'!$K:$P,3,FALSE)&gt;1,0),IFERROR(VLOOKUP('PR Grupo'!AB$3&amp;'PR Grupo'!$G60,'Plan CP'!$K:$P,3,FALSE),0),0)))</f>
        <v>1</v>
      </c>
      <c r="AC60" s="58">
        <f>IF(AB60&gt;1,AB60-1,IF(COUNTIFS('Plan CP'!$O:$O,'PR Grupo'!$G60,'Plan CP'!$P:$P,'PR Grupo'!AC$3,'Plan CP'!$M:$M,1)=1,1,IF(IFERROR(VLOOKUP('PR Grupo'!AC$3&amp;'PR Grupo'!$G60,'Plan CP'!$K:$P,3,FALSE)&gt;1,0),IFERROR(VLOOKUP('PR Grupo'!AC$3&amp;'PR Grupo'!$G60,'Plan CP'!$K:$P,3,FALSE),0),0)))</f>
        <v>1</v>
      </c>
      <c r="AD60" s="58">
        <f>IF(AC60&gt;1,AC60-1,IF(COUNTIFS('Plan CP'!$O:$O,'PR Grupo'!$G60,'Plan CP'!$P:$P,'PR Grupo'!AD$3,'Plan CP'!$M:$M,1)=1,1,IF(IFERROR(VLOOKUP('PR Grupo'!AD$3&amp;'PR Grupo'!$G60,'Plan CP'!$K:$P,3,FALSE)&gt;1,0),IFERROR(VLOOKUP('PR Grupo'!AD$3&amp;'PR Grupo'!$G60,'Plan CP'!$K:$P,3,FALSE),0),0)))</f>
        <v>0</v>
      </c>
      <c r="AE60" s="58">
        <f>IF(AD60&gt;1,AD60-1,IF(COUNTIFS('Plan CP'!$O:$O,'PR Grupo'!$G60,'Plan CP'!$P:$P,'PR Grupo'!AE$3,'Plan CP'!$M:$M,1)=1,1,IF(IFERROR(VLOOKUP('PR Grupo'!AE$3&amp;'PR Grupo'!$G60,'Plan CP'!$K:$P,3,FALSE)&gt;1,0),IFERROR(VLOOKUP('PR Grupo'!AE$3&amp;'PR Grupo'!$G60,'Plan CP'!$K:$P,3,FALSE),0),0)))</f>
        <v>0</v>
      </c>
      <c r="AF60" s="58">
        <f>IF(AE60&gt;1,AE60-1,IF(COUNTIFS('Plan CP'!$O:$O,'PR Grupo'!$G60,'Plan CP'!$P:$P,'PR Grupo'!AF$3,'Plan CP'!$M:$M,1)=1,1,IF(IFERROR(VLOOKUP('PR Grupo'!AF$3&amp;'PR Grupo'!$G60,'Plan CP'!$K:$P,3,FALSE)&gt;1,0),IFERROR(VLOOKUP('PR Grupo'!AF$3&amp;'PR Grupo'!$G60,'Plan CP'!$K:$P,3,FALSE),0),0)))</f>
        <v>0</v>
      </c>
      <c r="AG60" s="58">
        <f>IF(AF60&gt;1,AF60-1,IF(COUNTIFS('Plan CP'!$O:$O,'PR Grupo'!$G60,'Plan CP'!$P:$P,'PR Grupo'!AG$3,'Plan CP'!$M:$M,1)=1,1,IF(IFERROR(VLOOKUP('PR Grupo'!AG$3&amp;'PR Grupo'!$G60,'Plan CP'!$K:$P,3,FALSE)&gt;1,0),IFERROR(VLOOKUP('PR Grupo'!AG$3&amp;'PR Grupo'!$G60,'Plan CP'!$K:$P,3,FALSE),0),0)))</f>
        <v>0</v>
      </c>
      <c r="AH60" s="58">
        <f>IF(AG60&gt;1,AG60-1,IF(COUNTIFS('Plan CP'!$O:$O,'PR Grupo'!$G60,'Plan CP'!$P:$P,'PR Grupo'!AH$3,'Plan CP'!$M:$M,1)=1,1,IF(IFERROR(VLOOKUP('PR Grupo'!AH$3&amp;'PR Grupo'!$G60,'Plan CP'!$K:$P,3,FALSE)&gt;1,0),IFERROR(VLOOKUP('PR Grupo'!AH$3&amp;'PR Grupo'!$G60,'Plan CP'!$K:$P,3,FALSE),0),0)))</f>
        <v>0</v>
      </c>
      <c r="AI60" s="58">
        <f>IF(AH60&gt;1,AH60-1,IF(COUNTIFS('Plan CP'!$O:$O,'PR Grupo'!$G60,'Plan CP'!$P:$P,'PR Grupo'!AI$3,'Plan CP'!$M:$M,1)=1,1,IF(IFERROR(VLOOKUP('PR Grupo'!AI$3&amp;'PR Grupo'!$G60,'Plan CP'!$K:$P,3,FALSE)&gt;1,0),IFERROR(VLOOKUP('PR Grupo'!AI$3&amp;'PR Grupo'!$G60,'Plan CP'!$K:$P,3,FALSE),0),0)))</f>
        <v>0</v>
      </c>
      <c r="AJ60" s="58">
        <f>IF(AI60&gt;1,AI60-1,IF(COUNTIFS('Plan CP'!$O:$O,'PR Grupo'!$G60,'Plan CP'!$P:$P,'PR Grupo'!AJ$3,'Plan CP'!$M:$M,1)=1,1,IF(IFERROR(VLOOKUP('PR Grupo'!AJ$3&amp;'PR Grupo'!$G60,'Plan CP'!$K:$P,3,FALSE)&gt;1,0),IFERROR(VLOOKUP('PR Grupo'!AJ$3&amp;'PR Grupo'!$G60,'Plan CP'!$K:$P,3,FALSE),0),0)))</f>
        <v>1</v>
      </c>
      <c r="AK60" s="58">
        <f>IF(AJ60&gt;1,AJ60-1,IF(COUNTIFS('Plan CP'!$O:$O,'PR Grupo'!$G60,'Plan CP'!$P:$P,'PR Grupo'!AK$3,'Plan CP'!$M:$M,1)=1,1,IF(IFERROR(VLOOKUP('PR Grupo'!AK$3&amp;'PR Grupo'!$G60,'Plan CP'!$K:$P,3,FALSE)&gt;1,0),IFERROR(VLOOKUP('PR Grupo'!AK$3&amp;'PR Grupo'!$G60,'Plan CP'!$K:$P,3,FALSE),0),0)))</f>
        <v>1</v>
      </c>
      <c r="AL60" s="58">
        <f>IF(AK60&gt;1,AK60-1,IF(COUNTIFS('Plan CP'!$O:$O,'PR Grupo'!$G60,'Plan CP'!$P:$P,'PR Grupo'!AL$3,'Plan CP'!$M:$M,1)=1,1,IF(IFERROR(VLOOKUP('PR Grupo'!AL$3&amp;'PR Grupo'!$G60,'Plan CP'!$K:$P,3,FALSE)&gt;1,0),IFERROR(VLOOKUP('PR Grupo'!AL$3&amp;'PR Grupo'!$G60,'Plan CP'!$K:$P,3,FALSE),0),0)))</f>
        <v>1</v>
      </c>
      <c r="AM60" s="58">
        <f>IF(AL60&gt;1,AL60-1,IF(COUNTIFS('Plan CP'!$O:$O,'PR Grupo'!$G60,'Plan CP'!$P:$P,'PR Grupo'!AM$3,'Plan CP'!$M:$M,1)=1,1,IF(IFERROR(VLOOKUP('PR Grupo'!AM$3&amp;'PR Grupo'!$G60,'Plan CP'!$K:$P,3,FALSE)&gt;1,0),IFERROR(VLOOKUP('PR Grupo'!AM$3&amp;'PR Grupo'!$G60,'Plan CP'!$K:$P,3,FALSE),0),0)))</f>
        <v>1</v>
      </c>
      <c r="AN60" s="58">
        <f>IF(AM60&gt;1,AM60-1,IF(COUNTIFS('Plan CP'!$O:$O,'PR Grupo'!$G60,'Plan CP'!$P:$P,'PR Grupo'!AN$3,'Plan CP'!$M:$M,1)=1,1,IF(IFERROR(VLOOKUP('PR Grupo'!AN$3&amp;'PR Grupo'!$G60,'Plan CP'!$K:$P,3,FALSE)&gt;1,0),IFERROR(VLOOKUP('PR Grupo'!AN$3&amp;'PR Grupo'!$G60,'Plan CP'!$K:$P,3,FALSE),0),0)))</f>
        <v>1</v>
      </c>
      <c r="AO60" s="58">
        <f>IF(AN60&gt;1,AN60-1,IF(COUNTIFS('Plan CP'!$O:$O,'PR Grupo'!$G60,'Plan CP'!$P:$P,'PR Grupo'!AO$3,'Plan CP'!$M:$M,1)=1,1,IF(IFERROR(VLOOKUP('PR Grupo'!AO$3&amp;'PR Grupo'!$G60,'Plan CP'!$K:$P,3,FALSE)&gt;1,0),IFERROR(VLOOKUP('PR Grupo'!AO$3&amp;'PR Grupo'!$G60,'Plan CP'!$K:$P,3,FALSE),0),0)))</f>
        <v>1</v>
      </c>
    </row>
    <row r="61" spans="1:41">
      <c r="A61" s="21" t="s">
        <v>33</v>
      </c>
      <c r="B61" s="21" t="s">
        <v>42</v>
      </c>
      <c r="C61" s="21" t="s">
        <v>253</v>
      </c>
      <c r="D61" s="21" t="s">
        <v>277</v>
      </c>
      <c r="E61" s="24" t="s">
        <v>174</v>
      </c>
      <c r="F61" s="21" t="s">
        <v>277</v>
      </c>
      <c r="G61" s="33" t="s">
        <v>193</v>
      </c>
      <c r="H61" s="24">
        <v>25</v>
      </c>
      <c r="I61" s="33">
        <f t="shared" si="2"/>
        <v>25</v>
      </c>
      <c r="J61" s="33" t="str">
        <f t="shared" si="3"/>
        <v>OK</v>
      </c>
      <c r="K61" s="58">
        <f>IF(COUNTIFS('Plan CP'!$O:$O,'PR Grupo'!$G61,'Plan CP'!$P:$P,'PR Grupo'!K$3,'Plan CP'!$M:$M,1)=1,1,IF(IFERROR(VLOOKUP('PR Grupo'!K$3&amp;'PR Grupo'!$G61,'Plan CP'!$K:$P,3,FALSE)&gt;1,0),IFERROR(VLOOKUP('PR Grupo'!K$3&amp;'PR Grupo'!$G61,'Plan CP'!$K:$P,3,FALSE),0),0))</f>
        <v>1</v>
      </c>
      <c r="L61" s="58">
        <f>IF(K61&gt;1,K61-1,IF(COUNTIFS('Plan CP'!$O:$O,'PR Grupo'!$G61,'Plan CP'!$P:$P,'PR Grupo'!L$3,'Plan CP'!$M:$M,1)=1,1,IF(IFERROR(VLOOKUP('PR Grupo'!L$3&amp;'PR Grupo'!$G61,'Plan CP'!$K:$P,3,FALSE)&gt;1,0),IFERROR(VLOOKUP('PR Grupo'!L$3&amp;'PR Grupo'!$G61,'Plan CP'!$K:$P,3,FALSE),0),0)))</f>
        <v>1</v>
      </c>
      <c r="M61" s="58">
        <f>IF(L61&gt;1,L61-1,IF(COUNTIFS('Plan CP'!$O:$O,'PR Grupo'!$G61,'Plan CP'!$P:$P,'PR Grupo'!M$3,'Plan CP'!$M:$M,1)=1,1,IF(IFERROR(VLOOKUP('PR Grupo'!M$3&amp;'PR Grupo'!$G61,'Plan CP'!$K:$P,3,FALSE)&gt;1,0),IFERROR(VLOOKUP('PR Grupo'!M$3&amp;'PR Grupo'!$G61,'Plan CP'!$K:$P,3,FALSE),0),0)))</f>
        <v>1</v>
      </c>
      <c r="N61" s="58">
        <f>IF(M61&gt;1,M61-1,IF(COUNTIFS('Plan CP'!$O:$O,'PR Grupo'!$G61,'Plan CP'!$P:$P,'PR Grupo'!N$3,'Plan CP'!$M:$M,1)=1,1,IF(IFERROR(VLOOKUP('PR Grupo'!N$3&amp;'PR Grupo'!$G61,'Plan CP'!$K:$P,3,FALSE)&gt;1,0),IFERROR(VLOOKUP('PR Grupo'!N$3&amp;'PR Grupo'!$G61,'Plan CP'!$K:$P,3,FALSE),0),0)))</f>
        <v>1</v>
      </c>
      <c r="O61" s="58">
        <f>IF(N61&gt;1,N61-1,IF(COUNTIFS('Plan CP'!$O:$O,'PR Grupo'!$G61,'Plan CP'!$P:$P,'PR Grupo'!O$3,'Plan CP'!$M:$M,1)=1,1,IF(IFERROR(VLOOKUP('PR Grupo'!O$3&amp;'PR Grupo'!$G61,'Plan CP'!$K:$P,3,FALSE)&gt;1,0),IFERROR(VLOOKUP('PR Grupo'!O$3&amp;'PR Grupo'!$G61,'Plan CP'!$K:$P,3,FALSE),0),0)))</f>
        <v>1</v>
      </c>
      <c r="P61" s="58">
        <f>IF(O61&gt;1,O61-1,IF(COUNTIFS('Plan CP'!$O:$O,'PR Grupo'!$G61,'Plan CP'!$P:$P,'PR Grupo'!P$3,'Plan CP'!$M:$M,1)=1,1,IF(IFERROR(VLOOKUP('PR Grupo'!P$3&amp;'PR Grupo'!$G61,'Plan CP'!$K:$P,3,FALSE)&gt;1,0),IFERROR(VLOOKUP('PR Grupo'!P$3&amp;'PR Grupo'!$G61,'Plan CP'!$K:$P,3,FALSE),0),0)))</f>
        <v>1</v>
      </c>
      <c r="Q61" s="58">
        <f>IF(P61&gt;1,P61-1,IF(COUNTIFS('Plan CP'!$O:$O,'PR Grupo'!$G61,'Plan CP'!$P:$P,'PR Grupo'!Q$3,'Plan CP'!$M:$M,1)=1,1,IF(IFERROR(VLOOKUP('PR Grupo'!Q$3&amp;'PR Grupo'!$G61,'Plan CP'!$K:$P,3,FALSE)&gt;1,0),IFERROR(VLOOKUP('PR Grupo'!Q$3&amp;'PR Grupo'!$G61,'Plan CP'!$K:$P,3,FALSE),0),0)))</f>
        <v>1</v>
      </c>
      <c r="R61" s="58">
        <f>IF(Q61&gt;1,Q61-1,IF(COUNTIFS('Plan CP'!$O:$O,'PR Grupo'!$G61,'Plan CP'!$P:$P,'PR Grupo'!R$3,'Plan CP'!$M:$M,1)=1,1,IF(IFERROR(VLOOKUP('PR Grupo'!R$3&amp;'PR Grupo'!$G61,'Plan CP'!$K:$P,3,FALSE)&gt;1,0),IFERROR(VLOOKUP('PR Grupo'!R$3&amp;'PR Grupo'!$G61,'Plan CP'!$K:$P,3,FALSE),0),0)))</f>
        <v>1</v>
      </c>
      <c r="S61" s="58">
        <f>IF(R61&gt;1,R61-1,IF(COUNTIFS('Plan CP'!$O:$O,'PR Grupo'!$G61,'Plan CP'!$P:$P,'PR Grupo'!S$3,'Plan CP'!$M:$M,1)=1,1,IF(IFERROR(VLOOKUP('PR Grupo'!S$3&amp;'PR Grupo'!$G61,'Plan CP'!$K:$P,3,FALSE)&gt;1,0),IFERROR(VLOOKUP('PR Grupo'!S$3&amp;'PR Grupo'!$G61,'Plan CP'!$K:$P,3,FALSE),0),0)))</f>
        <v>1</v>
      </c>
      <c r="T61" s="58">
        <f>IF(S61&gt;1,S61-1,IF(COUNTIFS('Plan CP'!$O:$O,'PR Grupo'!$G61,'Plan CP'!$P:$P,'PR Grupo'!T$3,'Plan CP'!$M:$M,1)=1,1,IF(IFERROR(VLOOKUP('PR Grupo'!T$3&amp;'PR Grupo'!$G61,'Plan CP'!$K:$P,3,FALSE)&gt;1,0),IFERROR(VLOOKUP('PR Grupo'!T$3&amp;'PR Grupo'!$G61,'Plan CP'!$K:$P,3,FALSE),0),0)))</f>
        <v>1</v>
      </c>
      <c r="U61" s="58">
        <f>IF(T61&gt;1,T61-1,IF(COUNTIFS('Plan CP'!$O:$O,'PR Grupo'!$G61,'Plan CP'!$P:$P,'PR Grupo'!U$3,'Plan CP'!$M:$M,1)=1,1,IF(IFERROR(VLOOKUP('PR Grupo'!U$3&amp;'PR Grupo'!$G61,'Plan CP'!$K:$P,3,FALSE)&gt;1,0),IFERROR(VLOOKUP('PR Grupo'!U$3&amp;'PR Grupo'!$G61,'Plan CP'!$K:$P,3,FALSE),0),0)))</f>
        <v>1</v>
      </c>
      <c r="V61" s="58">
        <f>IF(U61&gt;1,U61-1,IF(COUNTIFS('Plan CP'!$O:$O,'PR Grupo'!$G61,'Plan CP'!$P:$P,'PR Grupo'!V$3,'Plan CP'!$M:$M,1)=1,1,IF(IFERROR(VLOOKUP('PR Grupo'!V$3&amp;'PR Grupo'!$G61,'Plan CP'!$K:$P,3,FALSE)&gt;1,0),IFERROR(VLOOKUP('PR Grupo'!V$3&amp;'PR Grupo'!$G61,'Plan CP'!$K:$P,3,FALSE),0),0)))</f>
        <v>1</v>
      </c>
      <c r="W61" s="58">
        <f>IF(V61&gt;1,V61-1,IF(COUNTIFS('Plan CP'!$O:$O,'PR Grupo'!$G61,'Plan CP'!$P:$P,'PR Grupo'!W$3,'Plan CP'!$M:$M,1)=1,1,IF(IFERROR(VLOOKUP('PR Grupo'!W$3&amp;'PR Grupo'!$G61,'Plan CP'!$K:$P,3,FALSE)&gt;1,0),IFERROR(VLOOKUP('PR Grupo'!W$3&amp;'PR Grupo'!$G61,'Plan CP'!$K:$P,3,FALSE),0),0)))</f>
        <v>1</v>
      </c>
      <c r="X61" s="58">
        <f>IF(W61&gt;1,W61-1,IF(COUNTIFS('Plan CP'!$O:$O,'PR Grupo'!$G61,'Plan CP'!$P:$P,'PR Grupo'!X$3,'Plan CP'!$M:$M,1)=1,1,IF(IFERROR(VLOOKUP('PR Grupo'!X$3&amp;'PR Grupo'!$G61,'Plan CP'!$K:$P,3,FALSE)&gt;1,0),IFERROR(VLOOKUP('PR Grupo'!X$3&amp;'PR Grupo'!$G61,'Plan CP'!$K:$P,3,FALSE),0),0)))</f>
        <v>1</v>
      </c>
      <c r="Y61" s="58">
        <f>IF(X61&gt;1,X61-1,IF(COUNTIFS('Plan CP'!$O:$O,'PR Grupo'!$G61,'Plan CP'!$P:$P,'PR Grupo'!Y$3,'Plan CP'!$M:$M,1)=1,1,IF(IFERROR(VLOOKUP('PR Grupo'!Y$3&amp;'PR Grupo'!$G61,'Plan CP'!$K:$P,3,FALSE)&gt;1,0),IFERROR(VLOOKUP('PR Grupo'!Y$3&amp;'PR Grupo'!$G61,'Plan CP'!$K:$P,3,FALSE),0),0)))</f>
        <v>1</v>
      </c>
      <c r="Z61" s="58">
        <f>IF(Y61&gt;1,Y61-1,IF(COUNTIFS('Plan CP'!$O:$O,'PR Grupo'!$G61,'Plan CP'!$P:$P,'PR Grupo'!Z$3,'Plan CP'!$M:$M,1)=1,1,IF(IFERROR(VLOOKUP('PR Grupo'!Z$3&amp;'PR Grupo'!$G61,'Plan CP'!$K:$P,3,FALSE)&gt;1,0),IFERROR(VLOOKUP('PR Grupo'!Z$3&amp;'PR Grupo'!$G61,'Plan CP'!$K:$P,3,FALSE),0),0)))</f>
        <v>1</v>
      </c>
      <c r="AA61" s="58">
        <f>IF(Z61&gt;1,Z61-1,IF(COUNTIFS('Plan CP'!$O:$O,'PR Grupo'!$G61,'Plan CP'!$P:$P,'PR Grupo'!AA$3,'Plan CP'!$M:$M,1)=1,1,IF(IFERROR(VLOOKUP('PR Grupo'!AA$3&amp;'PR Grupo'!$G61,'Plan CP'!$K:$P,3,FALSE)&gt;1,0),IFERROR(VLOOKUP('PR Grupo'!AA$3&amp;'PR Grupo'!$G61,'Plan CP'!$K:$P,3,FALSE),0),0)))</f>
        <v>1</v>
      </c>
      <c r="AB61" s="58">
        <f>IF(AA61&gt;1,AA61-1,IF(COUNTIFS('Plan CP'!$O:$O,'PR Grupo'!$G61,'Plan CP'!$P:$P,'PR Grupo'!AB$3,'Plan CP'!$M:$M,1)=1,1,IF(IFERROR(VLOOKUP('PR Grupo'!AB$3&amp;'PR Grupo'!$G61,'Plan CP'!$K:$P,3,FALSE)&gt;1,0),IFERROR(VLOOKUP('PR Grupo'!AB$3&amp;'PR Grupo'!$G61,'Plan CP'!$K:$P,3,FALSE),0),0)))</f>
        <v>1</v>
      </c>
      <c r="AC61" s="58">
        <f>IF(AB61&gt;1,AB61-1,IF(COUNTIFS('Plan CP'!$O:$O,'PR Grupo'!$G61,'Plan CP'!$P:$P,'PR Grupo'!AC$3,'Plan CP'!$M:$M,1)=1,1,IF(IFERROR(VLOOKUP('PR Grupo'!AC$3&amp;'PR Grupo'!$G61,'Plan CP'!$K:$P,3,FALSE)&gt;1,0),IFERROR(VLOOKUP('PR Grupo'!AC$3&amp;'PR Grupo'!$G61,'Plan CP'!$K:$P,3,FALSE),0),0)))</f>
        <v>1</v>
      </c>
      <c r="AD61" s="58">
        <f>IF(AC61&gt;1,AC61-1,IF(COUNTIFS('Plan CP'!$O:$O,'PR Grupo'!$G61,'Plan CP'!$P:$P,'PR Grupo'!AD$3,'Plan CP'!$M:$M,1)=1,1,IF(IFERROR(VLOOKUP('PR Grupo'!AD$3&amp;'PR Grupo'!$G61,'Plan CP'!$K:$P,3,FALSE)&gt;1,0),IFERROR(VLOOKUP('PR Grupo'!AD$3&amp;'PR Grupo'!$G61,'Plan CP'!$K:$P,3,FALSE),0),0)))</f>
        <v>0</v>
      </c>
      <c r="AE61" s="58">
        <f>IF(AD61&gt;1,AD61-1,IF(COUNTIFS('Plan CP'!$O:$O,'PR Grupo'!$G61,'Plan CP'!$P:$P,'PR Grupo'!AE$3,'Plan CP'!$M:$M,1)=1,1,IF(IFERROR(VLOOKUP('PR Grupo'!AE$3&amp;'PR Grupo'!$G61,'Plan CP'!$K:$P,3,FALSE)&gt;1,0),IFERROR(VLOOKUP('PR Grupo'!AE$3&amp;'PR Grupo'!$G61,'Plan CP'!$K:$P,3,FALSE),0),0)))</f>
        <v>0</v>
      </c>
      <c r="AF61" s="58">
        <f>IF(AE61&gt;1,AE61-1,IF(COUNTIFS('Plan CP'!$O:$O,'PR Grupo'!$G61,'Plan CP'!$P:$P,'PR Grupo'!AF$3,'Plan CP'!$M:$M,1)=1,1,IF(IFERROR(VLOOKUP('PR Grupo'!AF$3&amp;'PR Grupo'!$G61,'Plan CP'!$K:$P,3,FALSE)&gt;1,0),IFERROR(VLOOKUP('PR Grupo'!AF$3&amp;'PR Grupo'!$G61,'Plan CP'!$K:$P,3,FALSE),0),0)))</f>
        <v>0</v>
      </c>
      <c r="AG61" s="58">
        <f>IF(AF61&gt;1,AF61-1,IF(COUNTIFS('Plan CP'!$O:$O,'PR Grupo'!$G61,'Plan CP'!$P:$P,'PR Grupo'!AG$3,'Plan CP'!$M:$M,1)=1,1,IF(IFERROR(VLOOKUP('PR Grupo'!AG$3&amp;'PR Grupo'!$G61,'Plan CP'!$K:$P,3,FALSE)&gt;1,0),IFERROR(VLOOKUP('PR Grupo'!AG$3&amp;'PR Grupo'!$G61,'Plan CP'!$K:$P,3,FALSE),0),0)))</f>
        <v>0</v>
      </c>
      <c r="AH61" s="58">
        <f>IF(AG61&gt;1,AG61-1,IF(COUNTIFS('Plan CP'!$O:$O,'PR Grupo'!$G61,'Plan CP'!$P:$P,'PR Grupo'!AH$3,'Plan CP'!$M:$M,1)=1,1,IF(IFERROR(VLOOKUP('PR Grupo'!AH$3&amp;'PR Grupo'!$G61,'Plan CP'!$K:$P,3,FALSE)&gt;1,0),IFERROR(VLOOKUP('PR Grupo'!AH$3&amp;'PR Grupo'!$G61,'Plan CP'!$K:$P,3,FALSE),0),0)))</f>
        <v>0</v>
      </c>
      <c r="AI61" s="58">
        <f>IF(AH61&gt;1,AH61-1,IF(COUNTIFS('Plan CP'!$O:$O,'PR Grupo'!$G61,'Plan CP'!$P:$P,'PR Grupo'!AI$3,'Plan CP'!$M:$M,1)=1,1,IF(IFERROR(VLOOKUP('PR Grupo'!AI$3&amp;'PR Grupo'!$G61,'Plan CP'!$K:$P,3,FALSE)&gt;1,0),IFERROR(VLOOKUP('PR Grupo'!AI$3&amp;'PR Grupo'!$G61,'Plan CP'!$K:$P,3,FALSE),0),0)))</f>
        <v>0</v>
      </c>
      <c r="AJ61" s="58">
        <f>IF(AI61&gt;1,AI61-1,IF(COUNTIFS('Plan CP'!$O:$O,'PR Grupo'!$G61,'Plan CP'!$P:$P,'PR Grupo'!AJ$3,'Plan CP'!$M:$M,1)=1,1,IF(IFERROR(VLOOKUP('PR Grupo'!AJ$3&amp;'PR Grupo'!$G61,'Plan CP'!$K:$P,3,FALSE)&gt;1,0),IFERROR(VLOOKUP('PR Grupo'!AJ$3&amp;'PR Grupo'!$G61,'Plan CP'!$K:$P,3,FALSE),0),0)))</f>
        <v>1</v>
      </c>
      <c r="AK61" s="58">
        <f>IF(AJ61&gt;1,AJ61-1,IF(COUNTIFS('Plan CP'!$O:$O,'PR Grupo'!$G61,'Plan CP'!$P:$P,'PR Grupo'!AK$3,'Plan CP'!$M:$M,1)=1,1,IF(IFERROR(VLOOKUP('PR Grupo'!AK$3&amp;'PR Grupo'!$G61,'Plan CP'!$K:$P,3,FALSE)&gt;1,0),IFERROR(VLOOKUP('PR Grupo'!AK$3&amp;'PR Grupo'!$G61,'Plan CP'!$K:$P,3,FALSE),0),0)))</f>
        <v>1</v>
      </c>
      <c r="AL61" s="58">
        <f>IF(AK61&gt;1,AK61-1,IF(COUNTIFS('Plan CP'!$O:$O,'PR Grupo'!$G61,'Plan CP'!$P:$P,'PR Grupo'!AL$3,'Plan CP'!$M:$M,1)=1,1,IF(IFERROR(VLOOKUP('PR Grupo'!AL$3&amp;'PR Grupo'!$G61,'Plan CP'!$K:$P,3,FALSE)&gt;1,0),IFERROR(VLOOKUP('PR Grupo'!AL$3&amp;'PR Grupo'!$G61,'Plan CP'!$K:$P,3,FALSE),0),0)))</f>
        <v>1</v>
      </c>
      <c r="AM61" s="58">
        <f>IF(AL61&gt;1,AL61-1,IF(COUNTIFS('Plan CP'!$O:$O,'PR Grupo'!$G61,'Plan CP'!$P:$P,'PR Grupo'!AM$3,'Plan CP'!$M:$M,1)=1,1,IF(IFERROR(VLOOKUP('PR Grupo'!AM$3&amp;'PR Grupo'!$G61,'Plan CP'!$K:$P,3,FALSE)&gt;1,0),IFERROR(VLOOKUP('PR Grupo'!AM$3&amp;'PR Grupo'!$G61,'Plan CP'!$K:$P,3,FALSE),0),0)))</f>
        <v>1</v>
      </c>
      <c r="AN61" s="58">
        <f>IF(AM61&gt;1,AM61-1,IF(COUNTIFS('Plan CP'!$O:$O,'PR Grupo'!$G61,'Plan CP'!$P:$P,'PR Grupo'!AN$3,'Plan CP'!$M:$M,1)=1,1,IF(IFERROR(VLOOKUP('PR Grupo'!AN$3&amp;'PR Grupo'!$G61,'Plan CP'!$K:$P,3,FALSE)&gt;1,0),IFERROR(VLOOKUP('PR Grupo'!AN$3&amp;'PR Grupo'!$G61,'Plan CP'!$K:$P,3,FALSE),0),0)))</f>
        <v>1</v>
      </c>
      <c r="AO61" s="58">
        <f>IF(AN61&gt;1,AN61-1,IF(COUNTIFS('Plan CP'!$O:$O,'PR Grupo'!$G61,'Plan CP'!$P:$P,'PR Grupo'!AO$3,'Plan CP'!$M:$M,1)=1,1,IF(IFERROR(VLOOKUP('PR Grupo'!AO$3&amp;'PR Grupo'!$G61,'Plan CP'!$K:$P,3,FALSE)&gt;1,0),IFERROR(VLOOKUP('PR Grupo'!AO$3&amp;'PR Grupo'!$G61,'Plan CP'!$K:$P,3,FALSE),0),0)))</f>
        <v>1</v>
      </c>
    </row>
    <row r="62" spans="1:41">
      <c r="A62" s="21" t="s">
        <v>33</v>
      </c>
      <c r="B62" s="21" t="s">
        <v>39</v>
      </c>
      <c r="C62" s="21" t="s">
        <v>254</v>
      </c>
      <c r="D62" s="21" t="s">
        <v>268</v>
      </c>
      <c r="E62" s="24" t="s">
        <v>174</v>
      </c>
      <c r="F62" s="21" t="s">
        <v>268</v>
      </c>
      <c r="G62" s="33" t="s">
        <v>193</v>
      </c>
      <c r="H62" s="24">
        <v>25</v>
      </c>
      <c r="I62" s="33">
        <f t="shared" si="2"/>
        <v>25</v>
      </c>
      <c r="J62" s="33" t="str">
        <f t="shared" si="3"/>
        <v>OK</v>
      </c>
      <c r="K62" s="58">
        <f>IF(COUNTIFS('Plan CP'!$O:$O,'PR Grupo'!$G62,'Plan CP'!$P:$P,'PR Grupo'!K$3,'Plan CP'!$M:$M,1)=1,1,IF(IFERROR(VLOOKUP('PR Grupo'!K$3&amp;'PR Grupo'!$G62,'Plan CP'!$K:$P,3,FALSE)&gt;1,0),IFERROR(VLOOKUP('PR Grupo'!K$3&amp;'PR Grupo'!$G62,'Plan CP'!$K:$P,3,FALSE),0),0))</f>
        <v>1</v>
      </c>
      <c r="L62" s="58">
        <f>IF(K62&gt;1,K62-1,IF(COUNTIFS('Plan CP'!$O:$O,'PR Grupo'!$G62,'Plan CP'!$P:$P,'PR Grupo'!L$3,'Plan CP'!$M:$M,1)=1,1,IF(IFERROR(VLOOKUP('PR Grupo'!L$3&amp;'PR Grupo'!$G62,'Plan CP'!$K:$P,3,FALSE)&gt;1,0),IFERROR(VLOOKUP('PR Grupo'!L$3&amp;'PR Grupo'!$G62,'Plan CP'!$K:$P,3,FALSE),0),0)))</f>
        <v>1</v>
      </c>
      <c r="M62" s="58">
        <f>IF(L62&gt;1,L62-1,IF(COUNTIFS('Plan CP'!$O:$O,'PR Grupo'!$G62,'Plan CP'!$P:$P,'PR Grupo'!M$3,'Plan CP'!$M:$M,1)=1,1,IF(IFERROR(VLOOKUP('PR Grupo'!M$3&amp;'PR Grupo'!$G62,'Plan CP'!$K:$P,3,FALSE)&gt;1,0),IFERROR(VLOOKUP('PR Grupo'!M$3&amp;'PR Grupo'!$G62,'Plan CP'!$K:$P,3,FALSE),0),0)))</f>
        <v>1</v>
      </c>
      <c r="N62" s="58">
        <f>IF(M62&gt;1,M62-1,IF(COUNTIFS('Plan CP'!$O:$O,'PR Grupo'!$G62,'Plan CP'!$P:$P,'PR Grupo'!N$3,'Plan CP'!$M:$M,1)=1,1,IF(IFERROR(VLOOKUP('PR Grupo'!N$3&amp;'PR Grupo'!$G62,'Plan CP'!$K:$P,3,FALSE)&gt;1,0),IFERROR(VLOOKUP('PR Grupo'!N$3&amp;'PR Grupo'!$G62,'Plan CP'!$K:$P,3,FALSE),0),0)))</f>
        <v>1</v>
      </c>
      <c r="O62" s="58">
        <f>IF(N62&gt;1,N62-1,IF(COUNTIFS('Plan CP'!$O:$O,'PR Grupo'!$G62,'Plan CP'!$P:$P,'PR Grupo'!O$3,'Plan CP'!$M:$M,1)=1,1,IF(IFERROR(VLOOKUP('PR Grupo'!O$3&amp;'PR Grupo'!$G62,'Plan CP'!$K:$P,3,FALSE)&gt;1,0),IFERROR(VLOOKUP('PR Grupo'!O$3&amp;'PR Grupo'!$G62,'Plan CP'!$K:$P,3,FALSE),0),0)))</f>
        <v>1</v>
      </c>
      <c r="P62" s="58">
        <f>IF(O62&gt;1,O62-1,IF(COUNTIFS('Plan CP'!$O:$O,'PR Grupo'!$G62,'Plan CP'!$P:$P,'PR Grupo'!P$3,'Plan CP'!$M:$M,1)=1,1,IF(IFERROR(VLOOKUP('PR Grupo'!P$3&amp;'PR Grupo'!$G62,'Plan CP'!$K:$P,3,FALSE)&gt;1,0),IFERROR(VLOOKUP('PR Grupo'!P$3&amp;'PR Grupo'!$G62,'Plan CP'!$K:$P,3,FALSE),0),0)))</f>
        <v>1</v>
      </c>
      <c r="Q62" s="58">
        <f>IF(P62&gt;1,P62-1,IF(COUNTIFS('Plan CP'!$O:$O,'PR Grupo'!$G62,'Plan CP'!$P:$P,'PR Grupo'!Q$3,'Plan CP'!$M:$M,1)=1,1,IF(IFERROR(VLOOKUP('PR Grupo'!Q$3&amp;'PR Grupo'!$G62,'Plan CP'!$K:$P,3,FALSE)&gt;1,0),IFERROR(VLOOKUP('PR Grupo'!Q$3&amp;'PR Grupo'!$G62,'Plan CP'!$K:$P,3,FALSE),0),0)))</f>
        <v>1</v>
      </c>
      <c r="R62" s="58">
        <f>IF(Q62&gt;1,Q62-1,IF(COUNTIFS('Plan CP'!$O:$O,'PR Grupo'!$G62,'Plan CP'!$P:$P,'PR Grupo'!R$3,'Plan CP'!$M:$M,1)=1,1,IF(IFERROR(VLOOKUP('PR Grupo'!R$3&amp;'PR Grupo'!$G62,'Plan CP'!$K:$P,3,FALSE)&gt;1,0),IFERROR(VLOOKUP('PR Grupo'!R$3&amp;'PR Grupo'!$G62,'Plan CP'!$K:$P,3,FALSE),0),0)))</f>
        <v>1</v>
      </c>
      <c r="S62" s="58">
        <f>IF(R62&gt;1,R62-1,IF(COUNTIFS('Plan CP'!$O:$O,'PR Grupo'!$G62,'Plan CP'!$P:$P,'PR Grupo'!S$3,'Plan CP'!$M:$M,1)=1,1,IF(IFERROR(VLOOKUP('PR Grupo'!S$3&amp;'PR Grupo'!$G62,'Plan CP'!$K:$P,3,FALSE)&gt;1,0),IFERROR(VLOOKUP('PR Grupo'!S$3&amp;'PR Grupo'!$G62,'Plan CP'!$K:$P,3,FALSE),0),0)))</f>
        <v>1</v>
      </c>
      <c r="T62" s="58">
        <f>IF(S62&gt;1,S62-1,IF(COUNTIFS('Plan CP'!$O:$O,'PR Grupo'!$G62,'Plan CP'!$P:$P,'PR Grupo'!T$3,'Plan CP'!$M:$M,1)=1,1,IF(IFERROR(VLOOKUP('PR Grupo'!T$3&amp;'PR Grupo'!$G62,'Plan CP'!$K:$P,3,FALSE)&gt;1,0),IFERROR(VLOOKUP('PR Grupo'!T$3&amp;'PR Grupo'!$G62,'Plan CP'!$K:$P,3,FALSE),0),0)))</f>
        <v>1</v>
      </c>
      <c r="U62" s="58">
        <f>IF(T62&gt;1,T62-1,IF(COUNTIFS('Plan CP'!$O:$O,'PR Grupo'!$G62,'Plan CP'!$P:$P,'PR Grupo'!U$3,'Plan CP'!$M:$M,1)=1,1,IF(IFERROR(VLOOKUP('PR Grupo'!U$3&amp;'PR Grupo'!$G62,'Plan CP'!$K:$P,3,FALSE)&gt;1,0),IFERROR(VLOOKUP('PR Grupo'!U$3&amp;'PR Grupo'!$G62,'Plan CP'!$K:$P,3,FALSE),0),0)))</f>
        <v>1</v>
      </c>
      <c r="V62" s="58">
        <f>IF(U62&gt;1,U62-1,IF(COUNTIFS('Plan CP'!$O:$O,'PR Grupo'!$G62,'Plan CP'!$P:$P,'PR Grupo'!V$3,'Plan CP'!$M:$M,1)=1,1,IF(IFERROR(VLOOKUP('PR Grupo'!V$3&amp;'PR Grupo'!$G62,'Plan CP'!$K:$P,3,FALSE)&gt;1,0),IFERROR(VLOOKUP('PR Grupo'!V$3&amp;'PR Grupo'!$G62,'Plan CP'!$K:$P,3,FALSE),0),0)))</f>
        <v>1</v>
      </c>
      <c r="W62" s="58">
        <f>IF(V62&gt;1,V62-1,IF(COUNTIFS('Plan CP'!$O:$O,'PR Grupo'!$G62,'Plan CP'!$P:$P,'PR Grupo'!W$3,'Plan CP'!$M:$M,1)=1,1,IF(IFERROR(VLOOKUP('PR Grupo'!W$3&amp;'PR Grupo'!$G62,'Plan CP'!$K:$P,3,FALSE)&gt;1,0),IFERROR(VLOOKUP('PR Grupo'!W$3&amp;'PR Grupo'!$G62,'Plan CP'!$K:$P,3,FALSE),0),0)))</f>
        <v>1</v>
      </c>
      <c r="X62" s="58">
        <f>IF(W62&gt;1,W62-1,IF(COUNTIFS('Plan CP'!$O:$O,'PR Grupo'!$G62,'Plan CP'!$P:$P,'PR Grupo'!X$3,'Plan CP'!$M:$M,1)=1,1,IF(IFERROR(VLOOKUP('PR Grupo'!X$3&amp;'PR Grupo'!$G62,'Plan CP'!$K:$P,3,FALSE)&gt;1,0),IFERROR(VLOOKUP('PR Grupo'!X$3&amp;'PR Grupo'!$G62,'Plan CP'!$K:$P,3,FALSE),0),0)))</f>
        <v>1</v>
      </c>
      <c r="Y62" s="58">
        <f>IF(X62&gt;1,X62-1,IF(COUNTIFS('Plan CP'!$O:$O,'PR Grupo'!$G62,'Plan CP'!$P:$P,'PR Grupo'!Y$3,'Plan CP'!$M:$M,1)=1,1,IF(IFERROR(VLOOKUP('PR Grupo'!Y$3&amp;'PR Grupo'!$G62,'Plan CP'!$K:$P,3,FALSE)&gt;1,0),IFERROR(VLOOKUP('PR Grupo'!Y$3&amp;'PR Grupo'!$G62,'Plan CP'!$K:$P,3,FALSE),0),0)))</f>
        <v>1</v>
      </c>
      <c r="Z62" s="58">
        <f>IF(Y62&gt;1,Y62-1,IF(COUNTIFS('Plan CP'!$O:$O,'PR Grupo'!$G62,'Plan CP'!$P:$P,'PR Grupo'!Z$3,'Plan CP'!$M:$M,1)=1,1,IF(IFERROR(VLOOKUP('PR Grupo'!Z$3&amp;'PR Grupo'!$G62,'Plan CP'!$K:$P,3,FALSE)&gt;1,0),IFERROR(VLOOKUP('PR Grupo'!Z$3&amp;'PR Grupo'!$G62,'Plan CP'!$K:$P,3,FALSE),0),0)))</f>
        <v>1</v>
      </c>
      <c r="AA62" s="58">
        <f>IF(Z62&gt;1,Z62-1,IF(COUNTIFS('Plan CP'!$O:$O,'PR Grupo'!$G62,'Plan CP'!$P:$P,'PR Grupo'!AA$3,'Plan CP'!$M:$M,1)=1,1,IF(IFERROR(VLOOKUP('PR Grupo'!AA$3&amp;'PR Grupo'!$G62,'Plan CP'!$K:$P,3,FALSE)&gt;1,0),IFERROR(VLOOKUP('PR Grupo'!AA$3&amp;'PR Grupo'!$G62,'Plan CP'!$K:$P,3,FALSE),0),0)))</f>
        <v>1</v>
      </c>
      <c r="AB62" s="58">
        <f>IF(AA62&gt;1,AA62-1,IF(COUNTIFS('Plan CP'!$O:$O,'PR Grupo'!$G62,'Plan CP'!$P:$P,'PR Grupo'!AB$3,'Plan CP'!$M:$M,1)=1,1,IF(IFERROR(VLOOKUP('PR Grupo'!AB$3&amp;'PR Grupo'!$G62,'Plan CP'!$K:$P,3,FALSE)&gt;1,0),IFERROR(VLOOKUP('PR Grupo'!AB$3&amp;'PR Grupo'!$G62,'Plan CP'!$K:$P,3,FALSE),0),0)))</f>
        <v>1</v>
      </c>
      <c r="AC62" s="58">
        <f>IF(AB62&gt;1,AB62-1,IF(COUNTIFS('Plan CP'!$O:$O,'PR Grupo'!$G62,'Plan CP'!$P:$P,'PR Grupo'!AC$3,'Plan CP'!$M:$M,1)=1,1,IF(IFERROR(VLOOKUP('PR Grupo'!AC$3&amp;'PR Grupo'!$G62,'Plan CP'!$K:$P,3,FALSE)&gt;1,0),IFERROR(VLOOKUP('PR Grupo'!AC$3&amp;'PR Grupo'!$G62,'Plan CP'!$K:$P,3,FALSE),0),0)))</f>
        <v>1</v>
      </c>
      <c r="AD62" s="58">
        <f>IF(AC62&gt;1,AC62-1,IF(COUNTIFS('Plan CP'!$O:$O,'PR Grupo'!$G62,'Plan CP'!$P:$P,'PR Grupo'!AD$3,'Plan CP'!$M:$M,1)=1,1,IF(IFERROR(VLOOKUP('PR Grupo'!AD$3&amp;'PR Grupo'!$G62,'Plan CP'!$K:$P,3,FALSE)&gt;1,0),IFERROR(VLOOKUP('PR Grupo'!AD$3&amp;'PR Grupo'!$G62,'Plan CP'!$K:$P,3,FALSE),0),0)))</f>
        <v>0</v>
      </c>
      <c r="AE62" s="58">
        <f>IF(AD62&gt;1,AD62-1,IF(COUNTIFS('Plan CP'!$O:$O,'PR Grupo'!$G62,'Plan CP'!$P:$P,'PR Grupo'!AE$3,'Plan CP'!$M:$M,1)=1,1,IF(IFERROR(VLOOKUP('PR Grupo'!AE$3&amp;'PR Grupo'!$G62,'Plan CP'!$K:$P,3,FALSE)&gt;1,0),IFERROR(VLOOKUP('PR Grupo'!AE$3&amp;'PR Grupo'!$G62,'Plan CP'!$K:$P,3,FALSE),0),0)))</f>
        <v>0</v>
      </c>
      <c r="AF62" s="58">
        <f>IF(AE62&gt;1,AE62-1,IF(COUNTIFS('Plan CP'!$O:$O,'PR Grupo'!$G62,'Plan CP'!$P:$P,'PR Grupo'!AF$3,'Plan CP'!$M:$M,1)=1,1,IF(IFERROR(VLOOKUP('PR Grupo'!AF$3&amp;'PR Grupo'!$G62,'Plan CP'!$K:$P,3,FALSE)&gt;1,0),IFERROR(VLOOKUP('PR Grupo'!AF$3&amp;'PR Grupo'!$G62,'Plan CP'!$K:$P,3,FALSE),0),0)))</f>
        <v>0</v>
      </c>
      <c r="AG62" s="58">
        <f>IF(AF62&gt;1,AF62-1,IF(COUNTIFS('Plan CP'!$O:$O,'PR Grupo'!$G62,'Plan CP'!$P:$P,'PR Grupo'!AG$3,'Plan CP'!$M:$M,1)=1,1,IF(IFERROR(VLOOKUP('PR Grupo'!AG$3&amp;'PR Grupo'!$G62,'Plan CP'!$K:$P,3,FALSE)&gt;1,0),IFERROR(VLOOKUP('PR Grupo'!AG$3&amp;'PR Grupo'!$G62,'Plan CP'!$K:$P,3,FALSE),0),0)))</f>
        <v>0</v>
      </c>
      <c r="AH62" s="58">
        <f>IF(AG62&gt;1,AG62-1,IF(COUNTIFS('Plan CP'!$O:$O,'PR Grupo'!$G62,'Plan CP'!$P:$P,'PR Grupo'!AH$3,'Plan CP'!$M:$M,1)=1,1,IF(IFERROR(VLOOKUP('PR Grupo'!AH$3&amp;'PR Grupo'!$G62,'Plan CP'!$K:$P,3,FALSE)&gt;1,0),IFERROR(VLOOKUP('PR Grupo'!AH$3&amp;'PR Grupo'!$G62,'Plan CP'!$K:$P,3,FALSE),0),0)))</f>
        <v>0</v>
      </c>
      <c r="AI62" s="58">
        <f>IF(AH62&gt;1,AH62-1,IF(COUNTIFS('Plan CP'!$O:$O,'PR Grupo'!$G62,'Plan CP'!$P:$P,'PR Grupo'!AI$3,'Plan CP'!$M:$M,1)=1,1,IF(IFERROR(VLOOKUP('PR Grupo'!AI$3&amp;'PR Grupo'!$G62,'Plan CP'!$K:$P,3,FALSE)&gt;1,0),IFERROR(VLOOKUP('PR Grupo'!AI$3&amp;'PR Grupo'!$G62,'Plan CP'!$K:$P,3,FALSE),0),0)))</f>
        <v>0</v>
      </c>
      <c r="AJ62" s="58">
        <f>IF(AI62&gt;1,AI62-1,IF(COUNTIFS('Plan CP'!$O:$O,'PR Grupo'!$G62,'Plan CP'!$P:$P,'PR Grupo'!AJ$3,'Plan CP'!$M:$M,1)=1,1,IF(IFERROR(VLOOKUP('PR Grupo'!AJ$3&amp;'PR Grupo'!$G62,'Plan CP'!$K:$P,3,FALSE)&gt;1,0),IFERROR(VLOOKUP('PR Grupo'!AJ$3&amp;'PR Grupo'!$G62,'Plan CP'!$K:$P,3,FALSE),0),0)))</f>
        <v>1</v>
      </c>
      <c r="AK62" s="58">
        <f>IF(AJ62&gt;1,AJ62-1,IF(COUNTIFS('Plan CP'!$O:$O,'PR Grupo'!$G62,'Plan CP'!$P:$P,'PR Grupo'!AK$3,'Plan CP'!$M:$M,1)=1,1,IF(IFERROR(VLOOKUP('PR Grupo'!AK$3&amp;'PR Grupo'!$G62,'Plan CP'!$K:$P,3,FALSE)&gt;1,0),IFERROR(VLOOKUP('PR Grupo'!AK$3&amp;'PR Grupo'!$G62,'Plan CP'!$K:$P,3,FALSE),0),0)))</f>
        <v>1</v>
      </c>
      <c r="AL62" s="58">
        <f>IF(AK62&gt;1,AK62-1,IF(COUNTIFS('Plan CP'!$O:$O,'PR Grupo'!$G62,'Plan CP'!$P:$P,'PR Grupo'!AL$3,'Plan CP'!$M:$M,1)=1,1,IF(IFERROR(VLOOKUP('PR Grupo'!AL$3&amp;'PR Grupo'!$G62,'Plan CP'!$K:$P,3,FALSE)&gt;1,0),IFERROR(VLOOKUP('PR Grupo'!AL$3&amp;'PR Grupo'!$G62,'Plan CP'!$K:$P,3,FALSE),0),0)))</f>
        <v>1</v>
      </c>
      <c r="AM62" s="58">
        <f>IF(AL62&gt;1,AL62-1,IF(COUNTIFS('Plan CP'!$O:$O,'PR Grupo'!$G62,'Plan CP'!$P:$P,'PR Grupo'!AM$3,'Plan CP'!$M:$M,1)=1,1,IF(IFERROR(VLOOKUP('PR Grupo'!AM$3&amp;'PR Grupo'!$G62,'Plan CP'!$K:$P,3,FALSE)&gt;1,0),IFERROR(VLOOKUP('PR Grupo'!AM$3&amp;'PR Grupo'!$G62,'Plan CP'!$K:$P,3,FALSE),0),0)))</f>
        <v>1</v>
      </c>
      <c r="AN62" s="58">
        <f>IF(AM62&gt;1,AM62-1,IF(COUNTIFS('Plan CP'!$O:$O,'PR Grupo'!$G62,'Plan CP'!$P:$P,'PR Grupo'!AN$3,'Plan CP'!$M:$M,1)=1,1,IF(IFERROR(VLOOKUP('PR Grupo'!AN$3&amp;'PR Grupo'!$G62,'Plan CP'!$K:$P,3,FALSE)&gt;1,0),IFERROR(VLOOKUP('PR Grupo'!AN$3&amp;'PR Grupo'!$G62,'Plan CP'!$K:$P,3,FALSE),0),0)))</f>
        <v>1</v>
      </c>
      <c r="AO62" s="58">
        <f>IF(AN62&gt;1,AN62-1,IF(COUNTIFS('Plan CP'!$O:$O,'PR Grupo'!$G62,'Plan CP'!$P:$P,'PR Grupo'!AO$3,'Plan CP'!$M:$M,1)=1,1,IF(IFERROR(VLOOKUP('PR Grupo'!AO$3&amp;'PR Grupo'!$G62,'Plan CP'!$K:$P,3,FALSE)&gt;1,0),IFERROR(VLOOKUP('PR Grupo'!AO$3&amp;'PR Grupo'!$G62,'Plan CP'!$K:$P,3,FALSE),0),0)))</f>
        <v>1</v>
      </c>
    </row>
    <row r="63" spans="1:41">
      <c r="A63" s="21" t="s">
        <v>33</v>
      </c>
      <c r="B63" s="21" t="s">
        <v>46</v>
      </c>
      <c r="C63" s="21" t="s">
        <v>255</v>
      </c>
      <c r="D63" s="21" t="s">
        <v>272</v>
      </c>
      <c r="E63" s="24" t="s">
        <v>174</v>
      </c>
      <c r="F63" s="21" t="s">
        <v>272</v>
      </c>
      <c r="G63" s="33" t="s">
        <v>193</v>
      </c>
      <c r="H63" s="24">
        <v>25</v>
      </c>
      <c r="I63" s="33">
        <f t="shared" si="2"/>
        <v>25</v>
      </c>
      <c r="J63" s="33" t="str">
        <f t="shared" si="3"/>
        <v>OK</v>
      </c>
      <c r="K63" s="58">
        <f>IF(COUNTIFS('Plan CP'!$O:$O,'PR Grupo'!$G63,'Plan CP'!$P:$P,'PR Grupo'!K$3,'Plan CP'!$M:$M,1)=1,1,IF(IFERROR(VLOOKUP('PR Grupo'!K$3&amp;'PR Grupo'!$G63,'Plan CP'!$K:$P,3,FALSE)&gt;1,0),IFERROR(VLOOKUP('PR Grupo'!K$3&amp;'PR Grupo'!$G63,'Plan CP'!$K:$P,3,FALSE),0),0))</f>
        <v>1</v>
      </c>
      <c r="L63" s="58">
        <f>IF(K63&gt;1,K63-1,IF(COUNTIFS('Plan CP'!$O:$O,'PR Grupo'!$G63,'Plan CP'!$P:$P,'PR Grupo'!L$3,'Plan CP'!$M:$M,1)=1,1,IF(IFERROR(VLOOKUP('PR Grupo'!L$3&amp;'PR Grupo'!$G63,'Plan CP'!$K:$P,3,FALSE)&gt;1,0),IFERROR(VLOOKUP('PR Grupo'!L$3&amp;'PR Grupo'!$G63,'Plan CP'!$K:$P,3,FALSE),0),0)))</f>
        <v>1</v>
      </c>
      <c r="M63" s="58">
        <f>IF(L63&gt;1,L63-1,IF(COUNTIFS('Plan CP'!$O:$O,'PR Grupo'!$G63,'Plan CP'!$P:$P,'PR Grupo'!M$3,'Plan CP'!$M:$M,1)=1,1,IF(IFERROR(VLOOKUP('PR Grupo'!M$3&amp;'PR Grupo'!$G63,'Plan CP'!$K:$P,3,FALSE)&gt;1,0),IFERROR(VLOOKUP('PR Grupo'!M$3&amp;'PR Grupo'!$G63,'Plan CP'!$K:$P,3,FALSE),0),0)))</f>
        <v>1</v>
      </c>
      <c r="N63" s="58">
        <f>IF(M63&gt;1,M63-1,IF(COUNTIFS('Plan CP'!$O:$O,'PR Grupo'!$G63,'Plan CP'!$P:$P,'PR Grupo'!N$3,'Plan CP'!$M:$M,1)=1,1,IF(IFERROR(VLOOKUP('PR Grupo'!N$3&amp;'PR Grupo'!$G63,'Plan CP'!$K:$P,3,FALSE)&gt;1,0),IFERROR(VLOOKUP('PR Grupo'!N$3&amp;'PR Grupo'!$G63,'Plan CP'!$K:$P,3,FALSE),0),0)))</f>
        <v>1</v>
      </c>
      <c r="O63" s="58">
        <f>IF(N63&gt;1,N63-1,IF(COUNTIFS('Plan CP'!$O:$O,'PR Grupo'!$G63,'Plan CP'!$P:$P,'PR Grupo'!O$3,'Plan CP'!$M:$M,1)=1,1,IF(IFERROR(VLOOKUP('PR Grupo'!O$3&amp;'PR Grupo'!$G63,'Plan CP'!$K:$P,3,FALSE)&gt;1,0),IFERROR(VLOOKUP('PR Grupo'!O$3&amp;'PR Grupo'!$G63,'Plan CP'!$K:$P,3,FALSE),0),0)))</f>
        <v>1</v>
      </c>
      <c r="P63" s="58">
        <f>IF(O63&gt;1,O63-1,IF(COUNTIFS('Plan CP'!$O:$O,'PR Grupo'!$G63,'Plan CP'!$P:$P,'PR Grupo'!P$3,'Plan CP'!$M:$M,1)=1,1,IF(IFERROR(VLOOKUP('PR Grupo'!P$3&amp;'PR Grupo'!$G63,'Plan CP'!$K:$P,3,FALSE)&gt;1,0),IFERROR(VLOOKUP('PR Grupo'!P$3&amp;'PR Grupo'!$G63,'Plan CP'!$K:$P,3,FALSE),0),0)))</f>
        <v>1</v>
      </c>
      <c r="Q63" s="58">
        <f>IF(P63&gt;1,P63-1,IF(COUNTIFS('Plan CP'!$O:$O,'PR Grupo'!$G63,'Plan CP'!$P:$P,'PR Grupo'!Q$3,'Plan CP'!$M:$M,1)=1,1,IF(IFERROR(VLOOKUP('PR Grupo'!Q$3&amp;'PR Grupo'!$G63,'Plan CP'!$K:$P,3,FALSE)&gt;1,0),IFERROR(VLOOKUP('PR Grupo'!Q$3&amp;'PR Grupo'!$G63,'Plan CP'!$K:$P,3,FALSE),0),0)))</f>
        <v>1</v>
      </c>
      <c r="R63" s="58">
        <f>IF(Q63&gt;1,Q63-1,IF(COUNTIFS('Plan CP'!$O:$O,'PR Grupo'!$G63,'Plan CP'!$P:$P,'PR Grupo'!R$3,'Plan CP'!$M:$M,1)=1,1,IF(IFERROR(VLOOKUP('PR Grupo'!R$3&amp;'PR Grupo'!$G63,'Plan CP'!$K:$P,3,FALSE)&gt;1,0),IFERROR(VLOOKUP('PR Grupo'!R$3&amp;'PR Grupo'!$G63,'Plan CP'!$K:$P,3,FALSE),0),0)))</f>
        <v>1</v>
      </c>
      <c r="S63" s="58">
        <f>IF(R63&gt;1,R63-1,IF(COUNTIFS('Plan CP'!$O:$O,'PR Grupo'!$G63,'Plan CP'!$P:$P,'PR Grupo'!S$3,'Plan CP'!$M:$M,1)=1,1,IF(IFERROR(VLOOKUP('PR Grupo'!S$3&amp;'PR Grupo'!$G63,'Plan CP'!$K:$P,3,FALSE)&gt;1,0),IFERROR(VLOOKUP('PR Grupo'!S$3&amp;'PR Grupo'!$G63,'Plan CP'!$K:$P,3,FALSE),0),0)))</f>
        <v>1</v>
      </c>
      <c r="T63" s="58">
        <f>IF(S63&gt;1,S63-1,IF(COUNTIFS('Plan CP'!$O:$O,'PR Grupo'!$G63,'Plan CP'!$P:$P,'PR Grupo'!T$3,'Plan CP'!$M:$M,1)=1,1,IF(IFERROR(VLOOKUP('PR Grupo'!T$3&amp;'PR Grupo'!$G63,'Plan CP'!$K:$P,3,FALSE)&gt;1,0),IFERROR(VLOOKUP('PR Grupo'!T$3&amp;'PR Grupo'!$G63,'Plan CP'!$K:$P,3,FALSE),0),0)))</f>
        <v>1</v>
      </c>
      <c r="U63" s="58">
        <f>IF(T63&gt;1,T63-1,IF(COUNTIFS('Plan CP'!$O:$O,'PR Grupo'!$G63,'Plan CP'!$P:$P,'PR Grupo'!U$3,'Plan CP'!$M:$M,1)=1,1,IF(IFERROR(VLOOKUP('PR Grupo'!U$3&amp;'PR Grupo'!$G63,'Plan CP'!$K:$P,3,FALSE)&gt;1,0),IFERROR(VLOOKUP('PR Grupo'!U$3&amp;'PR Grupo'!$G63,'Plan CP'!$K:$P,3,FALSE),0),0)))</f>
        <v>1</v>
      </c>
      <c r="V63" s="58">
        <f>IF(U63&gt;1,U63-1,IF(COUNTIFS('Plan CP'!$O:$O,'PR Grupo'!$G63,'Plan CP'!$P:$P,'PR Grupo'!V$3,'Plan CP'!$M:$M,1)=1,1,IF(IFERROR(VLOOKUP('PR Grupo'!V$3&amp;'PR Grupo'!$G63,'Plan CP'!$K:$P,3,FALSE)&gt;1,0),IFERROR(VLOOKUP('PR Grupo'!V$3&amp;'PR Grupo'!$G63,'Plan CP'!$K:$P,3,FALSE),0),0)))</f>
        <v>1</v>
      </c>
      <c r="W63" s="58">
        <f>IF(V63&gt;1,V63-1,IF(COUNTIFS('Plan CP'!$O:$O,'PR Grupo'!$G63,'Plan CP'!$P:$P,'PR Grupo'!W$3,'Plan CP'!$M:$M,1)=1,1,IF(IFERROR(VLOOKUP('PR Grupo'!W$3&amp;'PR Grupo'!$G63,'Plan CP'!$K:$P,3,FALSE)&gt;1,0),IFERROR(VLOOKUP('PR Grupo'!W$3&amp;'PR Grupo'!$G63,'Plan CP'!$K:$P,3,FALSE),0),0)))</f>
        <v>1</v>
      </c>
      <c r="X63" s="58">
        <f>IF(W63&gt;1,W63-1,IF(COUNTIFS('Plan CP'!$O:$O,'PR Grupo'!$G63,'Plan CP'!$P:$P,'PR Grupo'!X$3,'Plan CP'!$M:$M,1)=1,1,IF(IFERROR(VLOOKUP('PR Grupo'!X$3&amp;'PR Grupo'!$G63,'Plan CP'!$K:$P,3,FALSE)&gt;1,0),IFERROR(VLOOKUP('PR Grupo'!X$3&amp;'PR Grupo'!$G63,'Plan CP'!$K:$P,3,FALSE),0),0)))</f>
        <v>1</v>
      </c>
      <c r="Y63" s="58">
        <f>IF(X63&gt;1,X63-1,IF(COUNTIFS('Plan CP'!$O:$O,'PR Grupo'!$G63,'Plan CP'!$P:$P,'PR Grupo'!Y$3,'Plan CP'!$M:$M,1)=1,1,IF(IFERROR(VLOOKUP('PR Grupo'!Y$3&amp;'PR Grupo'!$G63,'Plan CP'!$K:$P,3,FALSE)&gt;1,0),IFERROR(VLOOKUP('PR Grupo'!Y$3&amp;'PR Grupo'!$G63,'Plan CP'!$K:$P,3,FALSE),0),0)))</f>
        <v>1</v>
      </c>
      <c r="Z63" s="58">
        <f>IF(Y63&gt;1,Y63-1,IF(COUNTIFS('Plan CP'!$O:$O,'PR Grupo'!$G63,'Plan CP'!$P:$P,'PR Grupo'!Z$3,'Plan CP'!$M:$M,1)=1,1,IF(IFERROR(VLOOKUP('PR Grupo'!Z$3&amp;'PR Grupo'!$G63,'Plan CP'!$K:$P,3,FALSE)&gt;1,0),IFERROR(VLOOKUP('PR Grupo'!Z$3&amp;'PR Grupo'!$G63,'Plan CP'!$K:$P,3,FALSE),0),0)))</f>
        <v>1</v>
      </c>
      <c r="AA63" s="58">
        <f>IF(Z63&gt;1,Z63-1,IF(COUNTIFS('Plan CP'!$O:$O,'PR Grupo'!$G63,'Plan CP'!$P:$P,'PR Grupo'!AA$3,'Plan CP'!$M:$M,1)=1,1,IF(IFERROR(VLOOKUP('PR Grupo'!AA$3&amp;'PR Grupo'!$G63,'Plan CP'!$K:$P,3,FALSE)&gt;1,0),IFERROR(VLOOKUP('PR Grupo'!AA$3&amp;'PR Grupo'!$G63,'Plan CP'!$K:$P,3,FALSE),0),0)))</f>
        <v>1</v>
      </c>
      <c r="AB63" s="58">
        <f>IF(AA63&gt;1,AA63-1,IF(COUNTIFS('Plan CP'!$O:$O,'PR Grupo'!$G63,'Plan CP'!$P:$P,'PR Grupo'!AB$3,'Plan CP'!$M:$M,1)=1,1,IF(IFERROR(VLOOKUP('PR Grupo'!AB$3&amp;'PR Grupo'!$G63,'Plan CP'!$K:$P,3,FALSE)&gt;1,0),IFERROR(VLOOKUP('PR Grupo'!AB$3&amp;'PR Grupo'!$G63,'Plan CP'!$K:$P,3,FALSE),0),0)))</f>
        <v>1</v>
      </c>
      <c r="AC63" s="58">
        <f>IF(AB63&gt;1,AB63-1,IF(COUNTIFS('Plan CP'!$O:$O,'PR Grupo'!$G63,'Plan CP'!$P:$P,'PR Grupo'!AC$3,'Plan CP'!$M:$M,1)=1,1,IF(IFERROR(VLOOKUP('PR Grupo'!AC$3&amp;'PR Grupo'!$G63,'Plan CP'!$K:$P,3,FALSE)&gt;1,0),IFERROR(VLOOKUP('PR Grupo'!AC$3&amp;'PR Grupo'!$G63,'Plan CP'!$K:$P,3,FALSE),0),0)))</f>
        <v>1</v>
      </c>
      <c r="AD63" s="58">
        <f>IF(AC63&gt;1,AC63-1,IF(COUNTIFS('Plan CP'!$O:$O,'PR Grupo'!$G63,'Plan CP'!$P:$P,'PR Grupo'!AD$3,'Plan CP'!$M:$M,1)=1,1,IF(IFERROR(VLOOKUP('PR Grupo'!AD$3&amp;'PR Grupo'!$G63,'Plan CP'!$K:$P,3,FALSE)&gt;1,0),IFERROR(VLOOKUP('PR Grupo'!AD$3&amp;'PR Grupo'!$G63,'Plan CP'!$K:$P,3,FALSE),0),0)))</f>
        <v>0</v>
      </c>
      <c r="AE63" s="58">
        <f>IF(AD63&gt;1,AD63-1,IF(COUNTIFS('Plan CP'!$O:$O,'PR Grupo'!$G63,'Plan CP'!$P:$P,'PR Grupo'!AE$3,'Plan CP'!$M:$M,1)=1,1,IF(IFERROR(VLOOKUP('PR Grupo'!AE$3&amp;'PR Grupo'!$G63,'Plan CP'!$K:$P,3,FALSE)&gt;1,0),IFERROR(VLOOKUP('PR Grupo'!AE$3&amp;'PR Grupo'!$G63,'Plan CP'!$K:$P,3,FALSE),0),0)))</f>
        <v>0</v>
      </c>
      <c r="AF63" s="58">
        <f>IF(AE63&gt;1,AE63-1,IF(COUNTIFS('Plan CP'!$O:$O,'PR Grupo'!$G63,'Plan CP'!$P:$P,'PR Grupo'!AF$3,'Plan CP'!$M:$M,1)=1,1,IF(IFERROR(VLOOKUP('PR Grupo'!AF$3&amp;'PR Grupo'!$G63,'Plan CP'!$K:$P,3,FALSE)&gt;1,0),IFERROR(VLOOKUP('PR Grupo'!AF$3&amp;'PR Grupo'!$G63,'Plan CP'!$K:$P,3,FALSE),0),0)))</f>
        <v>0</v>
      </c>
      <c r="AG63" s="58">
        <f>IF(AF63&gt;1,AF63-1,IF(COUNTIFS('Plan CP'!$O:$O,'PR Grupo'!$G63,'Plan CP'!$P:$P,'PR Grupo'!AG$3,'Plan CP'!$M:$M,1)=1,1,IF(IFERROR(VLOOKUP('PR Grupo'!AG$3&amp;'PR Grupo'!$G63,'Plan CP'!$K:$P,3,FALSE)&gt;1,0),IFERROR(VLOOKUP('PR Grupo'!AG$3&amp;'PR Grupo'!$G63,'Plan CP'!$K:$P,3,FALSE),0),0)))</f>
        <v>0</v>
      </c>
      <c r="AH63" s="58">
        <f>IF(AG63&gt;1,AG63-1,IF(COUNTIFS('Plan CP'!$O:$O,'PR Grupo'!$G63,'Plan CP'!$P:$P,'PR Grupo'!AH$3,'Plan CP'!$M:$M,1)=1,1,IF(IFERROR(VLOOKUP('PR Grupo'!AH$3&amp;'PR Grupo'!$G63,'Plan CP'!$K:$P,3,FALSE)&gt;1,0),IFERROR(VLOOKUP('PR Grupo'!AH$3&amp;'PR Grupo'!$G63,'Plan CP'!$K:$P,3,FALSE),0),0)))</f>
        <v>0</v>
      </c>
      <c r="AI63" s="58">
        <f>IF(AH63&gt;1,AH63-1,IF(COUNTIFS('Plan CP'!$O:$O,'PR Grupo'!$G63,'Plan CP'!$P:$P,'PR Grupo'!AI$3,'Plan CP'!$M:$M,1)=1,1,IF(IFERROR(VLOOKUP('PR Grupo'!AI$3&amp;'PR Grupo'!$G63,'Plan CP'!$K:$P,3,FALSE)&gt;1,0),IFERROR(VLOOKUP('PR Grupo'!AI$3&amp;'PR Grupo'!$G63,'Plan CP'!$K:$P,3,FALSE),0),0)))</f>
        <v>0</v>
      </c>
      <c r="AJ63" s="58">
        <f>IF(AI63&gt;1,AI63-1,IF(COUNTIFS('Plan CP'!$O:$O,'PR Grupo'!$G63,'Plan CP'!$P:$P,'PR Grupo'!AJ$3,'Plan CP'!$M:$M,1)=1,1,IF(IFERROR(VLOOKUP('PR Grupo'!AJ$3&amp;'PR Grupo'!$G63,'Plan CP'!$K:$P,3,FALSE)&gt;1,0),IFERROR(VLOOKUP('PR Grupo'!AJ$3&amp;'PR Grupo'!$G63,'Plan CP'!$K:$P,3,FALSE),0),0)))</f>
        <v>1</v>
      </c>
      <c r="AK63" s="58">
        <f>IF(AJ63&gt;1,AJ63-1,IF(COUNTIFS('Plan CP'!$O:$O,'PR Grupo'!$G63,'Plan CP'!$P:$P,'PR Grupo'!AK$3,'Plan CP'!$M:$M,1)=1,1,IF(IFERROR(VLOOKUP('PR Grupo'!AK$3&amp;'PR Grupo'!$G63,'Plan CP'!$K:$P,3,FALSE)&gt;1,0),IFERROR(VLOOKUP('PR Grupo'!AK$3&amp;'PR Grupo'!$G63,'Plan CP'!$K:$P,3,FALSE),0),0)))</f>
        <v>1</v>
      </c>
      <c r="AL63" s="58">
        <f>IF(AK63&gt;1,AK63-1,IF(COUNTIFS('Plan CP'!$O:$O,'PR Grupo'!$G63,'Plan CP'!$P:$P,'PR Grupo'!AL$3,'Plan CP'!$M:$M,1)=1,1,IF(IFERROR(VLOOKUP('PR Grupo'!AL$3&amp;'PR Grupo'!$G63,'Plan CP'!$K:$P,3,FALSE)&gt;1,0),IFERROR(VLOOKUP('PR Grupo'!AL$3&amp;'PR Grupo'!$G63,'Plan CP'!$K:$P,3,FALSE),0),0)))</f>
        <v>1</v>
      </c>
      <c r="AM63" s="58">
        <f>IF(AL63&gt;1,AL63-1,IF(COUNTIFS('Plan CP'!$O:$O,'PR Grupo'!$G63,'Plan CP'!$P:$P,'PR Grupo'!AM$3,'Plan CP'!$M:$M,1)=1,1,IF(IFERROR(VLOOKUP('PR Grupo'!AM$3&amp;'PR Grupo'!$G63,'Plan CP'!$K:$P,3,FALSE)&gt;1,0),IFERROR(VLOOKUP('PR Grupo'!AM$3&amp;'PR Grupo'!$G63,'Plan CP'!$K:$P,3,FALSE),0),0)))</f>
        <v>1</v>
      </c>
      <c r="AN63" s="58">
        <f>IF(AM63&gt;1,AM63-1,IF(COUNTIFS('Plan CP'!$O:$O,'PR Grupo'!$G63,'Plan CP'!$P:$P,'PR Grupo'!AN$3,'Plan CP'!$M:$M,1)=1,1,IF(IFERROR(VLOOKUP('PR Grupo'!AN$3&amp;'PR Grupo'!$G63,'Plan CP'!$K:$P,3,FALSE)&gt;1,0),IFERROR(VLOOKUP('PR Grupo'!AN$3&amp;'PR Grupo'!$G63,'Plan CP'!$K:$P,3,FALSE),0),0)))</f>
        <v>1</v>
      </c>
      <c r="AO63" s="58">
        <f>IF(AN63&gt;1,AN63-1,IF(COUNTIFS('Plan CP'!$O:$O,'PR Grupo'!$G63,'Plan CP'!$P:$P,'PR Grupo'!AO$3,'Plan CP'!$M:$M,1)=1,1,IF(IFERROR(VLOOKUP('PR Grupo'!AO$3&amp;'PR Grupo'!$G63,'Plan CP'!$K:$P,3,FALSE)&gt;1,0),IFERROR(VLOOKUP('PR Grupo'!AO$3&amp;'PR Grupo'!$G63,'Plan CP'!$K:$P,3,FALSE),0),0)))</f>
        <v>1</v>
      </c>
    </row>
    <row r="64" spans="1:41">
      <c r="A64" s="21" t="s">
        <v>33</v>
      </c>
      <c r="B64" s="21" t="s">
        <v>39</v>
      </c>
      <c r="C64" s="21" t="s">
        <v>256</v>
      </c>
      <c r="D64" s="21" t="s">
        <v>268</v>
      </c>
      <c r="E64" s="24" t="s">
        <v>174</v>
      </c>
      <c r="F64" s="21" t="s">
        <v>268</v>
      </c>
      <c r="G64" s="21" t="s">
        <v>256</v>
      </c>
      <c r="H64" s="24">
        <v>25</v>
      </c>
      <c r="I64" s="54">
        <f>DAY(EOMONTH($A$1,0))-COUNTIFS(K64:AO64,0)</f>
        <v>0</v>
      </c>
      <c r="J64" s="33" t="str">
        <f t="shared" si="3"/>
        <v>NO OK</v>
      </c>
      <c r="K64" s="58">
        <f>IF(COUNTIFS('Plan CP'!$O:$O,'PR Grupo'!$G64,'Plan CP'!$P:$P,'PR Grupo'!K$3,'Plan CP'!$M:$M,1)=1,1,IF(IFERROR(VLOOKUP('PR Grupo'!K$3&amp;'PR Grupo'!$G64,'Plan CP'!$K:$P,3,FALSE)&gt;1,0),IFERROR(VLOOKUP('PR Grupo'!K$3&amp;'PR Grupo'!$G64,'Plan CP'!$K:$P,3,FALSE),0),0))</f>
        <v>0</v>
      </c>
      <c r="L64" s="58">
        <f>IF(K64&gt;1,K64-1,IF(COUNTIFS('Plan CP'!$O:$O,'PR Grupo'!$G64,'Plan CP'!$P:$P,'PR Grupo'!L$3,'Plan CP'!$M:$M,1)=1,1,IF(IFERROR(VLOOKUP('PR Grupo'!L$3&amp;'PR Grupo'!$G64,'Plan CP'!$K:$P,3,FALSE)&gt;1,0),IFERROR(VLOOKUP('PR Grupo'!L$3&amp;'PR Grupo'!$G64,'Plan CP'!$K:$P,3,FALSE),0),0)))</f>
        <v>0</v>
      </c>
      <c r="M64" s="58">
        <f>IF(L64&gt;1,L64-1,IF(COUNTIFS('Plan CP'!$O:$O,'PR Grupo'!$G64,'Plan CP'!$P:$P,'PR Grupo'!M$3,'Plan CP'!$M:$M,1)=1,1,IF(IFERROR(VLOOKUP('PR Grupo'!M$3&amp;'PR Grupo'!$G64,'Plan CP'!$K:$P,3,FALSE)&gt;1,0),IFERROR(VLOOKUP('PR Grupo'!M$3&amp;'PR Grupo'!$G64,'Plan CP'!$K:$P,3,FALSE),0),0)))</f>
        <v>0</v>
      </c>
      <c r="N64" s="58">
        <f>IF(M64&gt;1,M64-1,IF(COUNTIFS('Plan CP'!$O:$O,'PR Grupo'!$G64,'Plan CP'!$P:$P,'PR Grupo'!N$3,'Plan CP'!$M:$M,1)=1,1,IF(IFERROR(VLOOKUP('PR Grupo'!N$3&amp;'PR Grupo'!$G64,'Plan CP'!$K:$P,3,FALSE)&gt;1,0),IFERROR(VLOOKUP('PR Grupo'!N$3&amp;'PR Grupo'!$G64,'Plan CP'!$K:$P,3,FALSE),0),0)))</f>
        <v>0</v>
      </c>
      <c r="O64" s="58">
        <f>IF(N64&gt;1,N64-1,IF(COUNTIFS('Plan CP'!$O:$O,'PR Grupo'!$G64,'Plan CP'!$P:$P,'PR Grupo'!O$3,'Plan CP'!$M:$M,1)=1,1,IF(IFERROR(VLOOKUP('PR Grupo'!O$3&amp;'PR Grupo'!$G64,'Plan CP'!$K:$P,3,FALSE)&gt;1,0),IFERROR(VLOOKUP('PR Grupo'!O$3&amp;'PR Grupo'!$G64,'Plan CP'!$K:$P,3,FALSE),0),0)))</f>
        <v>0</v>
      </c>
      <c r="P64" s="58">
        <f>IF(O64&gt;1,O64-1,IF(COUNTIFS('Plan CP'!$O:$O,'PR Grupo'!$G64,'Plan CP'!$P:$P,'PR Grupo'!P$3,'Plan CP'!$M:$M,1)=1,1,IF(IFERROR(VLOOKUP('PR Grupo'!P$3&amp;'PR Grupo'!$G64,'Plan CP'!$K:$P,3,FALSE)&gt;1,0),IFERROR(VLOOKUP('PR Grupo'!P$3&amp;'PR Grupo'!$G64,'Plan CP'!$K:$P,3,FALSE),0),0)))</f>
        <v>0</v>
      </c>
      <c r="Q64" s="58">
        <f>IF(P64&gt;1,P64-1,IF(COUNTIFS('Plan CP'!$O:$O,'PR Grupo'!$G64,'Plan CP'!$P:$P,'PR Grupo'!Q$3,'Plan CP'!$M:$M,1)=1,1,IF(IFERROR(VLOOKUP('PR Grupo'!Q$3&amp;'PR Grupo'!$G64,'Plan CP'!$K:$P,3,FALSE)&gt;1,0),IFERROR(VLOOKUP('PR Grupo'!Q$3&amp;'PR Grupo'!$G64,'Plan CP'!$K:$P,3,FALSE),0),0)))</f>
        <v>0</v>
      </c>
      <c r="R64" s="58">
        <f>IF(Q64&gt;1,Q64-1,IF(COUNTIFS('Plan CP'!$O:$O,'PR Grupo'!$G64,'Plan CP'!$P:$P,'PR Grupo'!R$3,'Plan CP'!$M:$M,1)=1,1,IF(IFERROR(VLOOKUP('PR Grupo'!R$3&amp;'PR Grupo'!$G64,'Plan CP'!$K:$P,3,FALSE)&gt;1,0),IFERROR(VLOOKUP('PR Grupo'!R$3&amp;'PR Grupo'!$G64,'Plan CP'!$K:$P,3,FALSE),0),0)))</f>
        <v>0</v>
      </c>
      <c r="S64" s="58">
        <f>IF(R64&gt;1,R64-1,IF(COUNTIFS('Plan CP'!$O:$O,'PR Grupo'!$G64,'Plan CP'!$P:$P,'PR Grupo'!S$3,'Plan CP'!$M:$M,1)=1,1,IF(IFERROR(VLOOKUP('PR Grupo'!S$3&amp;'PR Grupo'!$G64,'Plan CP'!$K:$P,3,FALSE)&gt;1,0),IFERROR(VLOOKUP('PR Grupo'!S$3&amp;'PR Grupo'!$G64,'Plan CP'!$K:$P,3,FALSE),0),0)))</f>
        <v>0</v>
      </c>
      <c r="T64" s="58">
        <f>IF(S64&gt;1,S64-1,IF(COUNTIFS('Plan CP'!$O:$O,'PR Grupo'!$G64,'Plan CP'!$P:$P,'PR Grupo'!T$3,'Plan CP'!$M:$M,1)=1,1,IF(IFERROR(VLOOKUP('PR Grupo'!T$3&amp;'PR Grupo'!$G64,'Plan CP'!$K:$P,3,FALSE)&gt;1,0),IFERROR(VLOOKUP('PR Grupo'!T$3&amp;'PR Grupo'!$G64,'Plan CP'!$K:$P,3,FALSE),0),0)))</f>
        <v>0</v>
      </c>
      <c r="U64" s="58">
        <f>IF(T64&gt;1,T64-1,IF(COUNTIFS('Plan CP'!$O:$O,'PR Grupo'!$G64,'Plan CP'!$P:$P,'PR Grupo'!U$3,'Plan CP'!$M:$M,1)=1,1,IF(IFERROR(VLOOKUP('PR Grupo'!U$3&amp;'PR Grupo'!$G64,'Plan CP'!$K:$P,3,FALSE)&gt;1,0),IFERROR(VLOOKUP('PR Grupo'!U$3&amp;'PR Grupo'!$G64,'Plan CP'!$K:$P,3,FALSE),0),0)))</f>
        <v>0</v>
      </c>
      <c r="V64" s="58">
        <f>IF(U64&gt;1,U64-1,IF(COUNTIFS('Plan CP'!$O:$O,'PR Grupo'!$G64,'Plan CP'!$P:$P,'PR Grupo'!V$3,'Plan CP'!$M:$M,1)=1,1,IF(IFERROR(VLOOKUP('PR Grupo'!V$3&amp;'PR Grupo'!$G64,'Plan CP'!$K:$P,3,FALSE)&gt;1,0),IFERROR(VLOOKUP('PR Grupo'!V$3&amp;'PR Grupo'!$G64,'Plan CP'!$K:$P,3,FALSE),0),0)))</f>
        <v>0</v>
      </c>
      <c r="W64" s="58">
        <f>IF(V64&gt;1,V64-1,IF(COUNTIFS('Plan CP'!$O:$O,'PR Grupo'!$G64,'Plan CP'!$P:$P,'PR Grupo'!W$3,'Plan CP'!$M:$M,1)=1,1,IF(IFERROR(VLOOKUP('PR Grupo'!W$3&amp;'PR Grupo'!$G64,'Plan CP'!$K:$P,3,FALSE)&gt;1,0),IFERROR(VLOOKUP('PR Grupo'!W$3&amp;'PR Grupo'!$G64,'Plan CP'!$K:$P,3,FALSE),0),0)))</f>
        <v>0</v>
      </c>
      <c r="X64" s="58">
        <f>IF(W64&gt;1,W64-1,IF(COUNTIFS('Plan CP'!$O:$O,'PR Grupo'!$G64,'Plan CP'!$P:$P,'PR Grupo'!X$3,'Plan CP'!$M:$M,1)=1,1,IF(IFERROR(VLOOKUP('PR Grupo'!X$3&amp;'PR Grupo'!$G64,'Plan CP'!$K:$P,3,FALSE)&gt;1,0),IFERROR(VLOOKUP('PR Grupo'!X$3&amp;'PR Grupo'!$G64,'Plan CP'!$K:$P,3,FALSE),0),0)))</f>
        <v>0</v>
      </c>
      <c r="Y64" s="58">
        <f>IF(X64&gt;1,X64-1,IF(COUNTIFS('Plan CP'!$O:$O,'PR Grupo'!$G64,'Plan CP'!$P:$P,'PR Grupo'!Y$3,'Plan CP'!$M:$M,1)=1,1,IF(IFERROR(VLOOKUP('PR Grupo'!Y$3&amp;'PR Grupo'!$G64,'Plan CP'!$K:$P,3,FALSE)&gt;1,0),IFERROR(VLOOKUP('PR Grupo'!Y$3&amp;'PR Grupo'!$G64,'Plan CP'!$K:$P,3,FALSE),0),0)))</f>
        <v>0</v>
      </c>
      <c r="Z64" s="58">
        <f>IF(Y64&gt;1,Y64-1,IF(COUNTIFS('Plan CP'!$O:$O,'PR Grupo'!$G64,'Plan CP'!$P:$P,'PR Grupo'!Z$3,'Plan CP'!$M:$M,1)=1,1,IF(IFERROR(VLOOKUP('PR Grupo'!Z$3&amp;'PR Grupo'!$G64,'Plan CP'!$K:$P,3,FALSE)&gt;1,0),IFERROR(VLOOKUP('PR Grupo'!Z$3&amp;'PR Grupo'!$G64,'Plan CP'!$K:$P,3,FALSE),0),0)))</f>
        <v>0</v>
      </c>
      <c r="AA64" s="58">
        <f>IF(Z64&gt;1,Z64-1,IF(COUNTIFS('Plan CP'!$O:$O,'PR Grupo'!$G64,'Plan CP'!$P:$P,'PR Grupo'!AA$3,'Plan CP'!$M:$M,1)=1,1,IF(IFERROR(VLOOKUP('PR Grupo'!AA$3&amp;'PR Grupo'!$G64,'Plan CP'!$K:$P,3,FALSE)&gt;1,0),IFERROR(VLOOKUP('PR Grupo'!AA$3&amp;'PR Grupo'!$G64,'Plan CP'!$K:$P,3,FALSE),0),0)))</f>
        <v>0</v>
      </c>
      <c r="AB64" s="58">
        <f>IF(AA64&gt;1,AA64-1,IF(COUNTIFS('Plan CP'!$O:$O,'PR Grupo'!$G64,'Plan CP'!$P:$P,'PR Grupo'!AB$3,'Plan CP'!$M:$M,1)=1,1,IF(IFERROR(VLOOKUP('PR Grupo'!AB$3&amp;'PR Grupo'!$G64,'Plan CP'!$K:$P,3,FALSE)&gt;1,0),IFERROR(VLOOKUP('PR Grupo'!AB$3&amp;'PR Grupo'!$G64,'Plan CP'!$K:$P,3,FALSE),0),0)))</f>
        <v>0</v>
      </c>
      <c r="AC64" s="58">
        <f>IF(AB64&gt;1,AB64-1,IF(COUNTIFS('Plan CP'!$O:$O,'PR Grupo'!$G64,'Plan CP'!$P:$P,'PR Grupo'!AC$3,'Plan CP'!$M:$M,1)=1,1,IF(IFERROR(VLOOKUP('PR Grupo'!AC$3&amp;'PR Grupo'!$G64,'Plan CP'!$K:$P,3,FALSE)&gt;1,0),IFERROR(VLOOKUP('PR Grupo'!AC$3&amp;'PR Grupo'!$G64,'Plan CP'!$K:$P,3,FALSE),0),0)))</f>
        <v>0</v>
      </c>
      <c r="AD64" s="58">
        <f>IF(AC64&gt;1,AC64-1,IF(COUNTIFS('Plan CP'!$O:$O,'PR Grupo'!$G64,'Plan CP'!$P:$P,'PR Grupo'!AD$3,'Plan CP'!$M:$M,1)=1,1,IF(IFERROR(VLOOKUP('PR Grupo'!AD$3&amp;'PR Grupo'!$G64,'Plan CP'!$K:$P,3,FALSE)&gt;1,0),IFERROR(VLOOKUP('PR Grupo'!AD$3&amp;'PR Grupo'!$G64,'Plan CP'!$K:$P,3,FALSE),0),0)))</f>
        <v>0</v>
      </c>
      <c r="AE64" s="58">
        <f>IF(AD64&gt;1,AD64-1,IF(COUNTIFS('Plan CP'!$O:$O,'PR Grupo'!$G64,'Plan CP'!$P:$P,'PR Grupo'!AE$3,'Plan CP'!$M:$M,1)=1,1,IF(IFERROR(VLOOKUP('PR Grupo'!AE$3&amp;'PR Grupo'!$G64,'Plan CP'!$K:$P,3,FALSE)&gt;1,0),IFERROR(VLOOKUP('PR Grupo'!AE$3&amp;'PR Grupo'!$G64,'Plan CP'!$K:$P,3,FALSE),0),0)))</f>
        <v>0</v>
      </c>
      <c r="AF64" s="58">
        <f>IF(AE64&gt;1,AE64-1,IF(COUNTIFS('Plan CP'!$O:$O,'PR Grupo'!$G64,'Plan CP'!$P:$P,'PR Grupo'!AF$3,'Plan CP'!$M:$M,1)=1,1,IF(IFERROR(VLOOKUP('PR Grupo'!AF$3&amp;'PR Grupo'!$G64,'Plan CP'!$K:$P,3,FALSE)&gt;1,0),IFERROR(VLOOKUP('PR Grupo'!AF$3&amp;'PR Grupo'!$G64,'Plan CP'!$K:$P,3,FALSE),0),0)))</f>
        <v>0</v>
      </c>
      <c r="AG64" s="58">
        <f>IF(AF64&gt;1,AF64-1,IF(COUNTIFS('Plan CP'!$O:$O,'PR Grupo'!$G64,'Plan CP'!$P:$P,'PR Grupo'!AG$3,'Plan CP'!$M:$M,1)=1,1,IF(IFERROR(VLOOKUP('PR Grupo'!AG$3&amp;'PR Grupo'!$G64,'Plan CP'!$K:$P,3,FALSE)&gt;1,0),IFERROR(VLOOKUP('PR Grupo'!AG$3&amp;'PR Grupo'!$G64,'Plan CP'!$K:$P,3,FALSE),0),0)))</f>
        <v>0</v>
      </c>
      <c r="AH64" s="58">
        <f>IF(AG64&gt;1,AG64-1,IF(COUNTIFS('Plan CP'!$O:$O,'PR Grupo'!$G64,'Plan CP'!$P:$P,'PR Grupo'!AH$3,'Plan CP'!$M:$M,1)=1,1,IF(IFERROR(VLOOKUP('PR Grupo'!AH$3&amp;'PR Grupo'!$G64,'Plan CP'!$K:$P,3,FALSE)&gt;1,0),IFERROR(VLOOKUP('PR Grupo'!AH$3&amp;'PR Grupo'!$G64,'Plan CP'!$K:$P,3,FALSE),0),0)))</f>
        <v>0</v>
      </c>
      <c r="AI64" s="58">
        <f>IF(AH64&gt;1,AH64-1,IF(COUNTIFS('Plan CP'!$O:$O,'PR Grupo'!$G64,'Plan CP'!$P:$P,'PR Grupo'!AI$3,'Plan CP'!$M:$M,1)=1,1,IF(IFERROR(VLOOKUP('PR Grupo'!AI$3&amp;'PR Grupo'!$G64,'Plan CP'!$K:$P,3,FALSE)&gt;1,0),IFERROR(VLOOKUP('PR Grupo'!AI$3&amp;'PR Grupo'!$G64,'Plan CP'!$K:$P,3,FALSE),0),0)))</f>
        <v>0</v>
      </c>
      <c r="AJ64" s="58">
        <f>IF(AI64&gt;1,AI64-1,IF(COUNTIFS('Plan CP'!$O:$O,'PR Grupo'!$G64,'Plan CP'!$P:$P,'PR Grupo'!AJ$3,'Plan CP'!$M:$M,1)=1,1,IF(IFERROR(VLOOKUP('PR Grupo'!AJ$3&amp;'PR Grupo'!$G64,'Plan CP'!$K:$P,3,FALSE)&gt;1,0),IFERROR(VLOOKUP('PR Grupo'!AJ$3&amp;'PR Grupo'!$G64,'Plan CP'!$K:$P,3,FALSE),0),0)))</f>
        <v>0</v>
      </c>
      <c r="AK64" s="58">
        <f>IF(AJ64&gt;1,AJ64-1,IF(COUNTIFS('Plan CP'!$O:$O,'PR Grupo'!$G64,'Plan CP'!$P:$P,'PR Grupo'!AK$3,'Plan CP'!$M:$M,1)=1,1,IF(IFERROR(VLOOKUP('PR Grupo'!AK$3&amp;'PR Grupo'!$G64,'Plan CP'!$K:$P,3,FALSE)&gt;1,0),IFERROR(VLOOKUP('PR Grupo'!AK$3&amp;'PR Grupo'!$G64,'Plan CP'!$K:$P,3,FALSE),0),0)))</f>
        <v>0</v>
      </c>
      <c r="AL64" s="58">
        <f>IF(AK64&gt;1,AK64-1,IF(COUNTIFS('Plan CP'!$O:$O,'PR Grupo'!$G64,'Plan CP'!$P:$P,'PR Grupo'!AL$3,'Plan CP'!$M:$M,1)=1,1,IF(IFERROR(VLOOKUP('PR Grupo'!AL$3&amp;'PR Grupo'!$G64,'Plan CP'!$K:$P,3,FALSE)&gt;1,0),IFERROR(VLOOKUP('PR Grupo'!AL$3&amp;'PR Grupo'!$G64,'Plan CP'!$K:$P,3,FALSE),0),0)))</f>
        <v>0</v>
      </c>
      <c r="AM64" s="58">
        <f>IF(AL64&gt;1,AL64-1,IF(COUNTIFS('Plan CP'!$O:$O,'PR Grupo'!$G64,'Plan CP'!$P:$P,'PR Grupo'!AM$3,'Plan CP'!$M:$M,1)=1,1,IF(IFERROR(VLOOKUP('PR Grupo'!AM$3&amp;'PR Grupo'!$G64,'Plan CP'!$K:$P,3,FALSE)&gt;1,0),IFERROR(VLOOKUP('PR Grupo'!AM$3&amp;'PR Grupo'!$G64,'Plan CP'!$K:$P,3,FALSE),0),0)))</f>
        <v>0</v>
      </c>
      <c r="AN64" s="58">
        <f>IF(AM64&gt;1,AM64-1,IF(COUNTIFS('Plan CP'!$O:$O,'PR Grupo'!$G64,'Plan CP'!$P:$P,'PR Grupo'!AN$3,'Plan CP'!$M:$M,1)=1,1,IF(IFERROR(VLOOKUP('PR Grupo'!AN$3&amp;'PR Grupo'!$G64,'Plan CP'!$K:$P,3,FALSE)&gt;1,0),IFERROR(VLOOKUP('PR Grupo'!AN$3&amp;'PR Grupo'!$G64,'Plan CP'!$K:$P,3,FALSE),0),0)))</f>
        <v>0</v>
      </c>
      <c r="AO64" s="58">
        <f>IF(AN64&gt;1,AN64-1,IF(COUNTIFS('Plan CP'!$O:$O,'PR Grupo'!$G64,'Plan CP'!$P:$P,'PR Grupo'!AO$3,'Plan CP'!$M:$M,1)=1,1,IF(IFERROR(VLOOKUP('PR Grupo'!AO$3&amp;'PR Grupo'!$G64,'Plan CP'!$K:$P,3,FALSE)&gt;1,0),IFERROR(VLOOKUP('PR Grupo'!AO$3&amp;'PR Grupo'!$G64,'Plan CP'!$K:$P,3,FALSE),0),0)))</f>
        <v>0</v>
      </c>
    </row>
    <row r="65" spans="1:41">
      <c r="A65" s="21" t="s">
        <v>33</v>
      </c>
      <c r="B65" s="21" t="s">
        <v>40</v>
      </c>
      <c r="C65" s="21" t="s">
        <v>257</v>
      </c>
      <c r="D65" s="21" t="s">
        <v>278</v>
      </c>
      <c r="E65" s="24" t="s">
        <v>175</v>
      </c>
      <c r="F65" s="21" t="s">
        <v>278</v>
      </c>
      <c r="G65" s="21" t="s">
        <v>257</v>
      </c>
      <c r="H65" s="24">
        <v>20</v>
      </c>
      <c r="I65" s="33">
        <f t="shared" si="2"/>
        <v>0</v>
      </c>
      <c r="J65" s="33" t="str">
        <f t="shared" si="3"/>
        <v>NO OK</v>
      </c>
      <c r="K65" s="58">
        <f>IF(COUNTIFS('Plan CP'!$O:$O,'PR Grupo'!$G65,'Plan CP'!$P:$P,'PR Grupo'!K$3,'Plan CP'!$M:$M,1)=1,1,IF(IFERROR(VLOOKUP('PR Grupo'!K$3&amp;'PR Grupo'!$G65,'Plan CP'!$K:$P,3,FALSE)&gt;1,0),IFERROR(VLOOKUP('PR Grupo'!K$3&amp;'PR Grupo'!$G65,'Plan CP'!$K:$P,3,FALSE),0),0))</f>
        <v>0</v>
      </c>
      <c r="L65" s="58">
        <f>IF(K65&gt;1,K65-1,IF(COUNTIFS('Plan CP'!$O:$O,'PR Grupo'!$G65,'Plan CP'!$P:$P,'PR Grupo'!L$3,'Plan CP'!$M:$M,1)=1,1,IF(IFERROR(VLOOKUP('PR Grupo'!L$3&amp;'PR Grupo'!$G65,'Plan CP'!$K:$P,3,FALSE)&gt;1,0),IFERROR(VLOOKUP('PR Grupo'!L$3&amp;'PR Grupo'!$G65,'Plan CP'!$K:$P,3,FALSE),0),0)))</f>
        <v>0</v>
      </c>
      <c r="M65" s="58">
        <f>IF(L65&gt;1,L65-1,IF(COUNTIFS('Plan CP'!$O:$O,'PR Grupo'!$G65,'Plan CP'!$P:$P,'PR Grupo'!M$3,'Plan CP'!$M:$M,1)=1,1,IF(IFERROR(VLOOKUP('PR Grupo'!M$3&amp;'PR Grupo'!$G65,'Plan CP'!$K:$P,3,FALSE)&gt;1,0),IFERROR(VLOOKUP('PR Grupo'!M$3&amp;'PR Grupo'!$G65,'Plan CP'!$K:$P,3,FALSE),0),0)))</f>
        <v>0</v>
      </c>
      <c r="N65" s="58">
        <f>IF(M65&gt;1,M65-1,IF(COUNTIFS('Plan CP'!$O:$O,'PR Grupo'!$G65,'Plan CP'!$P:$P,'PR Grupo'!N$3,'Plan CP'!$M:$M,1)=1,1,IF(IFERROR(VLOOKUP('PR Grupo'!N$3&amp;'PR Grupo'!$G65,'Plan CP'!$K:$P,3,FALSE)&gt;1,0),IFERROR(VLOOKUP('PR Grupo'!N$3&amp;'PR Grupo'!$G65,'Plan CP'!$K:$P,3,FALSE),0),0)))</f>
        <v>0</v>
      </c>
      <c r="O65" s="58">
        <f>IF(N65&gt;1,N65-1,IF(COUNTIFS('Plan CP'!$O:$O,'PR Grupo'!$G65,'Plan CP'!$P:$P,'PR Grupo'!O$3,'Plan CP'!$M:$M,1)=1,1,IF(IFERROR(VLOOKUP('PR Grupo'!O$3&amp;'PR Grupo'!$G65,'Plan CP'!$K:$P,3,FALSE)&gt;1,0),IFERROR(VLOOKUP('PR Grupo'!O$3&amp;'PR Grupo'!$G65,'Plan CP'!$K:$P,3,FALSE),0),0)))</f>
        <v>0</v>
      </c>
      <c r="P65" s="58">
        <f>IF(O65&gt;1,O65-1,IF(COUNTIFS('Plan CP'!$O:$O,'PR Grupo'!$G65,'Plan CP'!$P:$P,'PR Grupo'!P$3,'Plan CP'!$M:$M,1)=1,1,IF(IFERROR(VLOOKUP('PR Grupo'!P$3&amp;'PR Grupo'!$G65,'Plan CP'!$K:$P,3,FALSE)&gt;1,0),IFERROR(VLOOKUP('PR Grupo'!P$3&amp;'PR Grupo'!$G65,'Plan CP'!$K:$P,3,FALSE),0),0)))</f>
        <v>0</v>
      </c>
      <c r="Q65" s="58">
        <f>IF(P65&gt;1,P65-1,IF(COUNTIFS('Plan CP'!$O:$O,'PR Grupo'!$G65,'Plan CP'!$P:$P,'PR Grupo'!Q$3,'Plan CP'!$M:$M,1)=1,1,IF(IFERROR(VLOOKUP('PR Grupo'!Q$3&amp;'PR Grupo'!$G65,'Plan CP'!$K:$P,3,FALSE)&gt;1,0),IFERROR(VLOOKUP('PR Grupo'!Q$3&amp;'PR Grupo'!$G65,'Plan CP'!$K:$P,3,FALSE),0),0)))</f>
        <v>0</v>
      </c>
      <c r="R65" s="58">
        <f>IF(Q65&gt;1,Q65-1,IF(COUNTIFS('Plan CP'!$O:$O,'PR Grupo'!$G65,'Plan CP'!$P:$P,'PR Grupo'!R$3,'Plan CP'!$M:$M,1)=1,1,IF(IFERROR(VLOOKUP('PR Grupo'!R$3&amp;'PR Grupo'!$G65,'Plan CP'!$K:$P,3,FALSE)&gt;1,0),IFERROR(VLOOKUP('PR Grupo'!R$3&amp;'PR Grupo'!$G65,'Plan CP'!$K:$P,3,FALSE),0),0)))</f>
        <v>0</v>
      </c>
      <c r="S65" s="58">
        <f>IF(R65&gt;1,R65-1,IF(COUNTIFS('Plan CP'!$O:$O,'PR Grupo'!$G65,'Plan CP'!$P:$P,'PR Grupo'!S$3,'Plan CP'!$M:$M,1)=1,1,IF(IFERROR(VLOOKUP('PR Grupo'!S$3&amp;'PR Grupo'!$G65,'Plan CP'!$K:$P,3,FALSE)&gt;1,0),IFERROR(VLOOKUP('PR Grupo'!S$3&amp;'PR Grupo'!$G65,'Plan CP'!$K:$P,3,FALSE),0),0)))</f>
        <v>0</v>
      </c>
      <c r="T65" s="58">
        <f>IF(S65&gt;1,S65-1,IF(COUNTIFS('Plan CP'!$O:$O,'PR Grupo'!$G65,'Plan CP'!$P:$P,'PR Grupo'!T$3,'Plan CP'!$M:$M,1)=1,1,IF(IFERROR(VLOOKUP('PR Grupo'!T$3&amp;'PR Grupo'!$G65,'Plan CP'!$K:$P,3,FALSE)&gt;1,0),IFERROR(VLOOKUP('PR Grupo'!T$3&amp;'PR Grupo'!$G65,'Plan CP'!$K:$P,3,FALSE),0),0)))</f>
        <v>0</v>
      </c>
      <c r="U65" s="58">
        <f>IF(T65&gt;1,T65-1,IF(COUNTIFS('Plan CP'!$O:$O,'PR Grupo'!$G65,'Plan CP'!$P:$P,'PR Grupo'!U$3,'Plan CP'!$M:$M,1)=1,1,IF(IFERROR(VLOOKUP('PR Grupo'!U$3&amp;'PR Grupo'!$G65,'Plan CP'!$K:$P,3,FALSE)&gt;1,0),IFERROR(VLOOKUP('PR Grupo'!U$3&amp;'PR Grupo'!$G65,'Plan CP'!$K:$P,3,FALSE),0),0)))</f>
        <v>0</v>
      </c>
      <c r="V65" s="58">
        <f>IF(U65&gt;1,U65-1,IF(COUNTIFS('Plan CP'!$O:$O,'PR Grupo'!$G65,'Plan CP'!$P:$P,'PR Grupo'!V$3,'Plan CP'!$M:$M,1)=1,1,IF(IFERROR(VLOOKUP('PR Grupo'!V$3&amp;'PR Grupo'!$G65,'Plan CP'!$K:$P,3,FALSE)&gt;1,0),IFERROR(VLOOKUP('PR Grupo'!V$3&amp;'PR Grupo'!$G65,'Plan CP'!$K:$P,3,FALSE),0),0)))</f>
        <v>0</v>
      </c>
      <c r="W65" s="58">
        <f>IF(V65&gt;1,V65-1,IF(COUNTIFS('Plan CP'!$O:$O,'PR Grupo'!$G65,'Plan CP'!$P:$P,'PR Grupo'!W$3,'Plan CP'!$M:$M,1)=1,1,IF(IFERROR(VLOOKUP('PR Grupo'!W$3&amp;'PR Grupo'!$G65,'Plan CP'!$K:$P,3,FALSE)&gt;1,0),IFERROR(VLOOKUP('PR Grupo'!W$3&amp;'PR Grupo'!$G65,'Plan CP'!$K:$P,3,FALSE),0),0)))</f>
        <v>0</v>
      </c>
      <c r="X65" s="58">
        <f>IF(W65&gt;1,W65-1,IF(COUNTIFS('Plan CP'!$O:$O,'PR Grupo'!$G65,'Plan CP'!$P:$P,'PR Grupo'!X$3,'Plan CP'!$M:$M,1)=1,1,IF(IFERROR(VLOOKUP('PR Grupo'!X$3&amp;'PR Grupo'!$G65,'Plan CP'!$K:$P,3,FALSE)&gt;1,0),IFERROR(VLOOKUP('PR Grupo'!X$3&amp;'PR Grupo'!$G65,'Plan CP'!$K:$P,3,FALSE),0),0)))</f>
        <v>0</v>
      </c>
      <c r="Y65" s="58">
        <f>IF(X65&gt;1,X65-1,IF(COUNTIFS('Plan CP'!$O:$O,'PR Grupo'!$G65,'Plan CP'!$P:$P,'PR Grupo'!Y$3,'Plan CP'!$M:$M,1)=1,1,IF(IFERROR(VLOOKUP('PR Grupo'!Y$3&amp;'PR Grupo'!$G65,'Plan CP'!$K:$P,3,FALSE)&gt;1,0),IFERROR(VLOOKUP('PR Grupo'!Y$3&amp;'PR Grupo'!$G65,'Plan CP'!$K:$P,3,FALSE),0),0)))</f>
        <v>0</v>
      </c>
      <c r="Z65" s="58">
        <f>IF(Y65&gt;1,Y65-1,IF(COUNTIFS('Plan CP'!$O:$O,'PR Grupo'!$G65,'Plan CP'!$P:$P,'PR Grupo'!Z$3,'Plan CP'!$M:$M,1)=1,1,IF(IFERROR(VLOOKUP('PR Grupo'!Z$3&amp;'PR Grupo'!$G65,'Plan CP'!$K:$P,3,FALSE)&gt;1,0),IFERROR(VLOOKUP('PR Grupo'!Z$3&amp;'PR Grupo'!$G65,'Plan CP'!$K:$P,3,FALSE),0),0)))</f>
        <v>0</v>
      </c>
      <c r="AA65" s="58">
        <f>IF(Z65&gt;1,Z65-1,IF(COUNTIFS('Plan CP'!$O:$O,'PR Grupo'!$G65,'Plan CP'!$P:$P,'PR Grupo'!AA$3,'Plan CP'!$M:$M,1)=1,1,IF(IFERROR(VLOOKUP('PR Grupo'!AA$3&amp;'PR Grupo'!$G65,'Plan CP'!$K:$P,3,FALSE)&gt;1,0),IFERROR(VLOOKUP('PR Grupo'!AA$3&amp;'PR Grupo'!$G65,'Plan CP'!$K:$P,3,FALSE),0),0)))</f>
        <v>0</v>
      </c>
      <c r="AB65" s="58">
        <f>IF(AA65&gt;1,AA65-1,IF(COUNTIFS('Plan CP'!$O:$O,'PR Grupo'!$G65,'Plan CP'!$P:$P,'PR Grupo'!AB$3,'Plan CP'!$M:$M,1)=1,1,IF(IFERROR(VLOOKUP('PR Grupo'!AB$3&amp;'PR Grupo'!$G65,'Plan CP'!$K:$P,3,FALSE)&gt;1,0),IFERROR(VLOOKUP('PR Grupo'!AB$3&amp;'PR Grupo'!$G65,'Plan CP'!$K:$P,3,FALSE),0),0)))</f>
        <v>0</v>
      </c>
      <c r="AC65" s="58">
        <f>IF(AB65&gt;1,AB65-1,IF(COUNTIFS('Plan CP'!$O:$O,'PR Grupo'!$G65,'Plan CP'!$P:$P,'PR Grupo'!AC$3,'Plan CP'!$M:$M,1)=1,1,IF(IFERROR(VLOOKUP('PR Grupo'!AC$3&amp;'PR Grupo'!$G65,'Plan CP'!$K:$P,3,FALSE)&gt;1,0),IFERROR(VLOOKUP('PR Grupo'!AC$3&amp;'PR Grupo'!$G65,'Plan CP'!$K:$P,3,FALSE),0),0)))</f>
        <v>0</v>
      </c>
      <c r="AD65" s="58">
        <f>IF(AC65&gt;1,AC65-1,IF(COUNTIFS('Plan CP'!$O:$O,'PR Grupo'!$G65,'Plan CP'!$P:$P,'PR Grupo'!AD$3,'Plan CP'!$M:$M,1)=1,1,IF(IFERROR(VLOOKUP('PR Grupo'!AD$3&amp;'PR Grupo'!$G65,'Plan CP'!$K:$P,3,FALSE)&gt;1,0),IFERROR(VLOOKUP('PR Grupo'!AD$3&amp;'PR Grupo'!$G65,'Plan CP'!$K:$P,3,FALSE),0),0)))</f>
        <v>0</v>
      </c>
      <c r="AE65" s="58">
        <f>IF(AD65&gt;1,AD65-1,IF(COUNTIFS('Plan CP'!$O:$O,'PR Grupo'!$G65,'Plan CP'!$P:$P,'PR Grupo'!AE$3,'Plan CP'!$M:$M,1)=1,1,IF(IFERROR(VLOOKUP('PR Grupo'!AE$3&amp;'PR Grupo'!$G65,'Plan CP'!$K:$P,3,FALSE)&gt;1,0),IFERROR(VLOOKUP('PR Grupo'!AE$3&amp;'PR Grupo'!$G65,'Plan CP'!$K:$P,3,FALSE),0),0)))</f>
        <v>0</v>
      </c>
      <c r="AF65" s="58">
        <f>IF(AE65&gt;1,AE65-1,IF(COUNTIFS('Plan CP'!$O:$O,'PR Grupo'!$G65,'Plan CP'!$P:$P,'PR Grupo'!AF$3,'Plan CP'!$M:$M,1)=1,1,IF(IFERROR(VLOOKUP('PR Grupo'!AF$3&amp;'PR Grupo'!$G65,'Plan CP'!$K:$P,3,FALSE)&gt;1,0),IFERROR(VLOOKUP('PR Grupo'!AF$3&amp;'PR Grupo'!$G65,'Plan CP'!$K:$P,3,FALSE),0),0)))</f>
        <v>0</v>
      </c>
      <c r="AG65" s="58">
        <f>IF(AF65&gt;1,AF65-1,IF(COUNTIFS('Plan CP'!$O:$O,'PR Grupo'!$G65,'Plan CP'!$P:$P,'PR Grupo'!AG$3,'Plan CP'!$M:$M,1)=1,1,IF(IFERROR(VLOOKUP('PR Grupo'!AG$3&amp;'PR Grupo'!$G65,'Plan CP'!$K:$P,3,FALSE)&gt;1,0),IFERROR(VLOOKUP('PR Grupo'!AG$3&amp;'PR Grupo'!$G65,'Plan CP'!$K:$P,3,FALSE),0),0)))</f>
        <v>0</v>
      </c>
      <c r="AH65" s="58">
        <f>IF(AG65&gt;1,AG65-1,IF(COUNTIFS('Plan CP'!$O:$O,'PR Grupo'!$G65,'Plan CP'!$P:$P,'PR Grupo'!AH$3,'Plan CP'!$M:$M,1)=1,1,IF(IFERROR(VLOOKUP('PR Grupo'!AH$3&amp;'PR Grupo'!$G65,'Plan CP'!$K:$P,3,FALSE)&gt;1,0),IFERROR(VLOOKUP('PR Grupo'!AH$3&amp;'PR Grupo'!$G65,'Plan CP'!$K:$P,3,FALSE),0),0)))</f>
        <v>0</v>
      </c>
      <c r="AI65" s="58">
        <f>IF(AH65&gt;1,AH65-1,IF(COUNTIFS('Plan CP'!$O:$O,'PR Grupo'!$G65,'Plan CP'!$P:$P,'PR Grupo'!AI$3,'Plan CP'!$M:$M,1)=1,1,IF(IFERROR(VLOOKUP('PR Grupo'!AI$3&amp;'PR Grupo'!$G65,'Plan CP'!$K:$P,3,FALSE)&gt;1,0),IFERROR(VLOOKUP('PR Grupo'!AI$3&amp;'PR Grupo'!$G65,'Plan CP'!$K:$P,3,FALSE),0),0)))</f>
        <v>0</v>
      </c>
      <c r="AJ65" s="58">
        <f>IF(AI65&gt;1,AI65-1,IF(COUNTIFS('Plan CP'!$O:$O,'PR Grupo'!$G65,'Plan CP'!$P:$P,'PR Grupo'!AJ$3,'Plan CP'!$M:$M,1)=1,1,IF(IFERROR(VLOOKUP('PR Grupo'!AJ$3&amp;'PR Grupo'!$G65,'Plan CP'!$K:$P,3,FALSE)&gt;1,0),IFERROR(VLOOKUP('PR Grupo'!AJ$3&amp;'PR Grupo'!$G65,'Plan CP'!$K:$P,3,FALSE),0),0)))</f>
        <v>0</v>
      </c>
      <c r="AK65" s="58">
        <f>IF(AJ65&gt;1,AJ65-1,IF(COUNTIFS('Plan CP'!$O:$O,'PR Grupo'!$G65,'Plan CP'!$P:$P,'PR Grupo'!AK$3,'Plan CP'!$M:$M,1)=1,1,IF(IFERROR(VLOOKUP('PR Grupo'!AK$3&amp;'PR Grupo'!$G65,'Plan CP'!$K:$P,3,FALSE)&gt;1,0),IFERROR(VLOOKUP('PR Grupo'!AK$3&amp;'PR Grupo'!$G65,'Plan CP'!$K:$P,3,FALSE),0),0)))</f>
        <v>0</v>
      </c>
      <c r="AL65" s="58">
        <f>IF(AK65&gt;1,AK65-1,IF(COUNTIFS('Plan CP'!$O:$O,'PR Grupo'!$G65,'Plan CP'!$P:$P,'PR Grupo'!AL$3,'Plan CP'!$M:$M,1)=1,1,IF(IFERROR(VLOOKUP('PR Grupo'!AL$3&amp;'PR Grupo'!$G65,'Plan CP'!$K:$P,3,FALSE)&gt;1,0),IFERROR(VLOOKUP('PR Grupo'!AL$3&amp;'PR Grupo'!$G65,'Plan CP'!$K:$P,3,FALSE),0),0)))</f>
        <v>0</v>
      </c>
      <c r="AM65" s="58">
        <f>IF(AL65&gt;1,AL65-1,IF(COUNTIFS('Plan CP'!$O:$O,'PR Grupo'!$G65,'Plan CP'!$P:$P,'PR Grupo'!AM$3,'Plan CP'!$M:$M,1)=1,1,IF(IFERROR(VLOOKUP('PR Grupo'!AM$3&amp;'PR Grupo'!$G65,'Plan CP'!$K:$P,3,FALSE)&gt;1,0),IFERROR(VLOOKUP('PR Grupo'!AM$3&amp;'PR Grupo'!$G65,'Plan CP'!$K:$P,3,FALSE),0),0)))</f>
        <v>0</v>
      </c>
      <c r="AN65" s="58">
        <f>IF(AM65&gt;1,AM65-1,IF(COUNTIFS('Plan CP'!$O:$O,'PR Grupo'!$G65,'Plan CP'!$P:$P,'PR Grupo'!AN$3,'Plan CP'!$M:$M,1)=1,1,IF(IFERROR(VLOOKUP('PR Grupo'!AN$3&amp;'PR Grupo'!$G65,'Plan CP'!$K:$P,3,FALSE)&gt;1,0),IFERROR(VLOOKUP('PR Grupo'!AN$3&amp;'PR Grupo'!$G65,'Plan CP'!$K:$P,3,FALSE),0),0)))</f>
        <v>0</v>
      </c>
      <c r="AO65" s="58">
        <f>IF(AN65&gt;1,AN65-1,IF(COUNTIFS('Plan CP'!$O:$O,'PR Grupo'!$G65,'Plan CP'!$P:$P,'PR Grupo'!AO$3,'Plan CP'!$M:$M,1)=1,1,IF(IFERROR(VLOOKUP('PR Grupo'!AO$3&amp;'PR Grupo'!$G65,'Plan CP'!$K:$P,3,FALSE)&gt;1,0),IFERROR(VLOOKUP('PR Grupo'!AO$3&amp;'PR Grupo'!$G65,'Plan CP'!$K:$P,3,FALSE),0),0)))</f>
        <v>0</v>
      </c>
    </row>
    <row r="66" spans="1:41">
      <c r="A66" s="21" t="s">
        <v>33</v>
      </c>
      <c r="B66" s="21" t="s">
        <v>34</v>
      </c>
      <c r="C66" s="21" t="s">
        <v>258</v>
      </c>
      <c r="D66" s="21" t="s">
        <v>279</v>
      </c>
      <c r="E66" s="24" t="s">
        <v>175</v>
      </c>
      <c r="F66" s="21" t="s">
        <v>279</v>
      </c>
      <c r="G66" s="21" t="s">
        <v>258</v>
      </c>
      <c r="H66" s="24">
        <v>20</v>
      </c>
      <c r="I66" s="33">
        <f t="shared" si="2"/>
        <v>0</v>
      </c>
      <c r="J66" s="33" t="str">
        <f t="shared" si="3"/>
        <v>NO OK</v>
      </c>
      <c r="K66" s="58">
        <f>IF(COUNTIFS('Plan CP'!$O:$O,'PR Grupo'!$G66,'Plan CP'!$P:$P,'PR Grupo'!K$3,'Plan CP'!$M:$M,1)=1,1,IF(IFERROR(VLOOKUP('PR Grupo'!K$3&amp;'PR Grupo'!$G66,'Plan CP'!$K:$P,3,FALSE)&gt;1,0),IFERROR(VLOOKUP('PR Grupo'!K$3&amp;'PR Grupo'!$G66,'Plan CP'!$K:$P,3,FALSE),0),0))</f>
        <v>0</v>
      </c>
      <c r="L66" s="58">
        <f>IF(K66&gt;1,K66-1,IF(COUNTIFS('Plan CP'!$O:$O,'PR Grupo'!$G66,'Plan CP'!$P:$P,'PR Grupo'!L$3,'Plan CP'!$M:$M,1)=1,1,IF(IFERROR(VLOOKUP('PR Grupo'!L$3&amp;'PR Grupo'!$G66,'Plan CP'!$K:$P,3,FALSE)&gt;1,0),IFERROR(VLOOKUP('PR Grupo'!L$3&amp;'PR Grupo'!$G66,'Plan CP'!$K:$P,3,FALSE),0),0)))</f>
        <v>0</v>
      </c>
      <c r="M66" s="58">
        <f>IF(L66&gt;1,L66-1,IF(COUNTIFS('Plan CP'!$O:$O,'PR Grupo'!$G66,'Plan CP'!$P:$P,'PR Grupo'!M$3,'Plan CP'!$M:$M,1)=1,1,IF(IFERROR(VLOOKUP('PR Grupo'!M$3&amp;'PR Grupo'!$G66,'Plan CP'!$K:$P,3,FALSE)&gt;1,0),IFERROR(VLOOKUP('PR Grupo'!M$3&amp;'PR Grupo'!$G66,'Plan CP'!$K:$P,3,FALSE),0),0)))</f>
        <v>0</v>
      </c>
      <c r="N66" s="58">
        <f>IF(M66&gt;1,M66-1,IF(COUNTIFS('Plan CP'!$O:$O,'PR Grupo'!$G66,'Plan CP'!$P:$P,'PR Grupo'!N$3,'Plan CP'!$M:$M,1)=1,1,IF(IFERROR(VLOOKUP('PR Grupo'!N$3&amp;'PR Grupo'!$G66,'Plan CP'!$K:$P,3,FALSE)&gt;1,0),IFERROR(VLOOKUP('PR Grupo'!N$3&amp;'PR Grupo'!$G66,'Plan CP'!$K:$P,3,FALSE),0),0)))</f>
        <v>0</v>
      </c>
      <c r="O66" s="58">
        <f>IF(N66&gt;1,N66-1,IF(COUNTIFS('Plan CP'!$O:$O,'PR Grupo'!$G66,'Plan CP'!$P:$P,'PR Grupo'!O$3,'Plan CP'!$M:$M,1)=1,1,IF(IFERROR(VLOOKUP('PR Grupo'!O$3&amp;'PR Grupo'!$G66,'Plan CP'!$K:$P,3,FALSE)&gt;1,0),IFERROR(VLOOKUP('PR Grupo'!O$3&amp;'PR Grupo'!$G66,'Plan CP'!$K:$P,3,FALSE),0),0)))</f>
        <v>0</v>
      </c>
      <c r="P66" s="58">
        <f>IF(O66&gt;1,O66-1,IF(COUNTIFS('Plan CP'!$O:$O,'PR Grupo'!$G66,'Plan CP'!$P:$P,'PR Grupo'!P$3,'Plan CP'!$M:$M,1)=1,1,IF(IFERROR(VLOOKUP('PR Grupo'!P$3&amp;'PR Grupo'!$G66,'Plan CP'!$K:$P,3,FALSE)&gt;1,0),IFERROR(VLOOKUP('PR Grupo'!P$3&amp;'PR Grupo'!$G66,'Plan CP'!$K:$P,3,FALSE),0),0)))</f>
        <v>0</v>
      </c>
      <c r="Q66" s="58">
        <f>IF(P66&gt;1,P66-1,IF(COUNTIFS('Plan CP'!$O:$O,'PR Grupo'!$G66,'Plan CP'!$P:$P,'PR Grupo'!Q$3,'Plan CP'!$M:$M,1)=1,1,IF(IFERROR(VLOOKUP('PR Grupo'!Q$3&amp;'PR Grupo'!$G66,'Plan CP'!$K:$P,3,FALSE)&gt;1,0),IFERROR(VLOOKUP('PR Grupo'!Q$3&amp;'PR Grupo'!$G66,'Plan CP'!$K:$P,3,FALSE),0),0)))</f>
        <v>0</v>
      </c>
      <c r="R66" s="58">
        <f>IF(Q66&gt;1,Q66-1,IF(COUNTIFS('Plan CP'!$O:$O,'PR Grupo'!$G66,'Plan CP'!$P:$P,'PR Grupo'!R$3,'Plan CP'!$M:$M,1)=1,1,IF(IFERROR(VLOOKUP('PR Grupo'!R$3&amp;'PR Grupo'!$G66,'Plan CP'!$K:$P,3,FALSE)&gt;1,0),IFERROR(VLOOKUP('PR Grupo'!R$3&amp;'PR Grupo'!$G66,'Plan CP'!$K:$P,3,FALSE),0),0)))</f>
        <v>0</v>
      </c>
      <c r="S66" s="58">
        <f>IF(R66&gt;1,R66-1,IF(COUNTIFS('Plan CP'!$O:$O,'PR Grupo'!$G66,'Plan CP'!$P:$P,'PR Grupo'!S$3,'Plan CP'!$M:$M,1)=1,1,IF(IFERROR(VLOOKUP('PR Grupo'!S$3&amp;'PR Grupo'!$G66,'Plan CP'!$K:$P,3,FALSE)&gt;1,0),IFERROR(VLOOKUP('PR Grupo'!S$3&amp;'PR Grupo'!$G66,'Plan CP'!$K:$P,3,FALSE),0),0)))</f>
        <v>0</v>
      </c>
      <c r="T66" s="58">
        <f>IF(S66&gt;1,S66-1,IF(COUNTIFS('Plan CP'!$O:$O,'PR Grupo'!$G66,'Plan CP'!$P:$P,'PR Grupo'!T$3,'Plan CP'!$M:$M,1)=1,1,IF(IFERROR(VLOOKUP('PR Grupo'!T$3&amp;'PR Grupo'!$G66,'Plan CP'!$K:$P,3,FALSE)&gt;1,0),IFERROR(VLOOKUP('PR Grupo'!T$3&amp;'PR Grupo'!$G66,'Plan CP'!$K:$P,3,FALSE),0),0)))</f>
        <v>0</v>
      </c>
      <c r="U66" s="58">
        <f>IF(T66&gt;1,T66-1,IF(COUNTIFS('Plan CP'!$O:$O,'PR Grupo'!$G66,'Plan CP'!$P:$P,'PR Grupo'!U$3,'Plan CP'!$M:$M,1)=1,1,IF(IFERROR(VLOOKUP('PR Grupo'!U$3&amp;'PR Grupo'!$G66,'Plan CP'!$K:$P,3,FALSE)&gt;1,0),IFERROR(VLOOKUP('PR Grupo'!U$3&amp;'PR Grupo'!$G66,'Plan CP'!$K:$P,3,FALSE),0),0)))</f>
        <v>0</v>
      </c>
      <c r="V66" s="58">
        <f>IF(U66&gt;1,U66-1,IF(COUNTIFS('Plan CP'!$O:$O,'PR Grupo'!$G66,'Plan CP'!$P:$P,'PR Grupo'!V$3,'Plan CP'!$M:$M,1)=1,1,IF(IFERROR(VLOOKUP('PR Grupo'!V$3&amp;'PR Grupo'!$G66,'Plan CP'!$K:$P,3,FALSE)&gt;1,0),IFERROR(VLOOKUP('PR Grupo'!V$3&amp;'PR Grupo'!$G66,'Plan CP'!$K:$P,3,FALSE),0),0)))</f>
        <v>0</v>
      </c>
      <c r="W66" s="58">
        <f>IF(V66&gt;1,V66-1,IF(COUNTIFS('Plan CP'!$O:$O,'PR Grupo'!$G66,'Plan CP'!$P:$P,'PR Grupo'!W$3,'Plan CP'!$M:$M,1)=1,1,IF(IFERROR(VLOOKUP('PR Grupo'!W$3&amp;'PR Grupo'!$G66,'Plan CP'!$K:$P,3,FALSE)&gt;1,0),IFERROR(VLOOKUP('PR Grupo'!W$3&amp;'PR Grupo'!$G66,'Plan CP'!$K:$P,3,FALSE),0),0)))</f>
        <v>0</v>
      </c>
      <c r="X66" s="58">
        <f>IF(W66&gt;1,W66-1,IF(COUNTIFS('Plan CP'!$O:$O,'PR Grupo'!$G66,'Plan CP'!$P:$P,'PR Grupo'!X$3,'Plan CP'!$M:$M,1)=1,1,IF(IFERROR(VLOOKUP('PR Grupo'!X$3&amp;'PR Grupo'!$G66,'Plan CP'!$K:$P,3,FALSE)&gt;1,0),IFERROR(VLOOKUP('PR Grupo'!X$3&amp;'PR Grupo'!$G66,'Plan CP'!$K:$P,3,FALSE),0),0)))</f>
        <v>0</v>
      </c>
      <c r="Y66" s="58">
        <f>IF(X66&gt;1,X66-1,IF(COUNTIFS('Plan CP'!$O:$O,'PR Grupo'!$G66,'Plan CP'!$P:$P,'PR Grupo'!Y$3,'Plan CP'!$M:$M,1)=1,1,IF(IFERROR(VLOOKUP('PR Grupo'!Y$3&amp;'PR Grupo'!$G66,'Plan CP'!$K:$P,3,FALSE)&gt;1,0),IFERROR(VLOOKUP('PR Grupo'!Y$3&amp;'PR Grupo'!$G66,'Plan CP'!$K:$P,3,FALSE),0),0)))</f>
        <v>0</v>
      </c>
      <c r="Z66" s="58">
        <f>IF(Y66&gt;1,Y66-1,IF(COUNTIFS('Plan CP'!$O:$O,'PR Grupo'!$G66,'Plan CP'!$P:$P,'PR Grupo'!Z$3,'Plan CP'!$M:$M,1)=1,1,IF(IFERROR(VLOOKUP('PR Grupo'!Z$3&amp;'PR Grupo'!$G66,'Plan CP'!$K:$P,3,FALSE)&gt;1,0),IFERROR(VLOOKUP('PR Grupo'!Z$3&amp;'PR Grupo'!$G66,'Plan CP'!$K:$P,3,FALSE),0),0)))</f>
        <v>0</v>
      </c>
      <c r="AA66" s="58">
        <f>IF(Z66&gt;1,Z66-1,IF(COUNTIFS('Plan CP'!$O:$O,'PR Grupo'!$G66,'Plan CP'!$P:$P,'PR Grupo'!AA$3,'Plan CP'!$M:$M,1)=1,1,IF(IFERROR(VLOOKUP('PR Grupo'!AA$3&amp;'PR Grupo'!$G66,'Plan CP'!$K:$P,3,FALSE)&gt;1,0),IFERROR(VLOOKUP('PR Grupo'!AA$3&amp;'PR Grupo'!$G66,'Plan CP'!$K:$P,3,FALSE),0),0)))</f>
        <v>0</v>
      </c>
      <c r="AB66" s="58">
        <f>IF(AA66&gt;1,AA66-1,IF(COUNTIFS('Plan CP'!$O:$O,'PR Grupo'!$G66,'Plan CP'!$P:$P,'PR Grupo'!AB$3,'Plan CP'!$M:$M,1)=1,1,IF(IFERROR(VLOOKUP('PR Grupo'!AB$3&amp;'PR Grupo'!$G66,'Plan CP'!$K:$P,3,FALSE)&gt;1,0),IFERROR(VLOOKUP('PR Grupo'!AB$3&amp;'PR Grupo'!$G66,'Plan CP'!$K:$P,3,FALSE),0),0)))</f>
        <v>0</v>
      </c>
      <c r="AC66" s="58">
        <f>IF(AB66&gt;1,AB66-1,IF(COUNTIFS('Plan CP'!$O:$O,'PR Grupo'!$G66,'Plan CP'!$P:$P,'PR Grupo'!AC$3,'Plan CP'!$M:$M,1)=1,1,IF(IFERROR(VLOOKUP('PR Grupo'!AC$3&amp;'PR Grupo'!$G66,'Plan CP'!$K:$P,3,FALSE)&gt;1,0),IFERROR(VLOOKUP('PR Grupo'!AC$3&amp;'PR Grupo'!$G66,'Plan CP'!$K:$P,3,FALSE),0),0)))</f>
        <v>0</v>
      </c>
      <c r="AD66" s="58">
        <f>IF(AC66&gt;1,AC66-1,IF(COUNTIFS('Plan CP'!$O:$O,'PR Grupo'!$G66,'Plan CP'!$P:$P,'PR Grupo'!AD$3,'Plan CP'!$M:$M,1)=1,1,IF(IFERROR(VLOOKUP('PR Grupo'!AD$3&amp;'PR Grupo'!$G66,'Plan CP'!$K:$P,3,FALSE)&gt;1,0),IFERROR(VLOOKUP('PR Grupo'!AD$3&amp;'PR Grupo'!$G66,'Plan CP'!$K:$P,3,FALSE),0),0)))</f>
        <v>0</v>
      </c>
      <c r="AE66" s="58">
        <f>IF(AD66&gt;1,AD66-1,IF(COUNTIFS('Plan CP'!$O:$O,'PR Grupo'!$G66,'Plan CP'!$P:$P,'PR Grupo'!AE$3,'Plan CP'!$M:$M,1)=1,1,IF(IFERROR(VLOOKUP('PR Grupo'!AE$3&amp;'PR Grupo'!$G66,'Plan CP'!$K:$P,3,FALSE)&gt;1,0),IFERROR(VLOOKUP('PR Grupo'!AE$3&amp;'PR Grupo'!$G66,'Plan CP'!$K:$P,3,FALSE),0),0)))</f>
        <v>0</v>
      </c>
      <c r="AF66" s="58">
        <f>IF(AE66&gt;1,AE66-1,IF(COUNTIFS('Plan CP'!$O:$O,'PR Grupo'!$G66,'Plan CP'!$P:$P,'PR Grupo'!AF$3,'Plan CP'!$M:$M,1)=1,1,IF(IFERROR(VLOOKUP('PR Grupo'!AF$3&amp;'PR Grupo'!$G66,'Plan CP'!$K:$P,3,FALSE)&gt;1,0),IFERROR(VLOOKUP('PR Grupo'!AF$3&amp;'PR Grupo'!$G66,'Plan CP'!$K:$P,3,FALSE),0),0)))</f>
        <v>0</v>
      </c>
      <c r="AG66" s="58">
        <f>IF(AF66&gt;1,AF66-1,IF(COUNTIFS('Plan CP'!$O:$O,'PR Grupo'!$G66,'Plan CP'!$P:$P,'PR Grupo'!AG$3,'Plan CP'!$M:$M,1)=1,1,IF(IFERROR(VLOOKUP('PR Grupo'!AG$3&amp;'PR Grupo'!$G66,'Plan CP'!$K:$P,3,FALSE)&gt;1,0),IFERROR(VLOOKUP('PR Grupo'!AG$3&amp;'PR Grupo'!$G66,'Plan CP'!$K:$P,3,FALSE),0),0)))</f>
        <v>0</v>
      </c>
      <c r="AH66" s="58">
        <f>IF(AG66&gt;1,AG66-1,IF(COUNTIFS('Plan CP'!$O:$O,'PR Grupo'!$G66,'Plan CP'!$P:$P,'PR Grupo'!AH$3,'Plan CP'!$M:$M,1)=1,1,IF(IFERROR(VLOOKUP('PR Grupo'!AH$3&amp;'PR Grupo'!$G66,'Plan CP'!$K:$P,3,FALSE)&gt;1,0),IFERROR(VLOOKUP('PR Grupo'!AH$3&amp;'PR Grupo'!$G66,'Plan CP'!$K:$P,3,FALSE),0),0)))</f>
        <v>0</v>
      </c>
      <c r="AI66" s="58">
        <f>IF(AH66&gt;1,AH66-1,IF(COUNTIFS('Plan CP'!$O:$O,'PR Grupo'!$G66,'Plan CP'!$P:$P,'PR Grupo'!AI$3,'Plan CP'!$M:$M,1)=1,1,IF(IFERROR(VLOOKUP('PR Grupo'!AI$3&amp;'PR Grupo'!$G66,'Plan CP'!$K:$P,3,FALSE)&gt;1,0),IFERROR(VLOOKUP('PR Grupo'!AI$3&amp;'PR Grupo'!$G66,'Plan CP'!$K:$P,3,FALSE),0),0)))</f>
        <v>0</v>
      </c>
      <c r="AJ66" s="58">
        <f>IF(AI66&gt;1,AI66-1,IF(COUNTIFS('Plan CP'!$O:$O,'PR Grupo'!$G66,'Plan CP'!$P:$P,'PR Grupo'!AJ$3,'Plan CP'!$M:$M,1)=1,1,IF(IFERROR(VLOOKUP('PR Grupo'!AJ$3&amp;'PR Grupo'!$G66,'Plan CP'!$K:$P,3,FALSE)&gt;1,0),IFERROR(VLOOKUP('PR Grupo'!AJ$3&amp;'PR Grupo'!$G66,'Plan CP'!$K:$P,3,FALSE),0),0)))</f>
        <v>0</v>
      </c>
      <c r="AK66" s="58">
        <f>IF(AJ66&gt;1,AJ66-1,IF(COUNTIFS('Plan CP'!$O:$O,'PR Grupo'!$G66,'Plan CP'!$P:$P,'PR Grupo'!AK$3,'Plan CP'!$M:$M,1)=1,1,IF(IFERROR(VLOOKUP('PR Grupo'!AK$3&amp;'PR Grupo'!$G66,'Plan CP'!$K:$P,3,FALSE)&gt;1,0),IFERROR(VLOOKUP('PR Grupo'!AK$3&amp;'PR Grupo'!$G66,'Plan CP'!$K:$P,3,FALSE),0),0)))</f>
        <v>0</v>
      </c>
      <c r="AL66" s="58">
        <f>IF(AK66&gt;1,AK66-1,IF(COUNTIFS('Plan CP'!$O:$O,'PR Grupo'!$G66,'Plan CP'!$P:$P,'PR Grupo'!AL$3,'Plan CP'!$M:$M,1)=1,1,IF(IFERROR(VLOOKUP('PR Grupo'!AL$3&amp;'PR Grupo'!$G66,'Plan CP'!$K:$P,3,FALSE)&gt;1,0),IFERROR(VLOOKUP('PR Grupo'!AL$3&amp;'PR Grupo'!$G66,'Plan CP'!$K:$P,3,FALSE),0),0)))</f>
        <v>0</v>
      </c>
      <c r="AM66" s="58">
        <f>IF(AL66&gt;1,AL66-1,IF(COUNTIFS('Plan CP'!$O:$O,'PR Grupo'!$G66,'Plan CP'!$P:$P,'PR Grupo'!AM$3,'Plan CP'!$M:$M,1)=1,1,IF(IFERROR(VLOOKUP('PR Grupo'!AM$3&amp;'PR Grupo'!$G66,'Plan CP'!$K:$P,3,FALSE)&gt;1,0),IFERROR(VLOOKUP('PR Grupo'!AM$3&amp;'PR Grupo'!$G66,'Plan CP'!$K:$P,3,FALSE),0),0)))</f>
        <v>0</v>
      </c>
      <c r="AN66" s="58">
        <f>IF(AM66&gt;1,AM66-1,IF(COUNTIFS('Plan CP'!$O:$O,'PR Grupo'!$G66,'Plan CP'!$P:$P,'PR Grupo'!AN$3,'Plan CP'!$M:$M,1)=1,1,IF(IFERROR(VLOOKUP('PR Grupo'!AN$3&amp;'PR Grupo'!$G66,'Plan CP'!$K:$P,3,FALSE)&gt;1,0),IFERROR(VLOOKUP('PR Grupo'!AN$3&amp;'PR Grupo'!$G66,'Plan CP'!$K:$P,3,FALSE),0),0)))</f>
        <v>0</v>
      </c>
      <c r="AO66" s="58">
        <f>IF(AN66&gt;1,AN66-1,IF(COUNTIFS('Plan CP'!$O:$O,'PR Grupo'!$G66,'Plan CP'!$P:$P,'PR Grupo'!AO$3,'Plan CP'!$M:$M,1)=1,1,IF(IFERROR(VLOOKUP('PR Grupo'!AO$3&amp;'PR Grupo'!$G66,'Plan CP'!$K:$P,3,FALSE)&gt;1,0),IFERROR(VLOOKUP('PR Grupo'!AO$3&amp;'PR Grupo'!$G66,'Plan CP'!$K:$P,3,FALSE),0),0)))</f>
        <v>0</v>
      </c>
    </row>
    <row r="67" spans="1:41">
      <c r="A67" s="21" t="s">
        <v>33</v>
      </c>
      <c r="B67" s="21" t="s">
        <v>48</v>
      </c>
      <c r="C67" s="21" t="s">
        <v>259</v>
      </c>
      <c r="D67" s="21" t="s">
        <v>275</v>
      </c>
      <c r="E67" s="24" t="s">
        <v>175</v>
      </c>
      <c r="F67" s="21" t="s">
        <v>275</v>
      </c>
      <c r="G67" s="21" t="s">
        <v>259</v>
      </c>
      <c r="H67" s="24">
        <v>20</v>
      </c>
      <c r="I67" s="33">
        <f t="shared" si="2"/>
        <v>0</v>
      </c>
      <c r="J67" s="33" t="str">
        <f t="shared" si="3"/>
        <v>NO OK</v>
      </c>
      <c r="K67" s="58">
        <f>IF(COUNTIFS('Plan CP'!$O:$O,'PR Grupo'!$G67,'Plan CP'!$P:$P,'PR Grupo'!K$3,'Plan CP'!$M:$M,1)=1,1,IF(IFERROR(VLOOKUP('PR Grupo'!K$3&amp;'PR Grupo'!$G67,'Plan CP'!$K:$P,3,FALSE)&gt;1,0),IFERROR(VLOOKUP('PR Grupo'!K$3&amp;'PR Grupo'!$G67,'Plan CP'!$K:$P,3,FALSE),0),0))</f>
        <v>0</v>
      </c>
      <c r="L67" s="58">
        <f>IF(K67&gt;1,K67-1,IF(COUNTIFS('Plan CP'!$O:$O,'PR Grupo'!$G67,'Plan CP'!$P:$P,'PR Grupo'!L$3,'Plan CP'!$M:$M,1)=1,1,IF(IFERROR(VLOOKUP('PR Grupo'!L$3&amp;'PR Grupo'!$G67,'Plan CP'!$K:$P,3,FALSE)&gt;1,0),IFERROR(VLOOKUP('PR Grupo'!L$3&amp;'PR Grupo'!$G67,'Plan CP'!$K:$P,3,FALSE),0),0)))</f>
        <v>0</v>
      </c>
      <c r="M67" s="58">
        <f>IF(L67&gt;1,L67-1,IF(COUNTIFS('Plan CP'!$O:$O,'PR Grupo'!$G67,'Plan CP'!$P:$P,'PR Grupo'!M$3,'Plan CP'!$M:$M,1)=1,1,IF(IFERROR(VLOOKUP('PR Grupo'!M$3&amp;'PR Grupo'!$G67,'Plan CP'!$K:$P,3,FALSE)&gt;1,0),IFERROR(VLOOKUP('PR Grupo'!M$3&amp;'PR Grupo'!$G67,'Plan CP'!$K:$P,3,FALSE),0),0)))</f>
        <v>0</v>
      </c>
      <c r="N67" s="58">
        <f>IF(M67&gt;1,M67-1,IF(COUNTIFS('Plan CP'!$O:$O,'PR Grupo'!$G67,'Plan CP'!$P:$P,'PR Grupo'!N$3,'Plan CP'!$M:$M,1)=1,1,IF(IFERROR(VLOOKUP('PR Grupo'!N$3&amp;'PR Grupo'!$G67,'Plan CP'!$K:$P,3,FALSE)&gt;1,0),IFERROR(VLOOKUP('PR Grupo'!N$3&amp;'PR Grupo'!$G67,'Plan CP'!$K:$P,3,FALSE),0),0)))</f>
        <v>0</v>
      </c>
      <c r="O67" s="58">
        <f>IF(N67&gt;1,N67-1,IF(COUNTIFS('Plan CP'!$O:$O,'PR Grupo'!$G67,'Plan CP'!$P:$P,'PR Grupo'!O$3,'Plan CP'!$M:$M,1)=1,1,IF(IFERROR(VLOOKUP('PR Grupo'!O$3&amp;'PR Grupo'!$G67,'Plan CP'!$K:$P,3,FALSE)&gt;1,0),IFERROR(VLOOKUP('PR Grupo'!O$3&amp;'PR Grupo'!$G67,'Plan CP'!$K:$P,3,FALSE),0),0)))</f>
        <v>0</v>
      </c>
      <c r="P67" s="58">
        <f>IF(O67&gt;1,O67-1,IF(COUNTIFS('Plan CP'!$O:$O,'PR Grupo'!$G67,'Plan CP'!$P:$P,'PR Grupo'!P$3,'Plan CP'!$M:$M,1)=1,1,IF(IFERROR(VLOOKUP('PR Grupo'!P$3&amp;'PR Grupo'!$G67,'Plan CP'!$K:$P,3,FALSE)&gt;1,0),IFERROR(VLOOKUP('PR Grupo'!P$3&amp;'PR Grupo'!$G67,'Plan CP'!$K:$P,3,FALSE),0),0)))</f>
        <v>0</v>
      </c>
      <c r="Q67" s="58">
        <f>IF(P67&gt;1,P67-1,IF(COUNTIFS('Plan CP'!$O:$O,'PR Grupo'!$G67,'Plan CP'!$P:$P,'PR Grupo'!Q$3,'Plan CP'!$M:$M,1)=1,1,IF(IFERROR(VLOOKUP('PR Grupo'!Q$3&amp;'PR Grupo'!$G67,'Plan CP'!$K:$P,3,FALSE)&gt;1,0),IFERROR(VLOOKUP('PR Grupo'!Q$3&amp;'PR Grupo'!$G67,'Plan CP'!$K:$P,3,FALSE),0),0)))</f>
        <v>0</v>
      </c>
      <c r="R67" s="58">
        <f>IF(Q67&gt;1,Q67-1,IF(COUNTIFS('Plan CP'!$O:$O,'PR Grupo'!$G67,'Plan CP'!$P:$P,'PR Grupo'!R$3,'Plan CP'!$M:$M,1)=1,1,IF(IFERROR(VLOOKUP('PR Grupo'!R$3&amp;'PR Grupo'!$G67,'Plan CP'!$K:$P,3,FALSE)&gt;1,0),IFERROR(VLOOKUP('PR Grupo'!R$3&amp;'PR Grupo'!$G67,'Plan CP'!$K:$P,3,FALSE),0),0)))</f>
        <v>0</v>
      </c>
      <c r="S67" s="58">
        <f>IF(R67&gt;1,R67-1,IF(COUNTIFS('Plan CP'!$O:$O,'PR Grupo'!$G67,'Plan CP'!$P:$P,'PR Grupo'!S$3,'Plan CP'!$M:$M,1)=1,1,IF(IFERROR(VLOOKUP('PR Grupo'!S$3&amp;'PR Grupo'!$G67,'Plan CP'!$K:$P,3,FALSE)&gt;1,0),IFERROR(VLOOKUP('PR Grupo'!S$3&amp;'PR Grupo'!$G67,'Plan CP'!$K:$P,3,FALSE),0),0)))</f>
        <v>0</v>
      </c>
      <c r="T67" s="58">
        <f>IF(S67&gt;1,S67-1,IF(COUNTIFS('Plan CP'!$O:$O,'PR Grupo'!$G67,'Plan CP'!$P:$P,'PR Grupo'!T$3,'Plan CP'!$M:$M,1)=1,1,IF(IFERROR(VLOOKUP('PR Grupo'!T$3&amp;'PR Grupo'!$G67,'Plan CP'!$K:$P,3,FALSE)&gt;1,0),IFERROR(VLOOKUP('PR Grupo'!T$3&amp;'PR Grupo'!$G67,'Plan CP'!$K:$P,3,FALSE),0),0)))</f>
        <v>0</v>
      </c>
      <c r="U67" s="58">
        <f>IF(T67&gt;1,T67-1,IF(COUNTIFS('Plan CP'!$O:$O,'PR Grupo'!$G67,'Plan CP'!$P:$P,'PR Grupo'!U$3,'Plan CP'!$M:$M,1)=1,1,IF(IFERROR(VLOOKUP('PR Grupo'!U$3&amp;'PR Grupo'!$G67,'Plan CP'!$K:$P,3,FALSE)&gt;1,0),IFERROR(VLOOKUP('PR Grupo'!U$3&amp;'PR Grupo'!$G67,'Plan CP'!$K:$P,3,FALSE),0),0)))</f>
        <v>0</v>
      </c>
      <c r="V67" s="58">
        <f>IF(U67&gt;1,U67-1,IF(COUNTIFS('Plan CP'!$O:$O,'PR Grupo'!$G67,'Plan CP'!$P:$P,'PR Grupo'!V$3,'Plan CP'!$M:$M,1)=1,1,IF(IFERROR(VLOOKUP('PR Grupo'!V$3&amp;'PR Grupo'!$G67,'Plan CP'!$K:$P,3,FALSE)&gt;1,0),IFERROR(VLOOKUP('PR Grupo'!V$3&amp;'PR Grupo'!$G67,'Plan CP'!$K:$P,3,FALSE),0),0)))</f>
        <v>0</v>
      </c>
      <c r="W67" s="58">
        <f>IF(V67&gt;1,V67-1,IF(COUNTIFS('Plan CP'!$O:$O,'PR Grupo'!$G67,'Plan CP'!$P:$P,'PR Grupo'!W$3,'Plan CP'!$M:$M,1)=1,1,IF(IFERROR(VLOOKUP('PR Grupo'!W$3&amp;'PR Grupo'!$G67,'Plan CP'!$K:$P,3,FALSE)&gt;1,0),IFERROR(VLOOKUP('PR Grupo'!W$3&amp;'PR Grupo'!$G67,'Plan CP'!$K:$P,3,FALSE),0),0)))</f>
        <v>0</v>
      </c>
      <c r="X67" s="58">
        <f>IF(W67&gt;1,W67-1,IF(COUNTIFS('Plan CP'!$O:$O,'PR Grupo'!$G67,'Plan CP'!$P:$P,'PR Grupo'!X$3,'Plan CP'!$M:$M,1)=1,1,IF(IFERROR(VLOOKUP('PR Grupo'!X$3&amp;'PR Grupo'!$G67,'Plan CP'!$K:$P,3,FALSE)&gt;1,0),IFERROR(VLOOKUP('PR Grupo'!X$3&amp;'PR Grupo'!$G67,'Plan CP'!$K:$P,3,FALSE),0),0)))</f>
        <v>0</v>
      </c>
      <c r="Y67" s="58">
        <f>IF(X67&gt;1,X67-1,IF(COUNTIFS('Plan CP'!$O:$O,'PR Grupo'!$G67,'Plan CP'!$P:$P,'PR Grupo'!Y$3,'Plan CP'!$M:$M,1)=1,1,IF(IFERROR(VLOOKUP('PR Grupo'!Y$3&amp;'PR Grupo'!$G67,'Plan CP'!$K:$P,3,FALSE)&gt;1,0),IFERROR(VLOOKUP('PR Grupo'!Y$3&amp;'PR Grupo'!$G67,'Plan CP'!$K:$P,3,FALSE),0),0)))</f>
        <v>0</v>
      </c>
      <c r="Z67" s="58">
        <f>IF(Y67&gt;1,Y67-1,IF(COUNTIFS('Plan CP'!$O:$O,'PR Grupo'!$G67,'Plan CP'!$P:$P,'PR Grupo'!Z$3,'Plan CP'!$M:$M,1)=1,1,IF(IFERROR(VLOOKUP('PR Grupo'!Z$3&amp;'PR Grupo'!$G67,'Plan CP'!$K:$P,3,FALSE)&gt;1,0),IFERROR(VLOOKUP('PR Grupo'!Z$3&amp;'PR Grupo'!$G67,'Plan CP'!$K:$P,3,FALSE),0),0)))</f>
        <v>0</v>
      </c>
      <c r="AA67" s="58">
        <f>IF(Z67&gt;1,Z67-1,IF(COUNTIFS('Plan CP'!$O:$O,'PR Grupo'!$G67,'Plan CP'!$P:$P,'PR Grupo'!AA$3,'Plan CP'!$M:$M,1)=1,1,IF(IFERROR(VLOOKUP('PR Grupo'!AA$3&amp;'PR Grupo'!$G67,'Plan CP'!$K:$P,3,FALSE)&gt;1,0),IFERROR(VLOOKUP('PR Grupo'!AA$3&amp;'PR Grupo'!$G67,'Plan CP'!$K:$P,3,FALSE),0),0)))</f>
        <v>0</v>
      </c>
      <c r="AB67" s="58">
        <f>IF(AA67&gt;1,AA67-1,IF(COUNTIFS('Plan CP'!$O:$O,'PR Grupo'!$G67,'Plan CP'!$P:$P,'PR Grupo'!AB$3,'Plan CP'!$M:$M,1)=1,1,IF(IFERROR(VLOOKUP('PR Grupo'!AB$3&amp;'PR Grupo'!$G67,'Plan CP'!$K:$P,3,FALSE)&gt;1,0),IFERROR(VLOOKUP('PR Grupo'!AB$3&amp;'PR Grupo'!$G67,'Plan CP'!$K:$P,3,FALSE),0),0)))</f>
        <v>0</v>
      </c>
      <c r="AC67" s="58">
        <f>IF(AB67&gt;1,AB67-1,IF(COUNTIFS('Plan CP'!$O:$O,'PR Grupo'!$G67,'Plan CP'!$P:$P,'PR Grupo'!AC$3,'Plan CP'!$M:$M,1)=1,1,IF(IFERROR(VLOOKUP('PR Grupo'!AC$3&amp;'PR Grupo'!$G67,'Plan CP'!$K:$P,3,FALSE)&gt;1,0),IFERROR(VLOOKUP('PR Grupo'!AC$3&amp;'PR Grupo'!$G67,'Plan CP'!$K:$P,3,FALSE),0),0)))</f>
        <v>0</v>
      </c>
      <c r="AD67" s="58">
        <f>IF(AC67&gt;1,AC67-1,IF(COUNTIFS('Plan CP'!$O:$O,'PR Grupo'!$G67,'Plan CP'!$P:$P,'PR Grupo'!AD$3,'Plan CP'!$M:$M,1)=1,1,IF(IFERROR(VLOOKUP('PR Grupo'!AD$3&amp;'PR Grupo'!$G67,'Plan CP'!$K:$P,3,FALSE)&gt;1,0),IFERROR(VLOOKUP('PR Grupo'!AD$3&amp;'PR Grupo'!$G67,'Plan CP'!$K:$P,3,FALSE),0),0)))</f>
        <v>0</v>
      </c>
      <c r="AE67" s="58">
        <f>IF(AD67&gt;1,AD67-1,IF(COUNTIFS('Plan CP'!$O:$O,'PR Grupo'!$G67,'Plan CP'!$P:$P,'PR Grupo'!AE$3,'Plan CP'!$M:$M,1)=1,1,IF(IFERROR(VLOOKUP('PR Grupo'!AE$3&amp;'PR Grupo'!$G67,'Plan CP'!$K:$P,3,FALSE)&gt;1,0),IFERROR(VLOOKUP('PR Grupo'!AE$3&amp;'PR Grupo'!$G67,'Plan CP'!$K:$P,3,FALSE),0),0)))</f>
        <v>0</v>
      </c>
      <c r="AF67" s="58">
        <f>IF(AE67&gt;1,AE67-1,IF(COUNTIFS('Plan CP'!$O:$O,'PR Grupo'!$G67,'Plan CP'!$P:$P,'PR Grupo'!AF$3,'Plan CP'!$M:$M,1)=1,1,IF(IFERROR(VLOOKUP('PR Grupo'!AF$3&amp;'PR Grupo'!$G67,'Plan CP'!$K:$P,3,FALSE)&gt;1,0),IFERROR(VLOOKUP('PR Grupo'!AF$3&amp;'PR Grupo'!$G67,'Plan CP'!$K:$P,3,FALSE),0),0)))</f>
        <v>0</v>
      </c>
      <c r="AG67" s="58">
        <f>IF(AF67&gt;1,AF67-1,IF(COUNTIFS('Plan CP'!$O:$O,'PR Grupo'!$G67,'Plan CP'!$P:$P,'PR Grupo'!AG$3,'Plan CP'!$M:$M,1)=1,1,IF(IFERROR(VLOOKUP('PR Grupo'!AG$3&amp;'PR Grupo'!$G67,'Plan CP'!$K:$P,3,FALSE)&gt;1,0),IFERROR(VLOOKUP('PR Grupo'!AG$3&amp;'PR Grupo'!$G67,'Plan CP'!$K:$P,3,FALSE),0),0)))</f>
        <v>0</v>
      </c>
      <c r="AH67" s="58">
        <f>IF(AG67&gt;1,AG67-1,IF(COUNTIFS('Plan CP'!$O:$O,'PR Grupo'!$G67,'Plan CP'!$P:$P,'PR Grupo'!AH$3,'Plan CP'!$M:$M,1)=1,1,IF(IFERROR(VLOOKUP('PR Grupo'!AH$3&amp;'PR Grupo'!$G67,'Plan CP'!$K:$P,3,FALSE)&gt;1,0),IFERROR(VLOOKUP('PR Grupo'!AH$3&amp;'PR Grupo'!$G67,'Plan CP'!$K:$P,3,FALSE),0),0)))</f>
        <v>0</v>
      </c>
      <c r="AI67" s="58">
        <f>IF(AH67&gt;1,AH67-1,IF(COUNTIFS('Plan CP'!$O:$O,'PR Grupo'!$G67,'Plan CP'!$P:$P,'PR Grupo'!AI$3,'Plan CP'!$M:$M,1)=1,1,IF(IFERROR(VLOOKUP('PR Grupo'!AI$3&amp;'PR Grupo'!$G67,'Plan CP'!$K:$P,3,FALSE)&gt;1,0),IFERROR(VLOOKUP('PR Grupo'!AI$3&amp;'PR Grupo'!$G67,'Plan CP'!$K:$P,3,FALSE),0),0)))</f>
        <v>0</v>
      </c>
      <c r="AJ67" s="58">
        <f>IF(AI67&gt;1,AI67-1,IF(COUNTIFS('Plan CP'!$O:$O,'PR Grupo'!$G67,'Plan CP'!$P:$P,'PR Grupo'!AJ$3,'Plan CP'!$M:$M,1)=1,1,IF(IFERROR(VLOOKUP('PR Grupo'!AJ$3&amp;'PR Grupo'!$G67,'Plan CP'!$K:$P,3,FALSE)&gt;1,0),IFERROR(VLOOKUP('PR Grupo'!AJ$3&amp;'PR Grupo'!$G67,'Plan CP'!$K:$P,3,FALSE),0),0)))</f>
        <v>0</v>
      </c>
      <c r="AK67" s="58">
        <f>IF(AJ67&gt;1,AJ67-1,IF(COUNTIFS('Plan CP'!$O:$O,'PR Grupo'!$G67,'Plan CP'!$P:$P,'PR Grupo'!AK$3,'Plan CP'!$M:$M,1)=1,1,IF(IFERROR(VLOOKUP('PR Grupo'!AK$3&amp;'PR Grupo'!$G67,'Plan CP'!$K:$P,3,FALSE)&gt;1,0),IFERROR(VLOOKUP('PR Grupo'!AK$3&amp;'PR Grupo'!$G67,'Plan CP'!$K:$P,3,FALSE),0),0)))</f>
        <v>0</v>
      </c>
      <c r="AL67" s="58">
        <f>IF(AK67&gt;1,AK67-1,IF(COUNTIFS('Plan CP'!$O:$O,'PR Grupo'!$G67,'Plan CP'!$P:$P,'PR Grupo'!AL$3,'Plan CP'!$M:$M,1)=1,1,IF(IFERROR(VLOOKUP('PR Grupo'!AL$3&amp;'PR Grupo'!$G67,'Plan CP'!$K:$P,3,FALSE)&gt;1,0),IFERROR(VLOOKUP('PR Grupo'!AL$3&amp;'PR Grupo'!$G67,'Plan CP'!$K:$P,3,FALSE),0),0)))</f>
        <v>0</v>
      </c>
      <c r="AM67" s="58">
        <f>IF(AL67&gt;1,AL67-1,IF(COUNTIFS('Plan CP'!$O:$O,'PR Grupo'!$G67,'Plan CP'!$P:$P,'PR Grupo'!AM$3,'Plan CP'!$M:$M,1)=1,1,IF(IFERROR(VLOOKUP('PR Grupo'!AM$3&amp;'PR Grupo'!$G67,'Plan CP'!$K:$P,3,FALSE)&gt;1,0),IFERROR(VLOOKUP('PR Grupo'!AM$3&amp;'PR Grupo'!$G67,'Plan CP'!$K:$P,3,FALSE),0),0)))</f>
        <v>0</v>
      </c>
      <c r="AN67" s="58">
        <f>IF(AM67&gt;1,AM67-1,IF(COUNTIFS('Plan CP'!$O:$O,'PR Grupo'!$G67,'Plan CP'!$P:$P,'PR Grupo'!AN$3,'Plan CP'!$M:$M,1)=1,1,IF(IFERROR(VLOOKUP('PR Grupo'!AN$3&amp;'PR Grupo'!$G67,'Plan CP'!$K:$P,3,FALSE)&gt;1,0),IFERROR(VLOOKUP('PR Grupo'!AN$3&amp;'PR Grupo'!$G67,'Plan CP'!$K:$P,3,FALSE),0),0)))</f>
        <v>0</v>
      </c>
      <c r="AO67" s="58">
        <f>IF(AN67&gt;1,AN67-1,IF(COUNTIFS('Plan CP'!$O:$O,'PR Grupo'!$G67,'Plan CP'!$P:$P,'PR Grupo'!AO$3,'Plan CP'!$M:$M,1)=1,1,IF(IFERROR(VLOOKUP('PR Grupo'!AO$3&amp;'PR Grupo'!$G67,'Plan CP'!$K:$P,3,FALSE)&gt;1,0),IFERROR(VLOOKUP('PR Grupo'!AO$3&amp;'PR Grupo'!$G67,'Plan CP'!$K:$P,3,FALSE),0),0)))</f>
        <v>0</v>
      </c>
    </row>
    <row r="68" spans="1:41">
      <c r="A68" s="21" t="s">
        <v>33</v>
      </c>
      <c r="B68" s="21" t="s">
        <v>46</v>
      </c>
      <c r="C68" s="21" t="s">
        <v>260</v>
      </c>
      <c r="D68" s="21" t="s">
        <v>272</v>
      </c>
      <c r="E68" s="24" t="s">
        <v>175</v>
      </c>
      <c r="F68" s="21" t="s">
        <v>272</v>
      </c>
      <c r="G68" s="21" t="s">
        <v>260</v>
      </c>
      <c r="H68" s="24">
        <v>20</v>
      </c>
      <c r="I68" s="33">
        <f t="shared" si="2"/>
        <v>0</v>
      </c>
      <c r="J68" s="33" t="str">
        <f t="shared" si="3"/>
        <v>NO OK</v>
      </c>
      <c r="K68" s="58">
        <f>IF(COUNTIFS('Plan CP'!$O:$O,'PR Grupo'!$G68,'Plan CP'!$P:$P,'PR Grupo'!K$3,'Plan CP'!$M:$M,1)=1,1,IF(IFERROR(VLOOKUP('PR Grupo'!K$3&amp;'PR Grupo'!$G68,'Plan CP'!$K:$P,3,FALSE)&gt;1,0),IFERROR(VLOOKUP('PR Grupo'!K$3&amp;'PR Grupo'!$G68,'Plan CP'!$K:$P,3,FALSE),0),0))</f>
        <v>0</v>
      </c>
      <c r="L68" s="58">
        <f>IF(K68&gt;1,K68-1,IF(COUNTIFS('Plan CP'!$O:$O,'PR Grupo'!$G68,'Plan CP'!$P:$P,'PR Grupo'!L$3,'Plan CP'!$M:$M,1)=1,1,IF(IFERROR(VLOOKUP('PR Grupo'!L$3&amp;'PR Grupo'!$G68,'Plan CP'!$K:$P,3,FALSE)&gt;1,0),IFERROR(VLOOKUP('PR Grupo'!L$3&amp;'PR Grupo'!$G68,'Plan CP'!$K:$P,3,FALSE),0),0)))</f>
        <v>0</v>
      </c>
      <c r="M68" s="58">
        <f>IF(L68&gt;1,L68-1,IF(COUNTIFS('Plan CP'!$O:$O,'PR Grupo'!$G68,'Plan CP'!$P:$P,'PR Grupo'!M$3,'Plan CP'!$M:$M,1)=1,1,IF(IFERROR(VLOOKUP('PR Grupo'!M$3&amp;'PR Grupo'!$G68,'Plan CP'!$K:$P,3,FALSE)&gt;1,0),IFERROR(VLOOKUP('PR Grupo'!M$3&amp;'PR Grupo'!$G68,'Plan CP'!$K:$P,3,FALSE),0),0)))</f>
        <v>0</v>
      </c>
      <c r="N68" s="58">
        <f>IF(M68&gt;1,M68-1,IF(COUNTIFS('Plan CP'!$O:$O,'PR Grupo'!$G68,'Plan CP'!$P:$P,'PR Grupo'!N$3,'Plan CP'!$M:$M,1)=1,1,IF(IFERROR(VLOOKUP('PR Grupo'!N$3&amp;'PR Grupo'!$G68,'Plan CP'!$K:$P,3,FALSE)&gt;1,0),IFERROR(VLOOKUP('PR Grupo'!N$3&amp;'PR Grupo'!$G68,'Plan CP'!$K:$P,3,FALSE),0),0)))</f>
        <v>0</v>
      </c>
      <c r="O68" s="58">
        <f>IF(N68&gt;1,N68-1,IF(COUNTIFS('Plan CP'!$O:$O,'PR Grupo'!$G68,'Plan CP'!$P:$P,'PR Grupo'!O$3,'Plan CP'!$M:$M,1)=1,1,IF(IFERROR(VLOOKUP('PR Grupo'!O$3&amp;'PR Grupo'!$G68,'Plan CP'!$K:$P,3,FALSE)&gt;1,0),IFERROR(VLOOKUP('PR Grupo'!O$3&amp;'PR Grupo'!$G68,'Plan CP'!$K:$P,3,FALSE),0),0)))</f>
        <v>0</v>
      </c>
      <c r="P68" s="58">
        <f>IF(O68&gt;1,O68-1,IF(COUNTIFS('Plan CP'!$O:$O,'PR Grupo'!$G68,'Plan CP'!$P:$P,'PR Grupo'!P$3,'Plan CP'!$M:$M,1)=1,1,IF(IFERROR(VLOOKUP('PR Grupo'!P$3&amp;'PR Grupo'!$G68,'Plan CP'!$K:$P,3,FALSE)&gt;1,0),IFERROR(VLOOKUP('PR Grupo'!P$3&amp;'PR Grupo'!$G68,'Plan CP'!$K:$P,3,FALSE),0),0)))</f>
        <v>0</v>
      </c>
      <c r="Q68" s="58">
        <f>IF(P68&gt;1,P68-1,IF(COUNTIFS('Plan CP'!$O:$O,'PR Grupo'!$G68,'Plan CP'!$P:$P,'PR Grupo'!Q$3,'Plan CP'!$M:$M,1)=1,1,IF(IFERROR(VLOOKUP('PR Grupo'!Q$3&amp;'PR Grupo'!$G68,'Plan CP'!$K:$P,3,FALSE)&gt;1,0),IFERROR(VLOOKUP('PR Grupo'!Q$3&amp;'PR Grupo'!$G68,'Plan CP'!$K:$P,3,FALSE),0),0)))</f>
        <v>0</v>
      </c>
      <c r="R68" s="58">
        <f>IF(Q68&gt;1,Q68-1,IF(COUNTIFS('Plan CP'!$O:$O,'PR Grupo'!$G68,'Plan CP'!$P:$P,'PR Grupo'!R$3,'Plan CP'!$M:$M,1)=1,1,IF(IFERROR(VLOOKUP('PR Grupo'!R$3&amp;'PR Grupo'!$G68,'Plan CP'!$K:$P,3,FALSE)&gt;1,0),IFERROR(VLOOKUP('PR Grupo'!R$3&amp;'PR Grupo'!$G68,'Plan CP'!$K:$P,3,FALSE),0),0)))</f>
        <v>0</v>
      </c>
      <c r="S68" s="58">
        <f>IF(R68&gt;1,R68-1,IF(COUNTIFS('Plan CP'!$O:$O,'PR Grupo'!$G68,'Plan CP'!$P:$P,'PR Grupo'!S$3,'Plan CP'!$M:$M,1)=1,1,IF(IFERROR(VLOOKUP('PR Grupo'!S$3&amp;'PR Grupo'!$G68,'Plan CP'!$K:$P,3,FALSE)&gt;1,0),IFERROR(VLOOKUP('PR Grupo'!S$3&amp;'PR Grupo'!$G68,'Plan CP'!$K:$P,3,FALSE),0),0)))</f>
        <v>0</v>
      </c>
      <c r="T68" s="58">
        <f>IF(S68&gt;1,S68-1,IF(COUNTIFS('Plan CP'!$O:$O,'PR Grupo'!$G68,'Plan CP'!$P:$P,'PR Grupo'!T$3,'Plan CP'!$M:$M,1)=1,1,IF(IFERROR(VLOOKUP('PR Grupo'!T$3&amp;'PR Grupo'!$G68,'Plan CP'!$K:$P,3,FALSE)&gt;1,0),IFERROR(VLOOKUP('PR Grupo'!T$3&amp;'PR Grupo'!$G68,'Plan CP'!$K:$P,3,FALSE),0),0)))</f>
        <v>0</v>
      </c>
      <c r="U68" s="58">
        <f>IF(T68&gt;1,T68-1,IF(COUNTIFS('Plan CP'!$O:$O,'PR Grupo'!$G68,'Plan CP'!$P:$P,'PR Grupo'!U$3,'Plan CP'!$M:$M,1)=1,1,IF(IFERROR(VLOOKUP('PR Grupo'!U$3&amp;'PR Grupo'!$G68,'Plan CP'!$K:$P,3,FALSE)&gt;1,0),IFERROR(VLOOKUP('PR Grupo'!U$3&amp;'PR Grupo'!$G68,'Plan CP'!$K:$P,3,FALSE),0),0)))</f>
        <v>0</v>
      </c>
      <c r="V68" s="58">
        <f>IF(U68&gt;1,U68-1,IF(COUNTIFS('Plan CP'!$O:$O,'PR Grupo'!$G68,'Plan CP'!$P:$P,'PR Grupo'!V$3,'Plan CP'!$M:$M,1)=1,1,IF(IFERROR(VLOOKUP('PR Grupo'!V$3&amp;'PR Grupo'!$G68,'Plan CP'!$K:$P,3,FALSE)&gt;1,0),IFERROR(VLOOKUP('PR Grupo'!V$3&amp;'PR Grupo'!$G68,'Plan CP'!$K:$P,3,FALSE),0),0)))</f>
        <v>0</v>
      </c>
      <c r="W68" s="58">
        <f>IF(V68&gt;1,V68-1,IF(COUNTIFS('Plan CP'!$O:$O,'PR Grupo'!$G68,'Plan CP'!$P:$P,'PR Grupo'!W$3,'Plan CP'!$M:$M,1)=1,1,IF(IFERROR(VLOOKUP('PR Grupo'!W$3&amp;'PR Grupo'!$G68,'Plan CP'!$K:$P,3,FALSE)&gt;1,0),IFERROR(VLOOKUP('PR Grupo'!W$3&amp;'PR Grupo'!$G68,'Plan CP'!$K:$P,3,FALSE),0),0)))</f>
        <v>0</v>
      </c>
      <c r="X68" s="58">
        <f>IF(W68&gt;1,W68-1,IF(COUNTIFS('Plan CP'!$O:$O,'PR Grupo'!$G68,'Plan CP'!$P:$P,'PR Grupo'!X$3,'Plan CP'!$M:$M,1)=1,1,IF(IFERROR(VLOOKUP('PR Grupo'!X$3&amp;'PR Grupo'!$G68,'Plan CP'!$K:$P,3,FALSE)&gt;1,0),IFERROR(VLOOKUP('PR Grupo'!X$3&amp;'PR Grupo'!$G68,'Plan CP'!$K:$P,3,FALSE),0),0)))</f>
        <v>0</v>
      </c>
      <c r="Y68" s="58">
        <f>IF(X68&gt;1,X68-1,IF(COUNTIFS('Plan CP'!$O:$O,'PR Grupo'!$G68,'Plan CP'!$P:$P,'PR Grupo'!Y$3,'Plan CP'!$M:$M,1)=1,1,IF(IFERROR(VLOOKUP('PR Grupo'!Y$3&amp;'PR Grupo'!$G68,'Plan CP'!$K:$P,3,FALSE)&gt;1,0),IFERROR(VLOOKUP('PR Grupo'!Y$3&amp;'PR Grupo'!$G68,'Plan CP'!$K:$P,3,FALSE),0),0)))</f>
        <v>0</v>
      </c>
      <c r="Z68" s="58">
        <f>IF(Y68&gt;1,Y68-1,IF(COUNTIFS('Plan CP'!$O:$O,'PR Grupo'!$G68,'Plan CP'!$P:$P,'PR Grupo'!Z$3,'Plan CP'!$M:$M,1)=1,1,IF(IFERROR(VLOOKUP('PR Grupo'!Z$3&amp;'PR Grupo'!$G68,'Plan CP'!$K:$P,3,FALSE)&gt;1,0),IFERROR(VLOOKUP('PR Grupo'!Z$3&amp;'PR Grupo'!$G68,'Plan CP'!$K:$P,3,FALSE),0),0)))</f>
        <v>0</v>
      </c>
      <c r="AA68" s="58">
        <f>IF(Z68&gt;1,Z68-1,IF(COUNTIFS('Plan CP'!$O:$O,'PR Grupo'!$G68,'Plan CP'!$P:$P,'PR Grupo'!AA$3,'Plan CP'!$M:$M,1)=1,1,IF(IFERROR(VLOOKUP('PR Grupo'!AA$3&amp;'PR Grupo'!$G68,'Plan CP'!$K:$P,3,FALSE)&gt;1,0),IFERROR(VLOOKUP('PR Grupo'!AA$3&amp;'PR Grupo'!$G68,'Plan CP'!$K:$P,3,FALSE),0),0)))</f>
        <v>0</v>
      </c>
      <c r="AB68" s="58">
        <f>IF(AA68&gt;1,AA68-1,IF(COUNTIFS('Plan CP'!$O:$O,'PR Grupo'!$G68,'Plan CP'!$P:$P,'PR Grupo'!AB$3,'Plan CP'!$M:$M,1)=1,1,IF(IFERROR(VLOOKUP('PR Grupo'!AB$3&amp;'PR Grupo'!$G68,'Plan CP'!$K:$P,3,FALSE)&gt;1,0),IFERROR(VLOOKUP('PR Grupo'!AB$3&amp;'PR Grupo'!$G68,'Plan CP'!$K:$P,3,FALSE),0),0)))</f>
        <v>0</v>
      </c>
      <c r="AC68" s="58">
        <f>IF(AB68&gt;1,AB68-1,IF(COUNTIFS('Plan CP'!$O:$O,'PR Grupo'!$G68,'Plan CP'!$P:$P,'PR Grupo'!AC$3,'Plan CP'!$M:$M,1)=1,1,IF(IFERROR(VLOOKUP('PR Grupo'!AC$3&amp;'PR Grupo'!$G68,'Plan CP'!$K:$P,3,FALSE)&gt;1,0),IFERROR(VLOOKUP('PR Grupo'!AC$3&amp;'PR Grupo'!$G68,'Plan CP'!$K:$P,3,FALSE),0),0)))</f>
        <v>0</v>
      </c>
      <c r="AD68" s="58">
        <f>IF(AC68&gt;1,AC68-1,IF(COUNTIFS('Plan CP'!$O:$O,'PR Grupo'!$G68,'Plan CP'!$P:$P,'PR Grupo'!AD$3,'Plan CP'!$M:$M,1)=1,1,IF(IFERROR(VLOOKUP('PR Grupo'!AD$3&amp;'PR Grupo'!$G68,'Plan CP'!$K:$P,3,FALSE)&gt;1,0),IFERROR(VLOOKUP('PR Grupo'!AD$3&amp;'PR Grupo'!$G68,'Plan CP'!$K:$P,3,FALSE),0),0)))</f>
        <v>0</v>
      </c>
      <c r="AE68" s="58">
        <f>IF(AD68&gt;1,AD68-1,IF(COUNTIFS('Plan CP'!$O:$O,'PR Grupo'!$G68,'Plan CP'!$P:$P,'PR Grupo'!AE$3,'Plan CP'!$M:$M,1)=1,1,IF(IFERROR(VLOOKUP('PR Grupo'!AE$3&amp;'PR Grupo'!$G68,'Plan CP'!$K:$P,3,FALSE)&gt;1,0),IFERROR(VLOOKUP('PR Grupo'!AE$3&amp;'PR Grupo'!$G68,'Plan CP'!$K:$P,3,FALSE),0),0)))</f>
        <v>0</v>
      </c>
      <c r="AF68" s="58">
        <f>IF(AE68&gt;1,AE68-1,IF(COUNTIFS('Plan CP'!$O:$O,'PR Grupo'!$G68,'Plan CP'!$P:$P,'PR Grupo'!AF$3,'Plan CP'!$M:$M,1)=1,1,IF(IFERROR(VLOOKUP('PR Grupo'!AF$3&amp;'PR Grupo'!$G68,'Plan CP'!$K:$P,3,FALSE)&gt;1,0),IFERROR(VLOOKUP('PR Grupo'!AF$3&amp;'PR Grupo'!$G68,'Plan CP'!$K:$P,3,FALSE),0),0)))</f>
        <v>0</v>
      </c>
      <c r="AG68" s="58">
        <f>IF(AF68&gt;1,AF68-1,IF(COUNTIFS('Plan CP'!$O:$O,'PR Grupo'!$G68,'Plan CP'!$P:$P,'PR Grupo'!AG$3,'Plan CP'!$M:$M,1)=1,1,IF(IFERROR(VLOOKUP('PR Grupo'!AG$3&amp;'PR Grupo'!$G68,'Plan CP'!$K:$P,3,FALSE)&gt;1,0),IFERROR(VLOOKUP('PR Grupo'!AG$3&amp;'PR Grupo'!$G68,'Plan CP'!$K:$P,3,FALSE),0),0)))</f>
        <v>0</v>
      </c>
      <c r="AH68" s="58">
        <f>IF(AG68&gt;1,AG68-1,IF(COUNTIFS('Plan CP'!$O:$O,'PR Grupo'!$G68,'Plan CP'!$P:$P,'PR Grupo'!AH$3,'Plan CP'!$M:$M,1)=1,1,IF(IFERROR(VLOOKUP('PR Grupo'!AH$3&amp;'PR Grupo'!$G68,'Plan CP'!$K:$P,3,FALSE)&gt;1,0),IFERROR(VLOOKUP('PR Grupo'!AH$3&amp;'PR Grupo'!$G68,'Plan CP'!$K:$P,3,FALSE),0),0)))</f>
        <v>0</v>
      </c>
      <c r="AI68" s="58">
        <f>IF(AH68&gt;1,AH68-1,IF(COUNTIFS('Plan CP'!$O:$O,'PR Grupo'!$G68,'Plan CP'!$P:$P,'PR Grupo'!AI$3,'Plan CP'!$M:$M,1)=1,1,IF(IFERROR(VLOOKUP('PR Grupo'!AI$3&amp;'PR Grupo'!$G68,'Plan CP'!$K:$P,3,FALSE)&gt;1,0),IFERROR(VLOOKUP('PR Grupo'!AI$3&amp;'PR Grupo'!$G68,'Plan CP'!$K:$P,3,FALSE),0),0)))</f>
        <v>0</v>
      </c>
      <c r="AJ68" s="58">
        <f>IF(AI68&gt;1,AI68-1,IF(COUNTIFS('Plan CP'!$O:$O,'PR Grupo'!$G68,'Plan CP'!$P:$P,'PR Grupo'!AJ$3,'Plan CP'!$M:$M,1)=1,1,IF(IFERROR(VLOOKUP('PR Grupo'!AJ$3&amp;'PR Grupo'!$G68,'Plan CP'!$K:$P,3,FALSE)&gt;1,0),IFERROR(VLOOKUP('PR Grupo'!AJ$3&amp;'PR Grupo'!$G68,'Plan CP'!$K:$P,3,FALSE),0),0)))</f>
        <v>0</v>
      </c>
      <c r="AK68" s="58">
        <f>IF(AJ68&gt;1,AJ68-1,IF(COUNTIFS('Plan CP'!$O:$O,'PR Grupo'!$G68,'Plan CP'!$P:$P,'PR Grupo'!AK$3,'Plan CP'!$M:$M,1)=1,1,IF(IFERROR(VLOOKUP('PR Grupo'!AK$3&amp;'PR Grupo'!$G68,'Plan CP'!$K:$P,3,FALSE)&gt;1,0),IFERROR(VLOOKUP('PR Grupo'!AK$3&amp;'PR Grupo'!$G68,'Plan CP'!$K:$P,3,FALSE),0),0)))</f>
        <v>0</v>
      </c>
      <c r="AL68" s="58">
        <f>IF(AK68&gt;1,AK68-1,IF(COUNTIFS('Plan CP'!$O:$O,'PR Grupo'!$G68,'Plan CP'!$P:$P,'PR Grupo'!AL$3,'Plan CP'!$M:$M,1)=1,1,IF(IFERROR(VLOOKUP('PR Grupo'!AL$3&amp;'PR Grupo'!$G68,'Plan CP'!$K:$P,3,FALSE)&gt;1,0),IFERROR(VLOOKUP('PR Grupo'!AL$3&amp;'PR Grupo'!$G68,'Plan CP'!$K:$P,3,FALSE),0),0)))</f>
        <v>0</v>
      </c>
      <c r="AM68" s="58">
        <f>IF(AL68&gt;1,AL68-1,IF(COUNTIFS('Plan CP'!$O:$O,'PR Grupo'!$G68,'Plan CP'!$P:$P,'PR Grupo'!AM$3,'Plan CP'!$M:$M,1)=1,1,IF(IFERROR(VLOOKUP('PR Grupo'!AM$3&amp;'PR Grupo'!$G68,'Plan CP'!$K:$P,3,FALSE)&gt;1,0),IFERROR(VLOOKUP('PR Grupo'!AM$3&amp;'PR Grupo'!$G68,'Plan CP'!$K:$P,3,FALSE),0),0)))</f>
        <v>0</v>
      </c>
      <c r="AN68" s="58">
        <f>IF(AM68&gt;1,AM68-1,IF(COUNTIFS('Plan CP'!$O:$O,'PR Grupo'!$G68,'Plan CP'!$P:$P,'PR Grupo'!AN$3,'Plan CP'!$M:$M,1)=1,1,IF(IFERROR(VLOOKUP('PR Grupo'!AN$3&amp;'PR Grupo'!$G68,'Plan CP'!$K:$P,3,FALSE)&gt;1,0),IFERROR(VLOOKUP('PR Grupo'!AN$3&amp;'PR Grupo'!$G68,'Plan CP'!$K:$P,3,FALSE),0),0)))</f>
        <v>0</v>
      </c>
      <c r="AO68" s="58">
        <f>IF(AN68&gt;1,AN68-1,IF(COUNTIFS('Plan CP'!$O:$O,'PR Grupo'!$G68,'Plan CP'!$P:$P,'PR Grupo'!AO$3,'Plan CP'!$M:$M,1)=1,1,IF(IFERROR(VLOOKUP('PR Grupo'!AO$3&amp;'PR Grupo'!$G68,'Plan CP'!$K:$P,3,FALSE)&gt;1,0),IFERROR(VLOOKUP('PR Grupo'!AO$3&amp;'PR Grupo'!$G68,'Plan CP'!$K:$P,3,FALSE),0),0)))</f>
        <v>0</v>
      </c>
    </row>
    <row r="69" spans="1:41">
      <c r="A69" s="21" t="s">
        <v>33</v>
      </c>
      <c r="B69" s="21" t="s">
        <v>48</v>
      </c>
      <c r="C69" s="21" t="s">
        <v>261</v>
      </c>
      <c r="D69" s="21" t="s">
        <v>275</v>
      </c>
      <c r="E69" s="24" t="s">
        <v>175</v>
      </c>
      <c r="F69" s="21" t="s">
        <v>275</v>
      </c>
      <c r="G69" s="21" t="s">
        <v>261</v>
      </c>
      <c r="H69" s="24">
        <v>20</v>
      </c>
      <c r="I69" s="33">
        <f t="shared" ref="I69:I71" si="4">DAY(EOMONTH($A$1,0))-COUNTIFS(K69:AO69,0)</f>
        <v>0</v>
      </c>
      <c r="J69" s="33" t="str">
        <f t="shared" ref="J69:J71" si="5">IF(I69&lt;H69,"NO OK","OK")</f>
        <v>NO OK</v>
      </c>
      <c r="K69" s="58">
        <f>IF(COUNTIFS('Plan CP'!$O:$O,'PR Grupo'!$G69,'Plan CP'!$P:$P,'PR Grupo'!K$3,'Plan CP'!$M:$M,1)=1,1,IF(IFERROR(VLOOKUP('PR Grupo'!K$3&amp;'PR Grupo'!$G69,'Plan CP'!$K:$P,3,FALSE)&gt;1,0),IFERROR(VLOOKUP('PR Grupo'!K$3&amp;'PR Grupo'!$G69,'Plan CP'!$K:$P,3,FALSE),0),0))</f>
        <v>0</v>
      </c>
      <c r="L69" s="58">
        <f>IF(K69&gt;1,K69-1,IF(COUNTIFS('Plan CP'!$O:$O,'PR Grupo'!$G69,'Plan CP'!$P:$P,'PR Grupo'!L$3,'Plan CP'!$M:$M,1)=1,1,IF(IFERROR(VLOOKUP('PR Grupo'!L$3&amp;'PR Grupo'!$G69,'Plan CP'!$K:$P,3,FALSE)&gt;1,0),IFERROR(VLOOKUP('PR Grupo'!L$3&amp;'PR Grupo'!$G69,'Plan CP'!$K:$P,3,FALSE),0),0)))</f>
        <v>0</v>
      </c>
      <c r="M69" s="58">
        <f>IF(L69&gt;1,L69-1,IF(COUNTIFS('Plan CP'!$O:$O,'PR Grupo'!$G69,'Plan CP'!$P:$P,'PR Grupo'!M$3,'Plan CP'!$M:$M,1)=1,1,IF(IFERROR(VLOOKUP('PR Grupo'!M$3&amp;'PR Grupo'!$G69,'Plan CP'!$K:$P,3,FALSE)&gt;1,0),IFERROR(VLOOKUP('PR Grupo'!M$3&amp;'PR Grupo'!$G69,'Plan CP'!$K:$P,3,FALSE),0),0)))</f>
        <v>0</v>
      </c>
      <c r="N69" s="58">
        <f>IF(M69&gt;1,M69-1,IF(COUNTIFS('Plan CP'!$O:$O,'PR Grupo'!$G69,'Plan CP'!$P:$P,'PR Grupo'!N$3,'Plan CP'!$M:$M,1)=1,1,IF(IFERROR(VLOOKUP('PR Grupo'!N$3&amp;'PR Grupo'!$G69,'Plan CP'!$K:$P,3,FALSE)&gt;1,0),IFERROR(VLOOKUP('PR Grupo'!N$3&amp;'PR Grupo'!$G69,'Plan CP'!$K:$P,3,FALSE),0),0)))</f>
        <v>0</v>
      </c>
      <c r="O69" s="58">
        <f>IF(N69&gt;1,N69-1,IF(COUNTIFS('Plan CP'!$O:$O,'PR Grupo'!$G69,'Plan CP'!$P:$P,'PR Grupo'!O$3,'Plan CP'!$M:$M,1)=1,1,IF(IFERROR(VLOOKUP('PR Grupo'!O$3&amp;'PR Grupo'!$G69,'Plan CP'!$K:$P,3,FALSE)&gt;1,0),IFERROR(VLOOKUP('PR Grupo'!O$3&amp;'PR Grupo'!$G69,'Plan CP'!$K:$P,3,FALSE),0),0)))</f>
        <v>0</v>
      </c>
      <c r="P69" s="58">
        <f>IF(O69&gt;1,O69-1,IF(COUNTIFS('Plan CP'!$O:$O,'PR Grupo'!$G69,'Plan CP'!$P:$P,'PR Grupo'!P$3,'Plan CP'!$M:$M,1)=1,1,IF(IFERROR(VLOOKUP('PR Grupo'!P$3&amp;'PR Grupo'!$G69,'Plan CP'!$K:$P,3,FALSE)&gt;1,0),IFERROR(VLOOKUP('PR Grupo'!P$3&amp;'PR Grupo'!$G69,'Plan CP'!$K:$P,3,FALSE),0),0)))</f>
        <v>0</v>
      </c>
      <c r="Q69" s="58">
        <f>IF(P69&gt;1,P69-1,IF(COUNTIFS('Plan CP'!$O:$O,'PR Grupo'!$G69,'Plan CP'!$P:$P,'PR Grupo'!Q$3,'Plan CP'!$M:$M,1)=1,1,IF(IFERROR(VLOOKUP('PR Grupo'!Q$3&amp;'PR Grupo'!$G69,'Plan CP'!$K:$P,3,FALSE)&gt;1,0),IFERROR(VLOOKUP('PR Grupo'!Q$3&amp;'PR Grupo'!$G69,'Plan CP'!$K:$P,3,FALSE),0),0)))</f>
        <v>0</v>
      </c>
      <c r="R69" s="58">
        <f>IF(Q69&gt;1,Q69-1,IF(COUNTIFS('Plan CP'!$O:$O,'PR Grupo'!$G69,'Plan CP'!$P:$P,'PR Grupo'!R$3,'Plan CP'!$M:$M,1)=1,1,IF(IFERROR(VLOOKUP('PR Grupo'!R$3&amp;'PR Grupo'!$G69,'Plan CP'!$K:$P,3,FALSE)&gt;1,0),IFERROR(VLOOKUP('PR Grupo'!R$3&amp;'PR Grupo'!$G69,'Plan CP'!$K:$P,3,FALSE),0),0)))</f>
        <v>0</v>
      </c>
      <c r="S69" s="58">
        <f>IF(R69&gt;1,R69-1,IF(COUNTIFS('Plan CP'!$O:$O,'PR Grupo'!$G69,'Plan CP'!$P:$P,'PR Grupo'!S$3,'Plan CP'!$M:$M,1)=1,1,IF(IFERROR(VLOOKUP('PR Grupo'!S$3&amp;'PR Grupo'!$G69,'Plan CP'!$K:$P,3,FALSE)&gt;1,0),IFERROR(VLOOKUP('PR Grupo'!S$3&amp;'PR Grupo'!$G69,'Plan CP'!$K:$P,3,FALSE),0),0)))</f>
        <v>0</v>
      </c>
      <c r="T69" s="58">
        <f>IF(S69&gt;1,S69-1,IF(COUNTIFS('Plan CP'!$O:$O,'PR Grupo'!$G69,'Plan CP'!$P:$P,'PR Grupo'!T$3,'Plan CP'!$M:$M,1)=1,1,IF(IFERROR(VLOOKUP('PR Grupo'!T$3&amp;'PR Grupo'!$G69,'Plan CP'!$K:$P,3,FALSE)&gt;1,0),IFERROR(VLOOKUP('PR Grupo'!T$3&amp;'PR Grupo'!$G69,'Plan CP'!$K:$P,3,FALSE),0),0)))</f>
        <v>0</v>
      </c>
      <c r="U69" s="58">
        <f>IF(T69&gt;1,T69-1,IF(COUNTIFS('Plan CP'!$O:$O,'PR Grupo'!$G69,'Plan CP'!$P:$P,'PR Grupo'!U$3,'Plan CP'!$M:$M,1)=1,1,IF(IFERROR(VLOOKUP('PR Grupo'!U$3&amp;'PR Grupo'!$G69,'Plan CP'!$K:$P,3,FALSE)&gt;1,0),IFERROR(VLOOKUP('PR Grupo'!U$3&amp;'PR Grupo'!$G69,'Plan CP'!$K:$P,3,FALSE),0),0)))</f>
        <v>0</v>
      </c>
      <c r="V69" s="58">
        <f>IF(U69&gt;1,U69-1,IF(COUNTIFS('Plan CP'!$O:$O,'PR Grupo'!$G69,'Plan CP'!$P:$P,'PR Grupo'!V$3,'Plan CP'!$M:$M,1)=1,1,IF(IFERROR(VLOOKUP('PR Grupo'!V$3&amp;'PR Grupo'!$G69,'Plan CP'!$K:$P,3,FALSE)&gt;1,0),IFERROR(VLOOKUP('PR Grupo'!V$3&amp;'PR Grupo'!$G69,'Plan CP'!$K:$P,3,FALSE),0),0)))</f>
        <v>0</v>
      </c>
      <c r="W69" s="58">
        <f>IF(V69&gt;1,V69-1,IF(COUNTIFS('Plan CP'!$O:$O,'PR Grupo'!$G69,'Plan CP'!$P:$P,'PR Grupo'!W$3,'Plan CP'!$M:$M,1)=1,1,IF(IFERROR(VLOOKUP('PR Grupo'!W$3&amp;'PR Grupo'!$G69,'Plan CP'!$K:$P,3,FALSE)&gt;1,0),IFERROR(VLOOKUP('PR Grupo'!W$3&amp;'PR Grupo'!$G69,'Plan CP'!$K:$P,3,FALSE),0),0)))</f>
        <v>0</v>
      </c>
      <c r="X69" s="58">
        <f>IF(W69&gt;1,W69-1,IF(COUNTIFS('Plan CP'!$O:$O,'PR Grupo'!$G69,'Plan CP'!$P:$P,'PR Grupo'!X$3,'Plan CP'!$M:$M,1)=1,1,IF(IFERROR(VLOOKUP('PR Grupo'!X$3&amp;'PR Grupo'!$G69,'Plan CP'!$K:$P,3,FALSE)&gt;1,0),IFERROR(VLOOKUP('PR Grupo'!X$3&amp;'PR Grupo'!$G69,'Plan CP'!$K:$P,3,FALSE),0),0)))</f>
        <v>0</v>
      </c>
      <c r="Y69" s="58">
        <f>IF(X69&gt;1,X69-1,IF(COUNTIFS('Plan CP'!$O:$O,'PR Grupo'!$G69,'Plan CP'!$P:$P,'PR Grupo'!Y$3,'Plan CP'!$M:$M,1)=1,1,IF(IFERROR(VLOOKUP('PR Grupo'!Y$3&amp;'PR Grupo'!$G69,'Plan CP'!$K:$P,3,FALSE)&gt;1,0),IFERROR(VLOOKUP('PR Grupo'!Y$3&amp;'PR Grupo'!$G69,'Plan CP'!$K:$P,3,FALSE),0),0)))</f>
        <v>0</v>
      </c>
      <c r="Z69" s="58">
        <f>IF(Y69&gt;1,Y69-1,IF(COUNTIFS('Plan CP'!$O:$O,'PR Grupo'!$G69,'Plan CP'!$P:$P,'PR Grupo'!Z$3,'Plan CP'!$M:$M,1)=1,1,IF(IFERROR(VLOOKUP('PR Grupo'!Z$3&amp;'PR Grupo'!$G69,'Plan CP'!$K:$P,3,FALSE)&gt;1,0),IFERROR(VLOOKUP('PR Grupo'!Z$3&amp;'PR Grupo'!$G69,'Plan CP'!$K:$P,3,FALSE),0),0)))</f>
        <v>0</v>
      </c>
      <c r="AA69" s="58">
        <f>IF(Z69&gt;1,Z69-1,IF(COUNTIFS('Plan CP'!$O:$O,'PR Grupo'!$G69,'Plan CP'!$P:$P,'PR Grupo'!AA$3,'Plan CP'!$M:$M,1)=1,1,IF(IFERROR(VLOOKUP('PR Grupo'!AA$3&amp;'PR Grupo'!$G69,'Plan CP'!$K:$P,3,FALSE)&gt;1,0),IFERROR(VLOOKUP('PR Grupo'!AA$3&amp;'PR Grupo'!$G69,'Plan CP'!$K:$P,3,FALSE),0),0)))</f>
        <v>0</v>
      </c>
      <c r="AB69" s="58">
        <f>IF(AA69&gt;1,AA69-1,IF(COUNTIFS('Plan CP'!$O:$O,'PR Grupo'!$G69,'Plan CP'!$P:$P,'PR Grupo'!AB$3,'Plan CP'!$M:$M,1)=1,1,IF(IFERROR(VLOOKUP('PR Grupo'!AB$3&amp;'PR Grupo'!$G69,'Plan CP'!$K:$P,3,FALSE)&gt;1,0),IFERROR(VLOOKUP('PR Grupo'!AB$3&amp;'PR Grupo'!$G69,'Plan CP'!$K:$P,3,FALSE),0),0)))</f>
        <v>0</v>
      </c>
      <c r="AC69" s="58">
        <f>IF(AB69&gt;1,AB69-1,IF(COUNTIFS('Plan CP'!$O:$O,'PR Grupo'!$G69,'Plan CP'!$P:$P,'PR Grupo'!AC$3,'Plan CP'!$M:$M,1)=1,1,IF(IFERROR(VLOOKUP('PR Grupo'!AC$3&amp;'PR Grupo'!$G69,'Plan CP'!$K:$P,3,FALSE)&gt;1,0),IFERROR(VLOOKUP('PR Grupo'!AC$3&amp;'PR Grupo'!$G69,'Plan CP'!$K:$P,3,FALSE),0),0)))</f>
        <v>0</v>
      </c>
      <c r="AD69" s="58">
        <f>IF(AC69&gt;1,AC69-1,IF(COUNTIFS('Plan CP'!$O:$O,'PR Grupo'!$G69,'Plan CP'!$P:$P,'PR Grupo'!AD$3,'Plan CP'!$M:$M,1)=1,1,IF(IFERROR(VLOOKUP('PR Grupo'!AD$3&amp;'PR Grupo'!$G69,'Plan CP'!$K:$P,3,FALSE)&gt;1,0),IFERROR(VLOOKUP('PR Grupo'!AD$3&amp;'PR Grupo'!$G69,'Plan CP'!$K:$P,3,FALSE),0),0)))</f>
        <v>0</v>
      </c>
      <c r="AE69" s="58">
        <f>IF(AD69&gt;1,AD69-1,IF(COUNTIFS('Plan CP'!$O:$O,'PR Grupo'!$G69,'Plan CP'!$P:$P,'PR Grupo'!AE$3,'Plan CP'!$M:$M,1)=1,1,IF(IFERROR(VLOOKUP('PR Grupo'!AE$3&amp;'PR Grupo'!$G69,'Plan CP'!$K:$P,3,FALSE)&gt;1,0),IFERROR(VLOOKUP('PR Grupo'!AE$3&amp;'PR Grupo'!$G69,'Plan CP'!$K:$P,3,FALSE),0),0)))</f>
        <v>0</v>
      </c>
      <c r="AF69" s="58">
        <f>IF(AE69&gt;1,AE69-1,IF(COUNTIFS('Plan CP'!$O:$O,'PR Grupo'!$G69,'Plan CP'!$P:$P,'PR Grupo'!AF$3,'Plan CP'!$M:$M,1)=1,1,IF(IFERROR(VLOOKUP('PR Grupo'!AF$3&amp;'PR Grupo'!$G69,'Plan CP'!$K:$P,3,FALSE)&gt;1,0),IFERROR(VLOOKUP('PR Grupo'!AF$3&amp;'PR Grupo'!$G69,'Plan CP'!$K:$P,3,FALSE),0),0)))</f>
        <v>0</v>
      </c>
      <c r="AG69" s="58">
        <f>IF(AF69&gt;1,AF69-1,IF(COUNTIFS('Plan CP'!$O:$O,'PR Grupo'!$G69,'Plan CP'!$P:$P,'PR Grupo'!AG$3,'Plan CP'!$M:$M,1)=1,1,IF(IFERROR(VLOOKUP('PR Grupo'!AG$3&amp;'PR Grupo'!$G69,'Plan CP'!$K:$P,3,FALSE)&gt;1,0),IFERROR(VLOOKUP('PR Grupo'!AG$3&amp;'PR Grupo'!$G69,'Plan CP'!$K:$P,3,FALSE),0),0)))</f>
        <v>0</v>
      </c>
      <c r="AH69" s="58">
        <f>IF(AG69&gt;1,AG69-1,IF(COUNTIFS('Plan CP'!$O:$O,'PR Grupo'!$G69,'Plan CP'!$P:$P,'PR Grupo'!AH$3,'Plan CP'!$M:$M,1)=1,1,IF(IFERROR(VLOOKUP('PR Grupo'!AH$3&amp;'PR Grupo'!$G69,'Plan CP'!$K:$P,3,FALSE)&gt;1,0),IFERROR(VLOOKUP('PR Grupo'!AH$3&amp;'PR Grupo'!$G69,'Plan CP'!$K:$P,3,FALSE),0),0)))</f>
        <v>0</v>
      </c>
      <c r="AI69" s="58">
        <f>IF(AH69&gt;1,AH69-1,IF(COUNTIFS('Plan CP'!$O:$O,'PR Grupo'!$G69,'Plan CP'!$P:$P,'PR Grupo'!AI$3,'Plan CP'!$M:$M,1)=1,1,IF(IFERROR(VLOOKUP('PR Grupo'!AI$3&amp;'PR Grupo'!$G69,'Plan CP'!$K:$P,3,FALSE)&gt;1,0),IFERROR(VLOOKUP('PR Grupo'!AI$3&amp;'PR Grupo'!$G69,'Plan CP'!$K:$P,3,FALSE),0),0)))</f>
        <v>0</v>
      </c>
      <c r="AJ69" s="58">
        <f>IF(AI69&gt;1,AI69-1,IF(COUNTIFS('Plan CP'!$O:$O,'PR Grupo'!$G69,'Plan CP'!$P:$P,'PR Grupo'!AJ$3,'Plan CP'!$M:$M,1)=1,1,IF(IFERROR(VLOOKUP('PR Grupo'!AJ$3&amp;'PR Grupo'!$G69,'Plan CP'!$K:$P,3,FALSE)&gt;1,0),IFERROR(VLOOKUP('PR Grupo'!AJ$3&amp;'PR Grupo'!$G69,'Plan CP'!$K:$P,3,FALSE),0),0)))</f>
        <v>0</v>
      </c>
      <c r="AK69" s="58">
        <f>IF(AJ69&gt;1,AJ69-1,IF(COUNTIFS('Plan CP'!$O:$O,'PR Grupo'!$G69,'Plan CP'!$P:$P,'PR Grupo'!AK$3,'Plan CP'!$M:$M,1)=1,1,IF(IFERROR(VLOOKUP('PR Grupo'!AK$3&amp;'PR Grupo'!$G69,'Plan CP'!$K:$P,3,FALSE)&gt;1,0),IFERROR(VLOOKUP('PR Grupo'!AK$3&amp;'PR Grupo'!$G69,'Plan CP'!$K:$P,3,FALSE),0),0)))</f>
        <v>0</v>
      </c>
      <c r="AL69" s="58">
        <f>IF(AK69&gt;1,AK69-1,IF(COUNTIFS('Plan CP'!$O:$O,'PR Grupo'!$G69,'Plan CP'!$P:$P,'PR Grupo'!AL$3,'Plan CP'!$M:$M,1)=1,1,IF(IFERROR(VLOOKUP('PR Grupo'!AL$3&amp;'PR Grupo'!$G69,'Plan CP'!$K:$P,3,FALSE)&gt;1,0),IFERROR(VLOOKUP('PR Grupo'!AL$3&amp;'PR Grupo'!$G69,'Plan CP'!$K:$P,3,FALSE),0),0)))</f>
        <v>0</v>
      </c>
      <c r="AM69" s="58">
        <f>IF(AL69&gt;1,AL69-1,IF(COUNTIFS('Plan CP'!$O:$O,'PR Grupo'!$G69,'Plan CP'!$P:$P,'PR Grupo'!AM$3,'Plan CP'!$M:$M,1)=1,1,IF(IFERROR(VLOOKUP('PR Grupo'!AM$3&amp;'PR Grupo'!$G69,'Plan CP'!$K:$P,3,FALSE)&gt;1,0),IFERROR(VLOOKUP('PR Grupo'!AM$3&amp;'PR Grupo'!$G69,'Plan CP'!$K:$P,3,FALSE),0),0)))</f>
        <v>0</v>
      </c>
      <c r="AN69" s="58">
        <f>IF(AM69&gt;1,AM69-1,IF(COUNTIFS('Plan CP'!$O:$O,'PR Grupo'!$G69,'Plan CP'!$P:$P,'PR Grupo'!AN$3,'Plan CP'!$M:$M,1)=1,1,IF(IFERROR(VLOOKUP('PR Grupo'!AN$3&amp;'PR Grupo'!$G69,'Plan CP'!$K:$P,3,FALSE)&gt;1,0),IFERROR(VLOOKUP('PR Grupo'!AN$3&amp;'PR Grupo'!$G69,'Plan CP'!$K:$P,3,FALSE),0),0)))</f>
        <v>0</v>
      </c>
      <c r="AO69" s="58">
        <f>IF(AN69&gt;1,AN69-1,IF(COUNTIFS('Plan CP'!$O:$O,'PR Grupo'!$G69,'Plan CP'!$P:$P,'PR Grupo'!AO$3,'Plan CP'!$M:$M,1)=1,1,IF(IFERROR(VLOOKUP('PR Grupo'!AO$3&amp;'PR Grupo'!$G69,'Plan CP'!$K:$P,3,FALSE)&gt;1,0),IFERROR(VLOOKUP('PR Grupo'!AO$3&amp;'PR Grupo'!$G69,'Plan CP'!$K:$P,3,FALSE),0),0)))</f>
        <v>0</v>
      </c>
    </row>
    <row r="70" spans="1:41">
      <c r="A70" s="21" t="s">
        <v>33</v>
      </c>
      <c r="B70" s="21" t="s">
        <v>39</v>
      </c>
      <c r="C70" s="21" t="s">
        <v>262</v>
      </c>
      <c r="D70" s="21" t="s">
        <v>280</v>
      </c>
      <c r="E70" s="24" t="s">
        <v>175</v>
      </c>
      <c r="F70" s="21" t="s">
        <v>280</v>
      </c>
      <c r="G70" s="21" t="s">
        <v>262</v>
      </c>
      <c r="H70" s="24">
        <v>20</v>
      </c>
      <c r="I70" s="33">
        <f t="shared" si="4"/>
        <v>0</v>
      </c>
      <c r="J70" s="33" t="str">
        <f t="shared" si="5"/>
        <v>NO OK</v>
      </c>
      <c r="K70" s="58">
        <f>IF(COUNTIFS('Plan CP'!$O:$O,'PR Grupo'!$G70,'Plan CP'!$P:$P,'PR Grupo'!K$3,'Plan CP'!$M:$M,1)=1,1,IF(IFERROR(VLOOKUP('PR Grupo'!K$3&amp;'PR Grupo'!$G70,'Plan CP'!$K:$P,3,FALSE)&gt;1,0),IFERROR(VLOOKUP('PR Grupo'!K$3&amp;'PR Grupo'!$G70,'Plan CP'!$K:$P,3,FALSE),0),0))</f>
        <v>0</v>
      </c>
      <c r="L70" s="58">
        <f>IF(K70&gt;1,K70-1,IF(COUNTIFS('Plan CP'!$O:$O,'PR Grupo'!$G70,'Plan CP'!$P:$P,'PR Grupo'!L$3,'Plan CP'!$M:$M,1)=1,1,IF(IFERROR(VLOOKUP('PR Grupo'!L$3&amp;'PR Grupo'!$G70,'Plan CP'!$K:$P,3,FALSE)&gt;1,0),IFERROR(VLOOKUP('PR Grupo'!L$3&amp;'PR Grupo'!$G70,'Plan CP'!$K:$P,3,FALSE),0),0)))</f>
        <v>0</v>
      </c>
      <c r="M70" s="58">
        <f>IF(L70&gt;1,L70-1,IF(COUNTIFS('Plan CP'!$O:$O,'PR Grupo'!$G70,'Plan CP'!$P:$P,'PR Grupo'!M$3,'Plan CP'!$M:$M,1)=1,1,IF(IFERROR(VLOOKUP('PR Grupo'!M$3&amp;'PR Grupo'!$G70,'Plan CP'!$K:$P,3,FALSE)&gt;1,0),IFERROR(VLOOKUP('PR Grupo'!M$3&amp;'PR Grupo'!$G70,'Plan CP'!$K:$P,3,FALSE),0),0)))</f>
        <v>0</v>
      </c>
      <c r="N70" s="58">
        <f>IF(M70&gt;1,M70-1,IF(COUNTIFS('Plan CP'!$O:$O,'PR Grupo'!$G70,'Plan CP'!$P:$P,'PR Grupo'!N$3,'Plan CP'!$M:$M,1)=1,1,IF(IFERROR(VLOOKUP('PR Grupo'!N$3&amp;'PR Grupo'!$G70,'Plan CP'!$K:$P,3,FALSE)&gt;1,0),IFERROR(VLOOKUP('PR Grupo'!N$3&amp;'PR Grupo'!$G70,'Plan CP'!$K:$P,3,FALSE),0),0)))</f>
        <v>0</v>
      </c>
      <c r="O70" s="58">
        <f>IF(N70&gt;1,N70-1,IF(COUNTIFS('Plan CP'!$O:$O,'PR Grupo'!$G70,'Plan CP'!$P:$P,'PR Grupo'!O$3,'Plan CP'!$M:$M,1)=1,1,IF(IFERROR(VLOOKUP('PR Grupo'!O$3&amp;'PR Grupo'!$G70,'Plan CP'!$K:$P,3,FALSE)&gt;1,0),IFERROR(VLOOKUP('PR Grupo'!O$3&amp;'PR Grupo'!$G70,'Plan CP'!$K:$P,3,FALSE),0),0)))</f>
        <v>0</v>
      </c>
      <c r="P70" s="58">
        <f>IF(O70&gt;1,O70-1,IF(COUNTIFS('Plan CP'!$O:$O,'PR Grupo'!$G70,'Plan CP'!$P:$P,'PR Grupo'!P$3,'Plan CP'!$M:$M,1)=1,1,IF(IFERROR(VLOOKUP('PR Grupo'!P$3&amp;'PR Grupo'!$G70,'Plan CP'!$K:$P,3,FALSE)&gt;1,0),IFERROR(VLOOKUP('PR Grupo'!P$3&amp;'PR Grupo'!$G70,'Plan CP'!$K:$P,3,FALSE),0),0)))</f>
        <v>0</v>
      </c>
      <c r="Q70" s="58">
        <f>IF(P70&gt;1,P70-1,IF(COUNTIFS('Plan CP'!$O:$O,'PR Grupo'!$G70,'Plan CP'!$P:$P,'PR Grupo'!Q$3,'Plan CP'!$M:$M,1)=1,1,IF(IFERROR(VLOOKUP('PR Grupo'!Q$3&amp;'PR Grupo'!$G70,'Plan CP'!$K:$P,3,FALSE)&gt;1,0),IFERROR(VLOOKUP('PR Grupo'!Q$3&amp;'PR Grupo'!$G70,'Plan CP'!$K:$P,3,FALSE),0),0)))</f>
        <v>0</v>
      </c>
      <c r="R70" s="58">
        <f>IF(Q70&gt;1,Q70-1,IF(COUNTIFS('Plan CP'!$O:$O,'PR Grupo'!$G70,'Plan CP'!$P:$P,'PR Grupo'!R$3,'Plan CP'!$M:$M,1)=1,1,IF(IFERROR(VLOOKUP('PR Grupo'!R$3&amp;'PR Grupo'!$G70,'Plan CP'!$K:$P,3,FALSE)&gt;1,0),IFERROR(VLOOKUP('PR Grupo'!R$3&amp;'PR Grupo'!$G70,'Plan CP'!$K:$P,3,FALSE),0),0)))</f>
        <v>0</v>
      </c>
      <c r="S70" s="58">
        <f>IF(R70&gt;1,R70-1,IF(COUNTIFS('Plan CP'!$O:$O,'PR Grupo'!$G70,'Plan CP'!$P:$P,'PR Grupo'!S$3,'Plan CP'!$M:$M,1)=1,1,IF(IFERROR(VLOOKUP('PR Grupo'!S$3&amp;'PR Grupo'!$G70,'Plan CP'!$K:$P,3,FALSE)&gt;1,0),IFERROR(VLOOKUP('PR Grupo'!S$3&amp;'PR Grupo'!$G70,'Plan CP'!$K:$P,3,FALSE),0),0)))</f>
        <v>0</v>
      </c>
      <c r="T70" s="58">
        <f>IF(S70&gt;1,S70-1,IF(COUNTIFS('Plan CP'!$O:$O,'PR Grupo'!$G70,'Plan CP'!$P:$P,'PR Grupo'!T$3,'Plan CP'!$M:$M,1)=1,1,IF(IFERROR(VLOOKUP('PR Grupo'!T$3&amp;'PR Grupo'!$G70,'Plan CP'!$K:$P,3,FALSE)&gt;1,0),IFERROR(VLOOKUP('PR Grupo'!T$3&amp;'PR Grupo'!$G70,'Plan CP'!$K:$P,3,FALSE),0),0)))</f>
        <v>0</v>
      </c>
      <c r="U70" s="58">
        <f>IF(T70&gt;1,T70-1,IF(COUNTIFS('Plan CP'!$O:$O,'PR Grupo'!$G70,'Plan CP'!$P:$P,'PR Grupo'!U$3,'Plan CP'!$M:$M,1)=1,1,IF(IFERROR(VLOOKUP('PR Grupo'!U$3&amp;'PR Grupo'!$G70,'Plan CP'!$K:$P,3,FALSE)&gt;1,0),IFERROR(VLOOKUP('PR Grupo'!U$3&amp;'PR Grupo'!$G70,'Plan CP'!$K:$P,3,FALSE),0),0)))</f>
        <v>0</v>
      </c>
      <c r="V70" s="58">
        <f>IF(U70&gt;1,U70-1,IF(COUNTIFS('Plan CP'!$O:$O,'PR Grupo'!$G70,'Plan CP'!$P:$P,'PR Grupo'!V$3,'Plan CP'!$M:$M,1)=1,1,IF(IFERROR(VLOOKUP('PR Grupo'!V$3&amp;'PR Grupo'!$G70,'Plan CP'!$K:$P,3,FALSE)&gt;1,0),IFERROR(VLOOKUP('PR Grupo'!V$3&amp;'PR Grupo'!$G70,'Plan CP'!$K:$P,3,FALSE),0),0)))</f>
        <v>0</v>
      </c>
      <c r="W70" s="58">
        <f>IF(V70&gt;1,V70-1,IF(COUNTIFS('Plan CP'!$O:$O,'PR Grupo'!$G70,'Plan CP'!$P:$P,'PR Grupo'!W$3,'Plan CP'!$M:$M,1)=1,1,IF(IFERROR(VLOOKUP('PR Grupo'!W$3&amp;'PR Grupo'!$G70,'Plan CP'!$K:$P,3,FALSE)&gt;1,0),IFERROR(VLOOKUP('PR Grupo'!W$3&amp;'PR Grupo'!$G70,'Plan CP'!$K:$P,3,FALSE),0),0)))</f>
        <v>0</v>
      </c>
      <c r="X70" s="58">
        <f>IF(W70&gt;1,W70-1,IF(COUNTIFS('Plan CP'!$O:$O,'PR Grupo'!$G70,'Plan CP'!$P:$P,'PR Grupo'!X$3,'Plan CP'!$M:$M,1)=1,1,IF(IFERROR(VLOOKUP('PR Grupo'!X$3&amp;'PR Grupo'!$G70,'Plan CP'!$K:$P,3,FALSE)&gt;1,0),IFERROR(VLOOKUP('PR Grupo'!X$3&amp;'PR Grupo'!$G70,'Plan CP'!$K:$P,3,FALSE),0),0)))</f>
        <v>0</v>
      </c>
      <c r="Y70" s="58">
        <f>IF(X70&gt;1,X70-1,IF(COUNTIFS('Plan CP'!$O:$O,'PR Grupo'!$G70,'Plan CP'!$P:$P,'PR Grupo'!Y$3,'Plan CP'!$M:$M,1)=1,1,IF(IFERROR(VLOOKUP('PR Grupo'!Y$3&amp;'PR Grupo'!$G70,'Plan CP'!$K:$P,3,FALSE)&gt;1,0),IFERROR(VLOOKUP('PR Grupo'!Y$3&amp;'PR Grupo'!$G70,'Plan CP'!$K:$P,3,FALSE),0),0)))</f>
        <v>0</v>
      </c>
      <c r="Z70" s="58">
        <f>IF(Y70&gt;1,Y70-1,IF(COUNTIFS('Plan CP'!$O:$O,'PR Grupo'!$G70,'Plan CP'!$P:$P,'PR Grupo'!Z$3,'Plan CP'!$M:$M,1)=1,1,IF(IFERROR(VLOOKUP('PR Grupo'!Z$3&amp;'PR Grupo'!$G70,'Plan CP'!$K:$P,3,FALSE)&gt;1,0),IFERROR(VLOOKUP('PR Grupo'!Z$3&amp;'PR Grupo'!$G70,'Plan CP'!$K:$P,3,FALSE),0),0)))</f>
        <v>0</v>
      </c>
      <c r="AA70" s="58">
        <f>IF(Z70&gt;1,Z70-1,IF(COUNTIFS('Plan CP'!$O:$O,'PR Grupo'!$G70,'Plan CP'!$P:$P,'PR Grupo'!AA$3,'Plan CP'!$M:$M,1)=1,1,IF(IFERROR(VLOOKUP('PR Grupo'!AA$3&amp;'PR Grupo'!$G70,'Plan CP'!$K:$P,3,FALSE)&gt;1,0),IFERROR(VLOOKUP('PR Grupo'!AA$3&amp;'PR Grupo'!$G70,'Plan CP'!$K:$P,3,FALSE),0),0)))</f>
        <v>0</v>
      </c>
      <c r="AB70" s="58">
        <f>IF(AA70&gt;1,AA70-1,IF(COUNTIFS('Plan CP'!$O:$O,'PR Grupo'!$G70,'Plan CP'!$P:$P,'PR Grupo'!AB$3,'Plan CP'!$M:$M,1)=1,1,IF(IFERROR(VLOOKUP('PR Grupo'!AB$3&amp;'PR Grupo'!$G70,'Plan CP'!$K:$P,3,FALSE)&gt;1,0),IFERROR(VLOOKUP('PR Grupo'!AB$3&amp;'PR Grupo'!$G70,'Plan CP'!$K:$P,3,FALSE),0),0)))</f>
        <v>0</v>
      </c>
      <c r="AC70" s="58">
        <f>IF(AB70&gt;1,AB70-1,IF(COUNTIFS('Plan CP'!$O:$O,'PR Grupo'!$G70,'Plan CP'!$P:$P,'PR Grupo'!AC$3,'Plan CP'!$M:$M,1)=1,1,IF(IFERROR(VLOOKUP('PR Grupo'!AC$3&amp;'PR Grupo'!$G70,'Plan CP'!$K:$P,3,FALSE)&gt;1,0),IFERROR(VLOOKUP('PR Grupo'!AC$3&amp;'PR Grupo'!$G70,'Plan CP'!$K:$P,3,FALSE),0),0)))</f>
        <v>0</v>
      </c>
      <c r="AD70" s="58">
        <f>IF(AC70&gt;1,AC70-1,IF(COUNTIFS('Plan CP'!$O:$O,'PR Grupo'!$G70,'Plan CP'!$P:$P,'PR Grupo'!AD$3,'Plan CP'!$M:$M,1)=1,1,IF(IFERROR(VLOOKUP('PR Grupo'!AD$3&amp;'PR Grupo'!$G70,'Plan CP'!$K:$P,3,FALSE)&gt;1,0),IFERROR(VLOOKUP('PR Grupo'!AD$3&amp;'PR Grupo'!$G70,'Plan CP'!$K:$P,3,FALSE),0),0)))</f>
        <v>0</v>
      </c>
      <c r="AE70" s="58">
        <f>IF(AD70&gt;1,AD70-1,IF(COUNTIFS('Plan CP'!$O:$O,'PR Grupo'!$G70,'Plan CP'!$P:$P,'PR Grupo'!AE$3,'Plan CP'!$M:$M,1)=1,1,IF(IFERROR(VLOOKUP('PR Grupo'!AE$3&amp;'PR Grupo'!$G70,'Plan CP'!$K:$P,3,FALSE)&gt;1,0),IFERROR(VLOOKUP('PR Grupo'!AE$3&amp;'PR Grupo'!$G70,'Plan CP'!$K:$P,3,FALSE),0),0)))</f>
        <v>0</v>
      </c>
      <c r="AF70" s="58">
        <f>IF(AE70&gt;1,AE70-1,IF(COUNTIFS('Plan CP'!$O:$O,'PR Grupo'!$G70,'Plan CP'!$P:$P,'PR Grupo'!AF$3,'Plan CP'!$M:$M,1)=1,1,IF(IFERROR(VLOOKUP('PR Grupo'!AF$3&amp;'PR Grupo'!$G70,'Plan CP'!$K:$P,3,FALSE)&gt;1,0),IFERROR(VLOOKUP('PR Grupo'!AF$3&amp;'PR Grupo'!$G70,'Plan CP'!$K:$P,3,FALSE),0),0)))</f>
        <v>0</v>
      </c>
      <c r="AG70" s="58">
        <f>IF(AF70&gt;1,AF70-1,IF(COUNTIFS('Plan CP'!$O:$O,'PR Grupo'!$G70,'Plan CP'!$P:$P,'PR Grupo'!AG$3,'Plan CP'!$M:$M,1)=1,1,IF(IFERROR(VLOOKUP('PR Grupo'!AG$3&amp;'PR Grupo'!$G70,'Plan CP'!$K:$P,3,FALSE)&gt;1,0),IFERROR(VLOOKUP('PR Grupo'!AG$3&amp;'PR Grupo'!$G70,'Plan CP'!$K:$P,3,FALSE),0),0)))</f>
        <v>0</v>
      </c>
      <c r="AH70" s="58">
        <f>IF(AG70&gt;1,AG70-1,IF(COUNTIFS('Plan CP'!$O:$O,'PR Grupo'!$G70,'Plan CP'!$P:$P,'PR Grupo'!AH$3,'Plan CP'!$M:$M,1)=1,1,IF(IFERROR(VLOOKUP('PR Grupo'!AH$3&amp;'PR Grupo'!$G70,'Plan CP'!$K:$P,3,FALSE)&gt;1,0),IFERROR(VLOOKUP('PR Grupo'!AH$3&amp;'PR Grupo'!$G70,'Plan CP'!$K:$P,3,FALSE),0),0)))</f>
        <v>0</v>
      </c>
      <c r="AI70" s="58">
        <f>IF(AH70&gt;1,AH70-1,IF(COUNTIFS('Plan CP'!$O:$O,'PR Grupo'!$G70,'Plan CP'!$P:$P,'PR Grupo'!AI$3,'Plan CP'!$M:$M,1)=1,1,IF(IFERROR(VLOOKUP('PR Grupo'!AI$3&amp;'PR Grupo'!$G70,'Plan CP'!$K:$P,3,FALSE)&gt;1,0),IFERROR(VLOOKUP('PR Grupo'!AI$3&amp;'PR Grupo'!$G70,'Plan CP'!$K:$P,3,FALSE),0),0)))</f>
        <v>0</v>
      </c>
      <c r="AJ70" s="58">
        <f>IF(AI70&gt;1,AI70-1,IF(COUNTIFS('Plan CP'!$O:$O,'PR Grupo'!$G70,'Plan CP'!$P:$P,'PR Grupo'!AJ$3,'Plan CP'!$M:$M,1)=1,1,IF(IFERROR(VLOOKUP('PR Grupo'!AJ$3&amp;'PR Grupo'!$G70,'Plan CP'!$K:$P,3,FALSE)&gt;1,0),IFERROR(VLOOKUP('PR Grupo'!AJ$3&amp;'PR Grupo'!$G70,'Plan CP'!$K:$P,3,FALSE),0),0)))</f>
        <v>0</v>
      </c>
      <c r="AK70" s="58">
        <f>IF(AJ70&gt;1,AJ70-1,IF(COUNTIFS('Plan CP'!$O:$O,'PR Grupo'!$G70,'Plan CP'!$P:$P,'PR Grupo'!AK$3,'Plan CP'!$M:$M,1)=1,1,IF(IFERROR(VLOOKUP('PR Grupo'!AK$3&amp;'PR Grupo'!$G70,'Plan CP'!$K:$P,3,FALSE)&gt;1,0),IFERROR(VLOOKUP('PR Grupo'!AK$3&amp;'PR Grupo'!$G70,'Plan CP'!$K:$P,3,FALSE),0),0)))</f>
        <v>0</v>
      </c>
      <c r="AL70" s="58">
        <f>IF(AK70&gt;1,AK70-1,IF(COUNTIFS('Plan CP'!$O:$O,'PR Grupo'!$G70,'Plan CP'!$P:$P,'PR Grupo'!AL$3,'Plan CP'!$M:$M,1)=1,1,IF(IFERROR(VLOOKUP('PR Grupo'!AL$3&amp;'PR Grupo'!$G70,'Plan CP'!$K:$P,3,FALSE)&gt;1,0),IFERROR(VLOOKUP('PR Grupo'!AL$3&amp;'PR Grupo'!$G70,'Plan CP'!$K:$P,3,FALSE),0),0)))</f>
        <v>0</v>
      </c>
      <c r="AM70" s="58">
        <f>IF(AL70&gt;1,AL70-1,IF(COUNTIFS('Plan CP'!$O:$O,'PR Grupo'!$G70,'Plan CP'!$P:$P,'PR Grupo'!AM$3,'Plan CP'!$M:$M,1)=1,1,IF(IFERROR(VLOOKUP('PR Grupo'!AM$3&amp;'PR Grupo'!$G70,'Plan CP'!$K:$P,3,FALSE)&gt;1,0),IFERROR(VLOOKUP('PR Grupo'!AM$3&amp;'PR Grupo'!$G70,'Plan CP'!$K:$P,3,FALSE),0),0)))</f>
        <v>0</v>
      </c>
      <c r="AN70" s="58">
        <f>IF(AM70&gt;1,AM70-1,IF(COUNTIFS('Plan CP'!$O:$O,'PR Grupo'!$G70,'Plan CP'!$P:$P,'PR Grupo'!AN$3,'Plan CP'!$M:$M,1)=1,1,IF(IFERROR(VLOOKUP('PR Grupo'!AN$3&amp;'PR Grupo'!$G70,'Plan CP'!$K:$P,3,FALSE)&gt;1,0),IFERROR(VLOOKUP('PR Grupo'!AN$3&amp;'PR Grupo'!$G70,'Plan CP'!$K:$P,3,FALSE),0),0)))</f>
        <v>0</v>
      </c>
      <c r="AO70" s="58">
        <f>IF(AN70&gt;1,AN70-1,IF(COUNTIFS('Plan CP'!$O:$O,'PR Grupo'!$G70,'Plan CP'!$P:$P,'PR Grupo'!AO$3,'Plan CP'!$M:$M,1)=1,1,IF(IFERROR(VLOOKUP('PR Grupo'!AO$3&amp;'PR Grupo'!$G70,'Plan CP'!$K:$P,3,FALSE)&gt;1,0),IFERROR(VLOOKUP('PR Grupo'!AO$3&amp;'PR Grupo'!$G70,'Plan CP'!$K:$P,3,FALSE),0),0)))</f>
        <v>0</v>
      </c>
    </row>
    <row r="71" spans="1:41">
      <c r="A71" s="21" t="s">
        <v>33</v>
      </c>
      <c r="B71" s="21" t="s">
        <v>42</v>
      </c>
      <c r="C71" s="21" t="s">
        <v>263</v>
      </c>
      <c r="D71" s="21" t="s">
        <v>277</v>
      </c>
      <c r="E71" s="24" t="s">
        <v>175</v>
      </c>
      <c r="F71" s="21" t="s">
        <v>277</v>
      </c>
      <c r="G71" s="21" t="s">
        <v>263</v>
      </c>
      <c r="H71" s="24">
        <v>20</v>
      </c>
      <c r="I71" s="33">
        <f t="shared" si="4"/>
        <v>10</v>
      </c>
      <c r="J71" s="33" t="str">
        <f t="shared" si="5"/>
        <v>NO OK</v>
      </c>
      <c r="K71" s="58">
        <f>IF(COUNTIFS('Plan CP'!$O:$O,'PR Grupo'!$G71,'Plan CP'!$P:$P,'PR Grupo'!K$3,'Plan CP'!$M:$M,1)=1,1,IF(IFERROR(VLOOKUP('PR Grupo'!K$3&amp;'PR Grupo'!$G71,'Plan CP'!$K:$P,3,FALSE)&gt;1,0),IFERROR(VLOOKUP('PR Grupo'!K$3&amp;'PR Grupo'!$G71,'Plan CP'!$K:$P,3,FALSE),0),0))</f>
        <v>10</v>
      </c>
      <c r="L71" s="58">
        <f>IF(K71&gt;1,K71-1,IF(COUNTIFS('Plan CP'!$O:$O,'PR Grupo'!$G71,'Plan CP'!$P:$P,'PR Grupo'!L$3,'Plan CP'!$M:$M,1)=1,1,IF(IFERROR(VLOOKUP('PR Grupo'!L$3&amp;'PR Grupo'!$G71,'Plan CP'!$K:$P,3,FALSE)&gt;1,0),IFERROR(VLOOKUP('PR Grupo'!L$3&amp;'PR Grupo'!$G71,'Plan CP'!$K:$P,3,FALSE),0),0)))</f>
        <v>9</v>
      </c>
      <c r="M71" s="58">
        <f>IF(L71&gt;1,L71-1,IF(COUNTIFS('Plan CP'!$O:$O,'PR Grupo'!$G71,'Plan CP'!$P:$P,'PR Grupo'!M$3,'Plan CP'!$M:$M,1)=1,1,IF(IFERROR(VLOOKUP('PR Grupo'!M$3&amp;'PR Grupo'!$G71,'Plan CP'!$K:$P,3,FALSE)&gt;1,0),IFERROR(VLOOKUP('PR Grupo'!M$3&amp;'PR Grupo'!$G71,'Plan CP'!$K:$P,3,FALSE),0),0)))</f>
        <v>8</v>
      </c>
      <c r="N71" s="58">
        <f>IF(M71&gt;1,M71-1,IF(COUNTIFS('Plan CP'!$O:$O,'PR Grupo'!$G71,'Plan CP'!$P:$P,'PR Grupo'!N$3,'Plan CP'!$M:$M,1)=1,1,IF(IFERROR(VLOOKUP('PR Grupo'!N$3&amp;'PR Grupo'!$G71,'Plan CP'!$K:$P,3,FALSE)&gt;1,0),IFERROR(VLOOKUP('PR Grupo'!N$3&amp;'PR Grupo'!$G71,'Plan CP'!$K:$P,3,FALSE),0),0)))</f>
        <v>7</v>
      </c>
      <c r="O71" s="58">
        <f>IF(N71&gt;1,N71-1,IF(COUNTIFS('Plan CP'!$O:$O,'PR Grupo'!$G71,'Plan CP'!$P:$P,'PR Grupo'!O$3,'Plan CP'!$M:$M,1)=1,1,IF(IFERROR(VLOOKUP('PR Grupo'!O$3&amp;'PR Grupo'!$G71,'Plan CP'!$K:$P,3,FALSE)&gt;1,0),IFERROR(VLOOKUP('PR Grupo'!O$3&amp;'PR Grupo'!$G71,'Plan CP'!$K:$P,3,FALSE),0),0)))</f>
        <v>6</v>
      </c>
      <c r="P71" s="58">
        <f>IF(O71&gt;1,O71-1,IF(COUNTIFS('Plan CP'!$O:$O,'PR Grupo'!$G71,'Plan CP'!$P:$P,'PR Grupo'!P$3,'Plan CP'!$M:$M,1)=1,1,IF(IFERROR(VLOOKUP('PR Grupo'!P$3&amp;'PR Grupo'!$G71,'Plan CP'!$K:$P,3,FALSE)&gt;1,0),IFERROR(VLOOKUP('PR Grupo'!P$3&amp;'PR Grupo'!$G71,'Plan CP'!$K:$P,3,FALSE),0),0)))</f>
        <v>5</v>
      </c>
      <c r="Q71" s="58">
        <f>IF(P71&gt;1,P71-1,IF(COUNTIFS('Plan CP'!$O:$O,'PR Grupo'!$G71,'Plan CP'!$P:$P,'PR Grupo'!Q$3,'Plan CP'!$M:$M,1)=1,1,IF(IFERROR(VLOOKUP('PR Grupo'!Q$3&amp;'PR Grupo'!$G71,'Plan CP'!$K:$P,3,FALSE)&gt;1,0),IFERROR(VLOOKUP('PR Grupo'!Q$3&amp;'PR Grupo'!$G71,'Plan CP'!$K:$P,3,FALSE),0),0)))</f>
        <v>4</v>
      </c>
      <c r="R71" s="58">
        <f>IF(Q71&gt;1,Q71-1,IF(COUNTIFS('Plan CP'!$O:$O,'PR Grupo'!$G71,'Plan CP'!$P:$P,'PR Grupo'!R$3,'Plan CP'!$M:$M,1)=1,1,IF(IFERROR(VLOOKUP('PR Grupo'!R$3&amp;'PR Grupo'!$G71,'Plan CP'!$K:$P,3,FALSE)&gt;1,0),IFERROR(VLOOKUP('PR Grupo'!R$3&amp;'PR Grupo'!$G71,'Plan CP'!$K:$P,3,FALSE),0),0)))</f>
        <v>3</v>
      </c>
      <c r="S71" s="58">
        <f>IF(R71&gt;1,R71-1,IF(COUNTIFS('Plan CP'!$O:$O,'PR Grupo'!$G71,'Plan CP'!$P:$P,'PR Grupo'!S$3,'Plan CP'!$M:$M,1)=1,1,IF(IFERROR(VLOOKUP('PR Grupo'!S$3&amp;'PR Grupo'!$G71,'Plan CP'!$K:$P,3,FALSE)&gt;1,0),IFERROR(VLOOKUP('PR Grupo'!S$3&amp;'PR Grupo'!$G71,'Plan CP'!$K:$P,3,FALSE),0),0)))</f>
        <v>2</v>
      </c>
      <c r="T71" s="58">
        <f>IF(S71&gt;1,S71-1,IF(COUNTIFS('Plan CP'!$O:$O,'PR Grupo'!$G71,'Plan CP'!$P:$P,'PR Grupo'!T$3,'Plan CP'!$M:$M,1)=1,1,IF(IFERROR(VLOOKUP('PR Grupo'!T$3&amp;'PR Grupo'!$G71,'Plan CP'!$K:$P,3,FALSE)&gt;1,0),IFERROR(VLOOKUP('PR Grupo'!T$3&amp;'PR Grupo'!$G71,'Plan CP'!$K:$P,3,FALSE),0),0)))</f>
        <v>1</v>
      </c>
      <c r="U71" s="58">
        <f>IF(T71&gt;1,T71-1,IF(COUNTIFS('Plan CP'!$O:$O,'PR Grupo'!$G71,'Plan CP'!$P:$P,'PR Grupo'!U$3,'Plan CP'!$M:$M,1)=1,1,IF(IFERROR(VLOOKUP('PR Grupo'!U$3&amp;'PR Grupo'!$G71,'Plan CP'!$K:$P,3,FALSE)&gt;1,0),IFERROR(VLOOKUP('PR Grupo'!U$3&amp;'PR Grupo'!$G71,'Plan CP'!$K:$P,3,FALSE),0),0)))</f>
        <v>0</v>
      </c>
      <c r="V71" s="58">
        <f>IF(U71&gt;1,U71-1,IF(COUNTIFS('Plan CP'!$O:$O,'PR Grupo'!$G71,'Plan CP'!$P:$P,'PR Grupo'!V$3,'Plan CP'!$M:$M,1)=1,1,IF(IFERROR(VLOOKUP('PR Grupo'!V$3&amp;'PR Grupo'!$G71,'Plan CP'!$K:$P,3,FALSE)&gt;1,0),IFERROR(VLOOKUP('PR Grupo'!V$3&amp;'PR Grupo'!$G71,'Plan CP'!$K:$P,3,FALSE),0),0)))</f>
        <v>0</v>
      </c>
      <c r="W71" s="58">
        <f>IF(V71&gt;1,V71-1,IF(COUNTIFS('Plan CP'!$O:$O,'PR Grupo'!$G71,'Plan CP'!$P:$P,'PR Grupo'!W$3,'Plan CP'!$M:$M,1)=1,1,IF(IFERROR(VLOOKUP('PR Grupo'!W$3&amp;'PR Grupo'!$G71,'Plan CP'!$K:$P,3,FALSE)&gt;1,0),IFERROR(VLOOKUP('PR Grupo'!W$3&amp;'PR Grupo'!$G71,'Plan CP'!$K:$P,3,FALSE),0),0)))</f>
        <v>0</v>
      </c>
      <c r="X71" s="58">
        <f>IF(W71&gt;1,W71-1,IF(COUNTIFS('Plan CP'!$O:$O,'PR Grupo'!$G71,'Plan CP'!$P:$P,'PR Grupo'!X$3,'Plan CP'!$M:$M,1)=1,1,IF(IFERROR(VLOOKUP('PR Grupo'!X$3&amp;'PR Grupo'!$G71,'Plan CP'!$K:$P,3,FALSE)&gt;1,0),IFERROR(VLOOKUP('PR Grupo'!X$3&amp;'PR Grupo'!$G71,'Plan CP'!$K:$P,3,FALSE),0),0)))</f>
        <v>0</v>
      </c>
      <c r="Y71" s="58">
        <f>IF(X71&gt;1,X71-1,IF(COUNTIFS('Plan CP'!$O:$O,'PR Grupo'!$G71,'Plan CP'!$P:$P,'PR Grupo'!Y$3,'Plan CP'!$M:$M,1)=1,1,IF(IFERROR(VLOOKUP('PR Grupo'!Y$3&amp;'PR Grupo'!$G71,'Plan CP'!$K:$P,3,FALSE)&gt;1,0),IFERROR(VLOOKUP('PR Grupo'!Y$3&amp;'PR Grupo'!$G71,'Plan CP'!$K:$P,3,FALSE),0),0)))</f>
        <v>0</v>
      </c>
      <c r="Z71" s="58">
        <f>IF(Y71&gt;1,Y71-1,IF(COUNTIFS('Plan CP'!$O:$O,'PR Grupo'!$G71,'Plan CP'!$P:$P,'PR Grupo'!Z$3,'Plan CP'!$M:$M,1)=1,1,IF(IFERROR(VLOOKUP('PR Grupo'!Z$3&amp;'PR Grupo'!$G71,'Plan CP'!$K:$P,3,FALSE)&gt;1,0),IFERROR(VLOOKUP('PR Grupo'!Z$3&amp;'PR Grupo'!$G71,'Plan CP'!$K:$P,3,FALSE),0),0)))</f>
        <v>0</v>
      </c>
      <c r="AA71" s="58">
        <f>IF(Z71&gt;1,Z71-1,IF(COUNTIFS('Plan CP'!$O:$O,'PR Grupo'!$G71,'Plan CP'!$P:$P,'PR Grupo'!AA$3,'Plan CP'!$M:$M,1)=1,1,IF(IFERROR(VLOOKUP('PR Grupo'!AA$3&amp;'PR Grupo'!$G71,'Plan CP'!$K:$P,3,FALSE)&gt;1,0),IFERROR(VLOOKUP('PR Grupo'!AA$3&amp;'PR Grupo'!$G71,'Plan CP'!$K:$P,3,FALSE),0),0)))</f>
        <v>0</v>
      </c>
      <c r="AB71" s="58">
        <f>IF(AA71&gt;1,AA71-1,IF(COUNTIFS('Plan CP'!$O:$O,'PR Grupo'!$G71,'Plan CP'!$P:$P,'PR Grupo'!AB$3,'Plan CP'!$M:$M,1)=1,1,IF(IFERROR(VLOOKUP('PR Grupo'!AB$3&amp;'PR Grupo'!$G71,'Plan CP'!$K:$P,3,FALSE)&gt;1,0),IFERROR(VLOOKUP('PR Grupo'!AB$3&amp;'PR Grupo'!$G71,'Plan CP'!$K:$P,3,FALSE),0),0)))</f>
        <v>0</v>
      </c>
      <c r="AC71" s="58">
        <f>IF(AB71&gt;1,AB71-1,IF(COUNTIFS('Plan CP'!$O:$O,'PR Grupo'!$G71,'Plan CP'!$P:$P,'PR Grupo'!AC$3,'Plan CP'!$M:$M,1)=1,1,IF(IFERROR(VLOOKUP('PR Grupo'!AC$3&amp;'PR Grupo'!$G71,'Plan CP'!$K:$P,3,FALSE)&gt;1,0),IFERROR(VLOOKUP('PR Grupo'!AC$3&amp;'PR Grupo'!$G71,'Plan CP'!$K:$P,3,FALSE),0),0)))</f>
        <v>0</v>
      </c>
      <c r="AD71" s="58">
        <f>IF(AC71&gt;1,AC71-1,IF(COUNTIFS('Plan CP'!$O:$O,'PR Grupo'!$G71,'Plan CP'!$P:$P,'PR Grupo'!AD$3,'Plan CP'!$M:$M,1)=1,1,IF(IFERROR(VLOOKUP('PR Grupo'!AD$3&amp;'PR Grupo'!$G71,'Plan CP'!$K:$P,3,FALSE)&gt;1,0),IFERROR(VLOOKUP('PR Grupo'!AD$3&amp;'PR Grupo'!$G71,'Plan CP'!$K:$P,3,FALSE),0),0)))</f>
        <v>0</v>
      </c>
      <c r="AE71" s="58">
        <f>IF(AD71&gt;1,AD71-1,IF(COUNTIFS('Plan CP'!$O:$O,'PR Grupo'!$G71,'Plan CP'!$P:$P,'PR Grupo'!AE$3,'Plan CP'!$M:$M,1)=1,1,IF(IFERROR(VLOOKUP('PR Grupo'!AE$3&amp;'PR Grupo'!$G71,'Plan CP'!$K:$P,3,FALSE)&gt;1,0),IFERROR(VLOOKUP('PR Grupo'!AE$3&amp;'PR Grupo'!$G71,'Plan CP'!$K:$P,3,FALSE),0),0)))</f>
        <v>0</v>
      </c>
      <c r="AF71" s="58">
        <f>IF(AE71&gt;1,AE71-1,IF(COUNTIFS('Plan CP'!$O:$O,'PR Grupo'!$G71,'Plan CP'!$P:$P,'PR Grupo'!AF$3,'Plan CP'!$M:$M,1)=1,1,IF(IFERROR(VLOOKUP('PR Grupo'!AF$3&amp;'PR Grupo'!$G71,'Plan CP'!$K:$P,3,FALSE)&gt;1,0),IFERROR(VLOOKUP('PR Grupo'!AF$3&amp;'PR Grupo'!$G71,'Plan CP'!$K:$P,3,FALSE),0),0)))</f>
        <v>0</v>
      </c>
      <c r="AG71" s="58">
        <f>IF(AF71&gt;1,AF71-1,IF(COUNTIFS('Plan CP'!$O:$O,'PR Grupo'!$G71,'Plan CP'!$P:$P,'PR Grupo'!AG$3,'Plan CP'!$M:$M,1)=1,1,IF(IFERROR(VLOOKUP('PR Grupo'!AG$3&amp;'PR Grupo'!$G71,'Plan CP'!$K:$P,3,FALSE)&gt;1,0),IFERROR(VLOOKUP('PR Grupo'!AG$3&amp;'PR Grupo'!$G71,'Plan CP'!$K:$P,3,FALSE),0),0)))</f>
        <v>0</v>
      </c>
      <c r="AH71" s="58">
        <f>IF(AG71&gt;1,AG71-1,IF(COUNTIFS('Plan CP'!$O:$O,'PR Grupo'!$G71,'Plan CP'!$P:$P,'PR Grupo'!AH$3,'Plan CP'!$M:$M,1)=1,1,IF(IFERROR(VLOOKUP('PR Grupo'!AH$3&amp;'PR Grupo'!$G71,'Plan CP'!$K:$P,3,FALSE)&gt;1,0),IFERROR(VLOOKUP('PR Grupo'!AH$3&amp;'PR Grupo'!$G71,'Plan CP'!$K:$P,3,FALSE),0),0)))</f>
        <v>0</v>
      </c>
      <c r="AI71" s="58">
        <f>IF(AH71&gt;1,AH71-1,IF(COUNTIFS('Plan CP'!$O:$O,'PR Grupo'!$G71,'Plan CP'!$P:$P,'PR Grupo'!AI$3,'Plan CP'!$M:$M,1)=1,1,IF(IFERROR(VLOOKUP('PR Grupo'!AI$3&amp;'PR Grupo'!$G71,'Plan CP'!$K:$P,3,FALSE)&gt;1,0),IFERROR(VLOOKUP('PR Grupo'!AI$3&amp;'PR Grupo'!$G71,'Plan CP'!$K:$P,3,FALSE),0),0)))</f>
        <v>0</v>
      </c>
      <c r="AJ71" s="58">
        <f>IF(AI71&gt;1,AI71-1,IF(COUNTIFS('Plan CP'!$O:$O,'PR Grupo'!$G71,'Plan CP'!$P:$P,'PR Grupo'!AJ$3,'Plan CP'!$M:$M,1)=1,1,IF(IFERROR(VLOOKUP('PR Grupo'!AJ$3&amp;'PR Grupo'!$G71,'Plan CP'!$K:$P,3,FALSE)&gt;1,0),IFERROR(VLOOKUP('PR Grupo'!AJ$3&amp;'PR Grupo'!$G71,'Plan CP'!$K:$P,3,FALSE),0),0)))</f>
        <v>0</v>
      </c>
      <c r="AK71" s="58">
        <f>IF(AJ71&gt;1,AJ71-1,IF(COUNTIFS('Plan CP'!$O:$O,'PR Grupo'!$G71,'Plan CP'!$P:$P,'PR Grupo'!AK$3,'Plan CP'!$M:$M,1)=1,1,IF(IFERROR(VLOOKUP('PR Grupo'!AK$3&amp;'PR Grupo'!$G71,'Plan CP'!$K:$P,3,FALSE)&gt;1,0),IFERROR(VLOOKUP('PR Grupo'!AK$3&amp;'PR Grupo'!$G71,'Plan CP'!$K:$P,3,FALSE),0),0)))</f>
        <v>0</v>
      </c>
      <c r="AL71" s="58">
        <f>IF(AK71&gt;1,AK71-1,IF(COUNTIFS('Plan CP'!$O:$O,'PR Grupo'!$G71,'Plan CP'!$P:$P,'PR Grupo'!AL$3,'Plan CP'!$M:$M,1)=1,1,IF(IFERROR(VLOOKUP('PR Grupo'!AL$3&amp;'PR Grupo'!$G71,'Plan CP'!$K:$P,3,FALSE)&gt;1,0),IFERROR(VLOOKUP('PR Grupo'!AL$3&amp;'PR Grupo'!$G71,'Plan CP'!$K:$P,3,FALSE),0),0)))</f>
        <v>0</v>
      </c>
      <c r="AM71" s="58">
        <f>IF(AL71&gt;1,AL71-1,IF(COUNTIFS('Plan CP'!$O:$O,'PR Grupo'!$G71,'Plan CP'!$P:$P,'PR Grupo'!AM$3,'Plan CP'!$M:$M,1)=1,1,IF(IFERROR(VLOOKUP('PR Grupo'!AM$3&amp;'PR Grupo'!$G71,'Plan CP'!$K:$P,3,FALSE)&gt;1,0),IFERROR(VLOOKUP('PR Grupo'!AM$3&amp;'PR Grupo'!$G71,'Plan CP'!$K:$P,3,FALSE),0),0)))</f>
        <v>0</v>
      </c>
      <c r="AN71" s="58">
        <f>IF(AM71&gt;1,AM71-1,IF(COUNTIFS('Plan CP'!$O:$O,'PR Grupo'!$G71,'Plan CP'!$P:$P,'PR Grupo'!AN$3,'Plan CP'!$M:$M,1)=1,1,IF(IFERROR(VLOOKUP('PR Grupo'!AN$3&amp;'PR Grupo'!$G71,'Plan CP'!$K:$P,3,FALSE)&gt;1,0),IFERROR(VLOOKUP('PR Grupo'!AN$3&amp;'PR Grupo'!$G71,'Plan CP'!$K:$P,3,FALSE),0),0)))</f>
        <v>0</v>
      </c>
      <c r="AO71" s="58">
        <f>IF(AN71&gt;1,AN71-1,IF(COUNTIFS('Plan CP'!$O:$O,'PR Grupo'!$G71,'Plan CP'!$P:$P,'PR Grupo'!AO$3,'Plan CP'!$M:$M,1)=1,1,IF(IFERROR(VLOOKUP('PR Grupo'!AO$3&amp;'PR Grupo'!$G71,'Plan CP'!$K:$P,3,FALSE)&gt;1,0),IFERROR(VLOOKUP('PR Grupo'!AO$3&amp;'PR Grupo'!$G71,'Plan CP'!$K:$P,3,FALSE),0),0)))</f>
        <v>0</v>
      </c>
    </row>
  </sheetData>
  <mergeCells count="1">
    <mergeCell ref="I2:J2"/>
  </mergeCells>
  <phoneticPr fontId="10" type="noConversion"/>
  <conditionalFormatting sqref="K4:AO1048576">
    <cfRule type="cellIs" dxfId="1" priority="1" operator="equal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CC8D-2F0A-FB4F-B4EC-0C2FC4BF9B72}">
  <dimension ref="A1:AF87"/>
  <sheetViews>
    <sheetView topLeftCell="H1" zoomScale="90" zoomScaleNormal="90" workbookViewId="0">
      <selection activeCell="F11" sqref="F11"/>
    </sheetView>
  </sheetViews>
  <sheetFormatPr baseColWidth="10" defaultRowHeight="16"/>
  <cols>
    <col min="1" max="1" width="16.6640625" style="6" customWidth="1"/>
    <col min="2" max="3" width="10.83203125" style="6"/>
    <col min="4" max="4" width="22" style="6" customWidth="1"/>
    <col min="5" max="5" width="30.1640625" style="6" customWidth="1"/>
    <col min="6" max="6" width="18.1640625" style="6" customWidth="1"/>
    <col min="7" max="7" width="20.1640625" style="6" customWidth="1"/>
    <col min="8" max="8" width="19.6640625" style="6" customWidth="1"/>
    <col min="9" max="11" width="10.83203125" style="6"/>
    <col min="12" max="12" width="25.1640625" style="6" customWidth="1"/>
    <col min="13" max="17" width="10.83203125" style="6"/>
    <col min="18" max="18" width="15" style="6" customWidth="1"/>
    <col min="19" max="21" width="10.83203125" style="6"/>
    <col min="22" max="22" width="12.83203125" style="6" bestFit="1" customWidth="1"/>
    <col min="23" max="23" width="10.83203125" style="6"/>
    <col min="24" max="24" width="14.6640625" style="6" customWidth="1"/>
    <col min="25" max="25" width="15" style="6" customWidth="1"/>
    <col min="26" max="16384" width="10.83203125" style="6"/>
  </cols>
  <sheetData>
    <row r="1" spans="1:32">
      <c r="M1" s="49" t="s">
        <v>16</v>
      </c>
      <c r="N1" s="49"/>
      <c r="O1" s="49"/>
      <c r="P1" s="49"/>
      <c r="Q1" s="49"/>
      <c r="R1" s="49"/>
      <c r="S1" s="49"/>
      <c r="T1" s="49"/>
      <c r="U1" s="49"/>
      <c r="V1" s="48" t="s">
        <v>26</v>
      </c>
      <c r="W1" s="48"/>
      <c r="X1" s="48"/>
      <c r="Y1" s="48"/>
      <c r="Z1" s="48"/>
      <c r="AA1" s="48" t="s">
        <v>155</v>
      </c>
      <c r="AB1" s="48"/>
      <c r="AC1" s="48"/>
      <c r="AD1" s="48"/>
      <c r="AE1" s="48"/>
    </row>
    <row r="2" spans="1:32" s="7" customFormat="1" ht="68">
      <c r="A2" s="1" t="s">
        <v>0</v>
      </c>
      <c r="B2" s="1" t="s">
        <v>1</v>
      </c>
      <c r="C2" s="1" t="s">
        <v>2</v>
      </c>
      <c r="D2" s="5" t="s">
        <v>32</v>
      </c>
      <c r="E2" s="1" t="s">
        <v>58</v>
      </c>
      <c r="F2" s="1" t="s">
        <v>8</v>
      </c>
      <c r="G2" s="1" t="s">
        <v>4</v>
      </c>
      <c r="H2" s="1" t="s">
        <v>3</v>
      </c>
      <c r="I2" s="1" t="s">
        <v>5</v>
      </c>
      <c r="J2" s="1" t="s">
        <v>6</v>
      </c>
      <c r="K2" s="1" t="s">
        <v>7</v>
      </c>
      <c r="L2" s="3" t="s">
        <v>15</v>
      </c>
      <c r="M2" s="9" t="s">
        <v>17</v>
      </c>
      <c r="N2" s="9" t="s">
        <v>18</v>
      </c>
      <c r="O2" s="9" t="s">
        <v>19</v>
      </c>
      <c r="P2" s="9" t="s">
        <v>25</v>
      </c>
      <c r="Q2" s="9" t="s">
        <v>20</v>
      </c>
      <c r="R2" s="9" t="s">
        <v>21</v>
      </c>
      <c r="S2" s="9" t="s">
        <v>22</v>
      </c>
      <c r="T2" s="9" t="s">
        <v>23</v>
      </c>
      <c r="U2" s="9" t="s">
        <v>24</v>
      </c>
      <c r="V2" s="10" t="s">
        <v>27</v>
      </c>
      <c r="W2" s="10" t="s">
        <v>28</v>
      </c>
      <c r="X2" s="10" t="s">
        <v>29</v>
      </c>
      <c r="Y2" s="10" t="s">
        <v>30</v>
      </c>
      <c r="Z2" s="10" t="s">
        <v>31</v>
      </c>
      <c r="AA2" s="14" t="s">
        <v>157</v>
      </c>
      <c r="AB2" s="14" t="s">
        <v>158</v>
      </c>
      <c r="AC2" s="14" t="s">
        <v>159</v>
      </c>
      <c r="AD2" s="14" t="s">
        <v>156</v>
      </c>
      <c r="AE2" s="14" t="s">
        <v>160</v>
      </c>
      <c r="AF2" s="53" t="s">
        <v>295</v>
      </c>
    </row>
    <row r="3" spans="1:32">
      <c r="A3" s="21" t="s">
        <v>59</v>
      </c>
      <c r="B3" s="4" t="s">
        <v>33</v>
      </c>
      <c r="C3" s="4" t="s">
        <v>34</v>
      </c>
      <c r="D3" s="4" t="s">
        <v>35</v>
      </c>
      <c r="E3" s="39" t="s">
        <v>36</v>
      </c>
      <c r="F3" s="40" t="s">
        <v>298</v>
      </c>
      <c r="G3" s="11" t="s">
        <v>141</v>
      </c>
      <c r="H3" s="21" t="s">
        <v>291</v>
      </c>
      <c r="I3" s="22">
        <v>1</v>
      </c>
      <c r="J3" s="22">
        <v>-12.140920837065</v>
      </c>
      <c r="K3" s="22">
        <v>-76.995036793622802</v>
      </c>
      <c r="L3" s="13"/>
      <c r="M3" s="12">
        <v>15</v>
      </c>
      <c r="N3" s="12">
        <v>2</v>
      </c>
      <c r="O3" s="12">
        <v>2</v>
      </c>
      <c r="P3" s="12">
        <v>13</v>
      </c>
      <c r="Q3" s="12">
        <v>4</v>
      </c>
      <c r="R3" s="12">
        <v>4</v>
      </c>
      <c r="S3" s="12">
        <v>0</v>
      </c>
      <c r="T3" s="12">
        <v>0</v>
      </c>
      <c r="U3" s="12">
        <v>0</v>
      </c>
      <c r="V3" s="13">
        <v>2</v>
      </c>
      <c r="W3" s="13">
        <v>0</v>
      </c>
      <c r="X3" s="13">
        <v>0</v>
      </c>
      <c r="Y3" s="13">
        <v>0</v>
      </c>
      <c r="Z3" s="13">
        <v>2</v>
      </c>
      <c r="AA3" s="13">
        <v>2</v>
      </c>
      <c r="AB3" s="13">
        <v>5</v>
      </c>
      <c r="AC3" s="13">
        <v>3</v>
      </c>
      <c r="AD3" s="13">
        <v>1</v>
      </c>
      <c r="AE3" s="13">
        <v>1</v>
      </c>
    </row>
    <row r="4" spans="1:32">
      <c r="A4" s="21" t="s">
        <v>60</v>
      </c>
      <c r="B4" s="4" t="s">
        <v>33</v>
      </c>
      <c r="C4" s="4" t="s">
        <v>37</v>
      </c>
      <c r="D4" s="4" t="s">
        <v>35</v>
      </c>
      <c r="E4" s="39" t="s">
        <v>38</v>
      </c>
      <c r="F4" s="40" t="s">
        <v>10</v>
      </c>
      <c r="G4" s="11" t="s">
        <v>141</v>
      </c>
      <c r="H4" s="21" t="s">
        <v>290</v>
      </c>
      <c r="I4" s="22">
        <v>1</v>
      </c>
      <c r="J4" s="22">
        <v>-12.140608552976</v>
      </c>
      <c r="K4" s="22">
        <v>-76.9748264272488</v>
      </c>
      <c r="L4" s="13" t="s">
        <v>293</v>
      </c>
      <c r="M4" s="12">
        <v>15</v>
      </c>
      <c r="N4" s="12">
        <v>2</v>
      </c>
      <c r="O4" s="12">
        <v>2</v>
      </c>
      <c r="P4" s="12">
        <v>13</v>
      </c>
      <c r="Q4" s="12">
        <v>4</v>
      </c>
      <c r="R4" s="12">
        <v>4</v>
      </c>
      <c r="S4" s="12">
        <v>0</v>
      </c>
      <c r="T4" s="12">
        <v>0</v>
      </c>
      <c r="U4" s="12">
        <v>0</v>
      </c>
      <c r="V4" s="13">
        <v>2</v>
      </c>
      <c r="W4" s="13">
        <v>0</v>
      </c>
      <c r="X4" s="13">
        <v>0</v>
      </c>
      <c r="Y4" s="13">
        <v>0</v>
      </c>
      <c r="Z4" s="13">
        <v>2</v>
      </c>
      <c r="AA4" s="13">
        <v>2</v>
      </c>
      <c r="AB4" s="13">
        <v>5</v>
      </c>
      <c r="AC4" s="13">
        <v>3</v>
      </c>
      <c r="AD4" s="13">
        <v>1</v>
      </c>
      <c r="AE4" s="13">
        <v>1</v>
      </c>
    </row>
    <row r="5" spans="1:32">
      <c r="A5" s="21" t="s">
        <v>61</v>
      </c>
      <c r="B5" s="4" t="s">
        <v>33</v>
      </c>
      <c r="C5" s="4" t="s">
        <v>39</v>
      </c>
      <c r="D5" s="4" t="s">
        <v>35</v>
      </c>
      <c r="E5" s="39" t="s">
        <v>36</v>
      </c>
      <c r="F5" s="40" t="s">
        <v>11</v>
      </c>
      <c r="G5" s="11" t="s">
        <v>142</v>
      </c>
      <c r="H5" s="21" t="s">
        <v>181</v>
      </c>
      <c r="I5" s="22">
        <v>1</v>
      </c>
      <c r="J5" s="22">
        <v>-12.100790894225501</v>
      </c>
      <c r="K5" s="22">
        <v>-76.971543457099102</v>
      </c>
      <c r="L5" s="13"/>
      <c r="M5" s="12">
        <v>15</v>
      </c>
      <c r="N5" s="12">
        <v>2</v>
      </c>
      <c r="O5" s="12">
        <v>2</v>
      </c>
      <c r="P5" s="12">
        <v>13</v>
      </c>
      <c r="Q5" s="12">
        <v>4</v>
      </c>
      <c r="R5" s="12">
        <v>4</v>
      </c>
      <c r="S5" s="12">
        <v>0</v>
      </c>
      <c r="T5" s="12">
        <v>0</v>
      </c>
      <c r="U5" s="12">
        <v>0</v>
      </c>
      <c r="V5" s="13">
        <v>2</v>
      </c>
      <c r="W5" s="13">
        <v>0</v>
      </c>
      <c r="X5" s="13">
        <v>0</v>
      </c>
      <c r="Y5" s="13">
        <v>0</v>
      </c>
      <c r="Z5" s="13">
        <v>2</v>
      </c>
      <c r="AA5" s="13">
        <v>2</v>
      </c>
      <c r="AB5" s="13">
        <v>5</v>
      </c>
      <c r="AC5" s="13">
        <v>3</v>
      </c>
      <c r="AD5" s="13">
        <v>1</v>
      </c>
      <c r="AE5" s="13">
        <v>1</v>
      </c>
    </row>
    <row r="6" spans="1:32">
      <c r="A6" s="21" t="s">
        <v>62</v>
      </c>
      <c r="B6" s="4" t="s">
        <v>33</v>
      </c>
      <c r="C6" s="4" t="s">
        <v>39</v>
      </c>
      <c r="D6" s="4" t="s">
        <v>35</v>
      </c>
      <c r="E6" s="39" t="s">
        <v>36</v>
      </c>
      <c r="F6" s="40" t="s">
        <v>12</v>
      </c>
      <c r="G6" s="11" t="s">
        <v>143</v>
      </c>
      <c r="H6" s="21" t="s">
        <v>284</v>
      </c>
      <c r="I6" s="22">
        <v>1</v>
      </c>
      <c r="J6" s="22">
        <v>-12.1304175900431</v>
      </c>
      <c r="K6" s="22">
        <v>-76.980578726342998</v>
      </c>
      <c r="L6" s="13"/>
      <c r="M6" s="12">
        <v>15</v>
      </c>
      <c r="N6" s="12">
        <v>2</v>
      </c>
      <c r="O6" s="12">
        <v>2</v>
      </c>
      <c r="P6" s="12">
        <v>13</v>
      </c>
      <c r="Q6" s="12">
        <v>4</v>
      </c>
      <c r="R6" s="12">
        <v>4</v>
      </c>
      <c r="S6" s="12">
        <v>0</v>
      </c>
      <c r="T6" s="12">
        <v>0</v>
      </c>
      <c r="U6" s="12">
        <v>0</v>
      </c>
      <c r="V6" s="13">
        <v>2</v>
      </c>
      <c r="W6" s="13">
        <v>0</v>
      </c>
      <c r="X6" s="13">
        <v>0</v>
      </c>
      <c r="Y6" s="13">
        <v>0</v>
      </c>
      <c r="Z6" s="13">
        <v>2</v>
      </c>
      <c r="AA6" s="13">
        <v>2</v>
      </c>
      <c r="AB6" s="13">
        <v>5</v>
      </c>
      <c r="AC6" s="13">
        <v>3</v>
      </c>
      <c r="AD6" s="13">
        <v>1</v>
      </c>
      <c r="AE6" s="13">
        <v>1</v>
      </c>
    </row>
    <row r="7" spans="1:32">
      <c r="A7" s="21" t="s">
        <v>63</v>
      </c>
      <c r="B7" s="4" t="s">
        <v>33</v>
      </c>
      <c r="C7" s="4" t="s">
        <v>37</v>
      </c>
      <c r="D7" s="4" t="s">
        <v>35</v>
      </c>
      <c r="E7" s="39" t="s">
        <v>38</v>
      </c>
      <c r="F7" s="40" t="s">
        <v>13</v>
      </c>
      <c r="G7" s="11" t="s">
        <v>144</v>
      </c>
      <c r="H7" s="21" t="s">
        <v>285</v>
      </c>
      <c r="I7" s="22">
        <v>1</v>
      </c>
      <c r="J7" s="22">
        <v>-12.132078734209401</v>
      </c>
      <c r="K7" s="22">
        <v>-76.954881236255503</v>
      </c>
      <c r="L7" s="13"/>
      <c r="M7" s="12">
        <v>15</v>
      </c>
      <c r="N7" s="12">
        <v>2</v>
      </c>
      <c r="O7" s="12">
        <v>2</v>
      </c>
      <c r="P7" s="12">
        <v>13</v>
      </c>
      <c r="Q7" s="12">
        <v>4</v>
      </c>
      <c r="R7" s="12">
        <v>4</v>
      </c>
      <c r="S7" s="12">
        <v>0</v>
      </c>
      <c r="T7" s="12">
        <v>0</v>
      </c>
      <c r="U7" s="12">
        <v>0</v>
      </c>
      <c r="V7" s="13">
        <v>2</v>
      </c>
      <c r="W7" s="13">
        <v>0</v>
      </c>
      <c r="X7" s="13">
        <v>0</v>
      </c>
      <c r="Y7" s="13">
        <v>0</v>
      </c>
      <c r="Z7" s="13">
        <v>2</v>
      </c>
      <c r="AA7" s="13">
        <v>2</v>
      </c>
      <c r="AB7" s="13">
        <v>5</v>
      </c>
      <c r="AC7" s="13">
        <v>3</v>
      </c>
      <c r="AD7" s="13">
        <v>1</v>
      </c>
      <c r="AE7" s="13">
        <v>1</v>
      </c>
    </row>
    <row r="8" spans="1:32">
      <c r="A8" s="21" t="s">
        <v>64</v>
      </c>
      <c r="B8" s="4" t="s">
        <v>33</v>
      </c>
      <c r="C8" s="4" t="s">
        <v>39</v>
      </c>
      <c r="D8" s="4" t="s">
        <v>35</v>
      </c>
      <c r="E8" s="39" t="s">
        <v>36</v>
      </c>
      <c r="F8" s="40" t="s">
        <v>14</v>
      </c>
      <c r="G8" s="11" t="s">
        <v>145</v>
      </c>
      <c r="H8" s="21" t="s">
        <v>286</v>
      </c>
      <c r="I8" s="22">
        <v>1</v>
      </c>
      <c r="J8" s="22">
        <v>-12.1285727713173</v>
      </c>
      <c r="K8" s="22">
        <v>-76.997764752684304</v>
      </c>
      <c r="L8" s="13"/>
      <c r="M8" s="12">
        <v>15</v>
      </c>
      <c r="N8" s="12">
        <v>2</v>
      </c>
      <c r="O8" s="12">
        <v>2</v>
      </c>
      <c r="P8" s="12">
        <v>13</v>
      </c>
      <c r="Q8" s="12">
        <v>4</v>
      </c>
      <c r="R8" s="12">
        <v>4</v>
      </c>
      <c r="S8" s="12">
        <v>0</v>
      </c>
      <c r="T8" s="12">
        <v>0</v>
      </c>
      <c r="U8" s="12">
        <v>0</v>
      </c>
      <c r="V8" s="13">
        <v>2</v>
      </c>
      <c r="W8" s="13">
        <v>0</v>
      </c>
      <c r="X8" s="13">
        <v>0</v>
      </c>
      <c r="Y8" s="13">
        <v>0</v>
      </c>
      <c r="Z8" s="13">
        <v>2</v>
      </c>
      <c r="AA8" s="13">
        <v>2</v>
      </c>
      <c r="AB8" s="13">
        <v>5</v>
      </c>
      <c r="AC8" s="13">
        <v>3</v>
      </c>
      <c r="AD8" s="13">
        <v>1</v>
      </c>
      <c r="AE8" s="13">
        <v>1</v>
      </c>
    </row>
    <row r="9" spans="1:32">
      <c r="A9" s="21" t="s">
        <v>65</v>
      </c>
      <c r="B9" s="4" t="s">
        <v>33</v>
      </c>
      <c r="C9" s="4" t="s">
        <v>39</v>
      </c>
      <c r="D9" s="4" t="s">
        <v>35</v>
      </c>
      <c r="E9" s="39" t="s">
        <v>36</v>
      </c>
      <c r="F9" s="40" t="s">
        <v>140</v>
      </c>
      <c r="G9" s="11" t="s">
        <v>142</v>
      </c>
      <c r="H9" s="21" t="s">
        <v>287</v>
      </c>
      <c r="I9" s="22">
        <v>1</v>
      </c>
      <c r="J9" s="22">
        <v>-12.122128687454</v>
      </c>
      <c r="K9" s="22">
        <v>-76.9925322884243</v>
      </c>
      <c r="L9" s="13"/>
      <c r="M9" s="12">
        <v>15</v>
      </c>
      <c r="N9" s="12">
        <v>2</v>
      </c>
      <c r="O9" s="12">
        <v>2</v>
      </c>
      <c r="P9" s="12">
        <v>13</v>
      </c>
      <c r="Q9" s="12">
        <v>4</v>
      </c>
      <c r="R9" s="12">
        <v>4</v>
      </c>
      <c r="S9" s="12">
        <v>0</v>
      </c>
      <c r="T9" s="12">
        <v>0</v>
      </c>
      <c r="U9" s="12">
        <v>0</v>
      </c>
      <c r="V9" s="13">
        <v>2</v>
      </c>
      <c r="W9" s="13">
        <v>0</v>
      </c>
      <c r="X9" s="13">
        <v>0</v>
      </c>
      <c r="Y9" s="13">
        <v>0</v>
      </c>
      <c r="Z9" s="13">
        <v>2</v>
      </c>
      <c r="AA9" s="13">
        <v>2</v>
      </c>
      <c r="AB9" s="13">
        <v>5</v>
      </c>
      <c r="AC9" s="13">
        <v>3</v>
      </c>
      <c r="AD9" s="13">
        <v>1</v>
      </c>
      <c r="AE9" s="13">
        <v>1</v>
      </c>
    </row>
    <row r="10" spans="1:32">
      <c r="A10" s="21" t="s">
        <v>66</v>
      </c>
      <c r="B10" s="4" t="s">
        <v>33</v>
      </c>
      <c r="C10" s="4" t="s">
        <v>40</v>
      </c>
      <c r="D10" s="4" t="s">
        <v>35</v>
      </c>
      <c r="E10" s="39" t="s">
        <v>41</v>
      </c>
      <c r="F10" s="40" t="s">
        <v>9</v>
      </c>
      <c r="G10" s="11" t="s">
        <v>143</v>
      </c>
      <c r="H10" s="21" t="s">
        <v>288</v>
      </c>
      <c r="I10" s="22">
        <v>1</v>
      </c>
      <c r="J10" s="22">
        <v>-12.2022207886258</v>
      </c>
      <c r="K10" s="22">
        <v>-77.020581191153994</v>
      </c>
      <c r="L10" s="13"/>
      <c r="M10" s="12">
        <v>15</v>
      </c>
      <c r="N10" s="12">
        <v>2</v>
      </c>
      <c r="O10" s="12">
        <v>2</v>
      </c>
      <c r="P10" s="12">
        <v>13</v>
      </c>
      <c r="Q10" s="12">
        <v>4</v>
      </c>
      <c r="R10" s="12">
        <v>4</v>
      </c>
      <c r="S10" s="12">
        <v>0</v>
      </c>
      <c r="T10" s="12">
        <v>0</v>
      </c>
      <c r="U10" s="12">
        <v>0</v>
      </c>
      <c r="V10" s="13">
        <v>2</v>
      </c>
      <c r="W10" s="13">
        <v>0</v>
      </c>
      <c r="X10" s="13">
        <v>0</v>
      </c>
      <c r="Y10" s="13">
        <v>0</v>
      </c>
      <c r="Z10" s="13">
        <v>2</v>
      </c>
      <c r="AA10" s="13">
        <v>2</v>
      </c>
      <c r="AB10" s="13">
        <v>5</v>
      </c>
      <c r="AC10" s="13">
        <v>3</v>
      </c>
      <c r="AD10" s="13">
        <v>1</v>
      </c>
      <c r="AE10" s="13">
        <v>1</v>
      </c>
    </row>
    <row r="11" spans="1:32">
      <c r="A11" s="21" t="s">
        <v>67</v>
      </c>
      <c r="B11" s="4" t="s">
        <v>33</v>
      </c>
      <c r="C11" s="4" t="s">
        <v>42</v>
      </c>
      <c r="D11" s="4" t="s">
        <v>35</v>
      </c>
      <c r="E11" s="39" t="s">
        <v>43</v>
      </c>
      <c r="F11" s="40" t="s">
        <v>294</v>
      </c>
      <c r="G11" s="11" t="s">
        <v>144</v>
      </c>
      <c r="H11" s="21" t="s">
        <v>289</v>
      </c>
      <c r="I11" s="22">
        <v>1</v>
      </c>
      <c r="J11" s="22">
        <v>-12.163083126244</v>
      </c>
      <c r="K11" s="22">
        <v>-76.965184974820403</v>
      </c>
      <c r="L11" s="13"/>
      <c r="M11" s="12">
        <v>15</v>
      </c>
      <c r="N11" s="12">
        <v>2</v>
      </c>
      <c r="O11" s="12">
        <v>2</v>
      </c>
      <c r="P11" s="12">
        <v>13</v>
      </c>
      <c r="Q11" s="12">
        <v>4</v>
      </c>
      <c r="R11" s="12">
        <v>4</v>
      </c>
      <c r="S11" s="12">
        <v>0</v>
      </c>
      <c r="T11" s="12">
        <v>0</v>
      </c>
      <c r="U11" s="12">
        <v>0</v>
      </c>
      <c r="V11" s="13">
        <v>2</v>
      </c>
      <c r="W11" s="13">
        <v>0</v>
      </c>
      <c r="X11" s="13">
        <v>0</v>
      </c>
      <c r="Y11" s="13">
        <v>0</v>
      </c>
      <c r="Z11" s="13">
        <v>2</v>
      </c>
      <c r="AA11" s="13">
        <v>2</v>
      </c>
      <c r="AB11" s="13">
        <v>5</v>
      </c>
      <c r="AC11" s="13">
        <v>3</v>
      </c>
      <c r="AD11" s="13">
        <v>1</v>
      </c>
      <c r="AE11" s="13">
        <v>1</v>
      </c>
    </row>
    <row r="12" spans="1:32">
      <c r="A12" s="21" t="s">
        <v>68</v>
      </c>
      <c r="B12" s="4" t="s">
        <v>33</v>
      </c>
      <c r="C12" s="4" t="s">
        <v>42</v>
      </c>
      <c r="D12" s="4" t="s">
        <v>35</v>
      </c>
      <c r="E12" s="39" t="s">
        <v>43</v>
      </c>
      <c r="F12" s="21" t="s">
        <v>9</v>
      </c>
      <c r="G12" s="11" t="s">
        <v>146</v>
      </c>
      <c r="H12" s="21" t="s">
        <v>181</v>
      </c>
      <c r="I12" s="22">
        <v>1</v>
      </c>
      <c r="J12" s="22">
        <v>-12.191882158034501</v>
      </c>
      <c r="K12" s="22">
        <v>-76.956277135498794</v>
      </c>
      <c r="L12" s="13"/>
      <c r="M12" s="12">
        <v>15</v>
      </c>
      <c r="N12" s="12">
        <v>2</v>
      </c>
      <c r="O12" s="12">
        <v>2</v>
      </c>
      <c r="P12" s="12">
        <v>13</v>
      </c>
      <c r="Q12" s="12">
        <v>4</v>
      </c>
      <c r="R12" s="12">
        <v>4</v>
      </c>
      <c r="S12" s="12">
        <v>0</v>
      </c>
      <c r="T12" s="12">
        <v>0</v>
      </c>
      <c r="U12" s="12">
        <v>0</v>
      </c>
      <c r="V12" s="13">
        <v>2</v>
      </c>
      <c r="W12" s="13">
        <v>0</v>
      </c>
      <c r="X12" s="13">
        <v>0</v>
      </c>
      <c r="Y12" s="13">
        <v>0</v>
      </c>
      <c r="Z12" s="13">
        <v>2</v>
      </c>
      <c r="AA12" s="13">
        <v>2</v>
      </c>
      <c r="AB12" s="13">
        <v>5</v>
      </c>
      <c r="AC12" s="13">
        <v>3</v>
      </c>
      <c r="AD12" s="13">
        <v>1</v>
      </c>
      <c r="AE12" s="13">
        <v>1</v>
      </c>
    </row>
    <row r="13" spans="1:32">
      <c r="A13" s="21" t="s">
        <v>69</v>
      </c>
      <c r="B13" s="4" t="s">
        <v>33</v>
      </c>
      <c r="C13" s="4" t="s">
        <v>40</v>
      </c>
      <c r="D13" s="4" t="s">
        <v>35</v>
      </c>
      <c r="E13" s="39" t="s">
        <v>41</v>
      </c>
      <c r="F13" s="21" t="s">
        <v>9</v>
      </c>
      <c r="G13" s="11" t="s">
        <v>142</v>
      </c>
      <c r="H13" s="21" t="s">
        <v>284</v>
      </c>
      <c r="I13" s="22">
        <v>1</v>
      </c>
      <c r="J13" s="22">
        <v>-12.168759113356799</v>
      </c>
      <c r="K13" s="22">
        <v>-77.026180087287301</v>
      </c>
      <c r="L13" s="13"/>
      <c r="M13" s="12">
        <v>15</v>
      </c>
      <c r="N13" s="12">
        <v>2</v>
      </c>
      <c r="O13" s="12">
        <v>2</v>
      </c>
      <c r="P13" s="12">
        <v>13</v>
      </c>
      <c r="Q13" s="12">
        <v>4</v>
      </c>
      <c r="R13" s="12">
        <v>4</v>
      </c>
      <c r="S13" s="12">
        <v>0</v>
      </c>
      <c r="T13" s="12">
        <v>0</v>
      </c>
      <c r="U13" s="12">
        <v>0</v>
      </c>
      <c r="V13" s="13">
        <v>2</v>
      </c>
      <c r="W13" s="13">
        <v>0</v>
      </c>
      <c r="X13" s="13">
        <v>0</v>
      </c>
      <c r="Y13" s="13">
        <v>0</v>
      </c>
      <c r="Z13" s="13">
        <v>2</v>
      </c>
      <c r="AA13" s="13">
        <v>2</v>
      </c>
      <c r="AB13" s="13">
        <v>5</v>
      </c>
      <c r="AC13" s="13">
        <v>3</v>
      </c>
      <c r="AD13" s="13">
        <v>1</v>
      </c>
      <c r="AE13" s="13">
        <v>1</v>
      </c>
    </row>
    <row r="14" spans="1:32">
      <c r="A14" s="21" t="s">
        <v>70</v>
      </c>
      <c r="B14" s="4" t="s">
        <v>33</v>
      </c>
      <c r="C14" s="4" t="s">
        <v>44</v>
      </c>
      <c r="D14" s="4" t="s">
        <v>35</v>
      </c>
      <c r="E14" s="39" t="s">
        <v>45</v>
      </c>
      <c r="F14" s="21" t="s">
        <v>9</v>
      </c>
      <c r="G14" s="11" t="s">
        <v>147</v>
      </c>
      <c r="H14" s="21" t="s">
        <v>285</v>
      </c>
      <c r="I14" s="22">
        <v>1</v>
      </c>
      <c r="J14" s="22">
        <v>-12.098803996063699</v>
      </c>
      <c r="K14" s="22">
        <v>-77.011131197785602</v>
      </c>
      <c r="L14" s="13"/>
      <c r="M14" s="12">
        <v>15</v>
      </c>
      <c r="N14" s="12">
        <v>2</v>
      </c>
      <c r="O14" s="12">
        <v>2</v>
      </c>
      <c r="P14" s="12">
        <v>13</v>
      </c>
      <c r="Q14" s="12">
        <v>4</v>
      </c>
      <c r="R14" s="12">
        <v>4</v>
      </c>
      <c r="S14" s="12">
        <v>0</v>
      </c>
      <c r="T14" s="12">
        <v>0</v>
      </c>
      <c r="U14" s="12">
        <v>0</v>
      </c>
      <c r="V14" s="13">
        <v>2</v>
      </c>
      <c r="W14" s="13">
        <v>0</v>
      </c>
      <c r="X14" s="13">
        <v>0</v>
      </c>
      <c r="Y14" s="13">
        <v>0</v>
      </c>
      <c r="Z14" s="13">
        <v>2</v>
      </c>
      <c r="AA14" s="13">
        <v>2</v>
      </c>
      <c r="AB14" s="13">
        <v>5</v>
      </c>
      <c r="AC14" s="13">
        <v>3</v>
      </c>
      <c r="AD14" s="13">
        <v>1</v>
      </c>
      <c r="AE14" s="13">
        <v>1</v>
      </c>
    </row>
    <row r="15" spans="1:32">
      <c r="A15" s="21" t="s">
        <v>71</v>
      </c>
      <c r="B15" s="4" t="s">
        <v>33</v>
      </c>
      <c r="C15" s="4" t="s">
        <v>40</v>
      </c>
      <c r="D15" s="4" t="s">
        <v>35</v>
      </c>
      <c r="E15" s="39" t="s">
        <v>41</v>
      </c>
      <c r="F15" s="21" t="s">
        <v>9</v>
      </c>
      <c r="G15" s="11" t="s">
        <v>148</v>
      </c>
      <c r="H15" s="21" t="s">
        <v>286</v>
      </c>
      <c r="I15" s="22">
        <v>1</v>
      </c>
      <c r="J15" s="22">
        <v>-12.1698224617296</v>
      </c>
      <c r="K15" s="22">
        <v>-77.023673123855403</v>
      </c>
      <c r="L15" s="13"/>
      <c r="M15" s="12">
        <v>15</v>
      </c>
      <c r="N15" s="12">
        <v>2</v>
      </c>
      <c r="O15" s="12">
        <v>2</v>
      </c>
      <c r="P15" s="12">
        <v>13</v>
      </c>
      <c r="Q15" s="12">
        <v>4</v>
      </c>
      <c r="R15" s="12">
        <v>4</v>
      </c>
      <c r="S15" s="12">
        <v>0</v>
      </c>
      <c r="T15" s="12">
        <v>0</v>
      </c>
      <c r="U15" s="12">
        <v>0</v>
      </c>
      <c r="V15" s="13">
        <v>2</v>
      </c>
      <c r="W15" s="13">
        <v>0</v>
      </c>
      <c r="X15" s="13">
        <v>0</v>
      </c>
      <c r="Y15" s="13">
        <v>0</v>
      </c>
      <c r="Z15" s="13">
        <v>2</v>
      </c>
      <c r="AA15" s="13">
        <v>2</v>
      </c>
      <c r="AB15" s="13">
        <v>5</v>
      </c>
      <c r="AC15" s="13">
        <v>3</v>
      </c>
      <c r="AD15" s="13">
        <v>1</v>
      </c>
      <c r="AE15" s="13">
        <v>1</v>
      </c>
    </row>
    <row r="16" spans="1:32">
      <c r="A16" s="21" t="s">
        <v>72</v>
      </c>
      <c r="B16" s="4" t="s">
        <v>33</v>
      </c>
      <c r="C16" s="4" t="s">
        <v>46</v>
      </c>
      <c r="D16" s="4" t="s">
        <v>35</v>
      </c>
      <c r="E16" s="39" t="s">
        <v>47</v>
      </c>
      <c r="F16" s="21" t="s">
        <v>9</v>
      </c>
      <c r="G16" s="11" t="s">
        <v>142</v>
      </c>
      <c r="H16" s="21" t="s">
        <v>287</v>
      </c>
      <c r="I16" s="22">
        <v>1</v>
      </c>
      <c r="J16" s="22">
        <v>-12.1232630928817</v>
      </c>
      <c r="K16" s="22">
        <v>-76.872626805259898</v>
      </c>
      <c r="L16" s="13"/>
      <c r="M16" s="12">
        <v>15</v>
      </c>
      <c r="N16" s="12">
        <v>2</v>
      </c>
      <c r="O16" s="12">
        <v>2</v>
      </c>
      <c r="P16" s="12">
        <v>13</v>
      </c>
      <c r="Q16" s="12">
        <v>4</v>
      </c>
      <c r="R16" s="12">
        <v>4</v>
      </c>
      <c r="S16" s="12">
        <v>0</v>
      </c>
      <c r="T16" s="12">
        <v>0</v>
      </c>
      <c r="U16" s="12">
        <v>0</v>
      </c>
      <c r="V16" s="13">
        <v>2</v>
      </c>
      <c r="W16" s="13">
        <v>0</v>
      </c>
      <c r="X16" s="13">
        <v>0</v>
      </c>
      <c r="Y16" s="13">
        <v>0</v>
      </c>
      <c r="Z16" s="13">
        <v>2</v>
      </c>
      <c r="AA16" s="13">
        <v>2</v>
      </c>
      <c r="AB16" s="13">
        <v>5</v>
      </c>
      <c r="AC16" s="13">
        <v>3</v>
      </c>
      <c r="AD16" s="13">
        <v>1</v>
      </c>
      <c r="AE16" s="13">
        <v>1</v>
      </c>
    </row>
    <row r="17" spans="1:31">
      <c r="A17" s="21" t="s">
        <v>73</v>
      </c>
      <c r="B17" s="4" t="s">
        <v>33</v>
      </c>
      <c r="C17" s="4" t="s">
        <v>48</v>
      </c>
      <c r="D17" s="4" t="s">
        <v>35</v>
      </c>
      <c r="E17" s="39" t="s">
        <v>49</v>
      </c>
      <c r="F17" s="21" t="s">
        <v>9</v>
      </c>
      <c r="G17" s="11" t="s">
        <v>142</v>
      </c>
      <c r="H17" s="21" t="s">
        <v>288</v>
      </c>
      <c r="I17" s="22">
        <v>1</v>
      </c>
      <c r="J17" s="22">
        <v>-12.121633820953001</v>
      </c>
      <c r="K17" s="22">
        <v>-77.004785072428206</v>
      </c>
      <c r="L17" s="13"/>
      <c r="M17" s="12">
        <v>15</v>
      </c>
      <c r="N17" s="12">
        <v>2</v>
      </c>
      <c r="O17" s="12">
        <v>2</v>
      </c>
      <c r="P17" s="12">
        <v>13</v>
      </c>
      <c r="Q17" s="12">
        <v>4</v>
      </c>
      <c r="R17" s="12">
        <v>4</v>
      </c>
      <c r="S17" s="12">
        <v>0</v>
      </c>
      <c r="T17" s="12">
        <v>0</v>
      </c>
      <c r="U17" s="12">
        <v>0</v>
      </c>
      <c r="V17" s="13">
        <v>2</v>
      </c>
      <c r="W17" s="13">
        <v>0</v>
      </c>
      <c r="X17" s="13">
        <v>0</v>
      </c>
      <c r="Y17" s="13">
        <v>0</v>
      </c>
      <c r="Z17" s="13">
        <v>2</v>
      </c>
      <c r="AA17" s="13">
        <v>2</v>
      </c>
      <c r="AB17" s="13">
        <v>5</v>
      </c>
      <c r="AC17" s="13">
        <v>3</v>
      </c>
      <c r="AD17" s="13">
        <v>1</v>
      </c>
      <c r="AE17" s="13">
        <v>1</v>
      </c>
    </row>
    <row r="18" spans="1:31">
      <c r="A18" s="21" t="s">
        <v>74</v>
      </c>
      <c r="B18" s="4" t="s">
        <v>33</v>
      </c>
      <c r="C18" s="4" t="s">
        <v>44</v>
      </c>
      <c r="D18" s="4" t="s">
        <v>35</v>
      </c>
      <c r="E18" s="39" t="s">
        <v>45</v>
      </c>
      <c r="F18" s="21" t="s">
        <v>9</v>
      </c>
      <c r="G18" s="11" t="s">
        <v>146</v>
      </c>
      <c r="H18" s="21" t="s">
        <v>289</v>
      </c>
      <c r="I18" s="22">
        <v>1</v>
      </c>
      <c r="J18" s="22">
        <v>-12.0852246012238</v>
      </c>
      <c r="K18" s="22">
        <v>-76.996439040187695</v>
      </c>
      <c r="L18" s="13"/>
      <c r="M18" s="12">
        <v>15</v>
      </c>
      <c r="N18" s="12">
        <v>2</v>
      </c>
      <c r="O18" s="12">
        <v>2</v>
      </c>
      <c r="P18" s="12">
        <v>13</v>
      </c>
      <c r="Q18" s="12">
        <v>4</v>
      </c>
      <c r="R18" s="12">
        <v>4</v>
      </c>
      <c r="S18" s="12">
        <v>0</v>
      </c>
      <c r="T18" s="12">
        <v>0</v>
      </c>
      <c r="U18" s="12">
        <v>0</v>
      </c>
      <c r="V18" s="13">
        <v>2</v>
      </c>
      <c r="W18" s="13">
        <v>0</v>
      </c>
      <c r="X18" s="13">
        <v>0</v>
      </c>
      <c r="Y18" s="13">
        <v>0</v>
      </c>
      <c r="Z18" s="13">
        <v>2</v>
      </c>
      <c r="AA18" s="13">
        <v>2</v>
      </c>
      <c r="AB18" s="13">
        <v>5</v>
      </c>
      <c r="AC18" s="13">
        <v>3</v>
      </c>
      <c r="AD18" s="13">
        <v>1</v>
      </c>
      <c r="AE18" s="13">
        <v>1</v>
      </c>
    </row>
    <row r="19" spans="1:31">
      <c r="A19" s="21" t="s">
        <v>75</v>
      </c>
      <c r="B19" s="4" t="s">
        <v>33</v>
      </c>
      <c r="C19" s="4" t="s">
        <v>48</v>
      </c>
      <c r="D19" s="4" t="s">
        <v>35</v>
      </c>
      <c r="E19" s="39" t="s">
        <v>50</v>
      </c>
      <c r="F19" s="21" t="s">
        <v>10</v>
      </c>
      <c r="G19" s="11" t="s">
        <v>142</v>
      </c>
      <c r="H19" s="21" t="s">
        <v>181</v>
      </c>
      <c r="I19" s="22">
        <v>2</v>
      </c>
      <c r="J19" s="22">
        <v>-12.1108234538157</v>
      </c>
      <c r="K19" s="22">
        <v>-77.036815228192395</v>
      </c>
      <c r="L19" s="13"/>
      <c r="M19" s="12">
        <v>15</v>
      </c>
      <c r="N19" s="12">
        <v>2</v>
      </c>
      <c r="O19" s="12">
        <v>2</v>
      </c>
      <c r="P19" s="12">
        <v>13</v>
      </c>
      <c r="Q19" s="12">
        <v>4</v>
      </c>
      <c r="R19" s="12">
        <v>4</v>
      </c>
      <c r="S19" s="12">
        <v>0</v>
      </c>
      <c r="T19" s="12">
        <v>0</v>
      </c>
      <c r="U19" s="12">
        <v>0</v>
      </c>
      <c r="V19" s="13">
        <v>2</v>
      </c>
      <c r="W19" s="13">
        <v>0</v>
      </c>
      <c r="X19" s="13">
        <v>0</v>
      </c>
      <c r="Y19" s="13">
        <v>0</v>
      </c>
      <c r="Z19" s="13">
        <v>2</v>
      </c>
      <c r="AA19" s="13">
        <v>2</v>
      </c>
      <c r="AB19" s="13">
        <v>5</v>
      </c>
      <c r="AC19" s="13">
        <v>3</v>
      </c>
      <c r="AD19" s="13">
        <v>1</v>
      </c>
      <c r="AE19" s="13">
        <v>1</v>
      </c>
    </row>
    <row r="20" spans="1:31">
      <c r="A20" s="21" t="s">
        <v>76</v>
      </c>
      <c r="B20" s="4" t="s">
        <v>33</v>
      </c>
      <c r="C20" s="4" t="s">
        <v>48</v>
      </c>
      <c r="D20" s="4" t="s">
        <v>35</v>
      </c>
      <c r="E20" s="39" t="s">
        <v>50</v>
      </c>
      <c r="F20" s="21" t="s">
        <v>10</v>
      </c>
      <c r="G20" s="11" t="s">
        <v>149</v>
      </c>
      <c r="H20" s="21" t="s">
        <v>291</v>
      </c>
      <c r="I20" s="22">
        <v>2</v>
      </c>
      <c r="J20" s="22">
        <v>-12.1153010813366</v>
      </c>
      <c r="K20" s="22">
        <v>-77.046340754846895</v>
      </c>
      <c r="L20" s="13"/>
      <c r="M20" s="12">
        <v>15</v>
      </c>
      <c r="N20" s="12">
        <v>2</v>
      </c>
      <c r="O20" s="12">
        <v>2</v>
      </c>
      <c r="P20" s="12">
        <v>13</v>
      </c>
      <c r="Q20" s="12">
        <v>4</v>
      </c>
      <c r="R20" s="12">
        <v>4</v>
      </c>
      <c r="S20" s="12">
        <v>0</v>
      </c>
      <c r="T20" s="12">
        <v>0</v>
      </c>
      <c r="U20" s="12">
        <v>0</v>
      </c>
      <c r="V20" s="13">
        <v>2</v>
      </c>
      <c r="W20" s="13">
        <v>0</v>
      </c>
      <c r="X20" s="13">
        <v>0</v>
      </c>
      <c r="Y20" s="13">
        <v>0</v>
      </c>
      <c r="Z20" s="13">
        <v>2</v>
      </c>
      <c r="AA20" s="13">
        <v>2</v>
      </c>
      <c r="AB20" s="13">
        <v>5</v>
      </c>
      <c r="AC20" s="13">
        <v>3</v>
      </c>
      <c r="AD20" s="13">
        <v>1</v>
      </c>
      <c r="AE20" s="13">
        <v>1</v>
      </c>
    </row>
    <row r="21" spans="1:31">
      <c r="A21" s="21" t="s">
        <v>77</v>
      </c>
      <c r="B21" s="4" t="s">
        <v>33</v>
      </c>
      <c r="C21" s="4" t="s">
        <v>48</v>
      </c>
      <c r="D21" s="4" t="s">
        <v>35</v>
      </c>
      <c r="E21" s="39" t="s">
        <v>49</v>
      </c>
      <c r="F21" s="21" t="s">
        <v>10</v>
      </c>
      <c r="G21" s="11" t="s">
        <v>142</v>
      </c>
      <c r="H21" s="21" t="s">
        <v>290</v>
      </c>
      <c r="I21" s="22">
        <v>2</v>
      </c>
      <c r="J21" s="22">
        <v>-12.1130247517098</v>
      </c>
      <c r="K21" s="22">
        <v>-77.018553552811497</v>
      </c>
      <c r="L21" s="13"/>
      <c r="M21" s="12">
        <v>15</v>
      </c>
      <c r="N21" s="12">
        <v>2</v>
      </c>
      <c r="O21" s="12">
        <v>2</v>
      </c>
      <c r="P21" s="12">
        <v>13</v>
      </c>
      <c r="Q21" s="12">
        <v>4</v>
      </c>
      <c r="R21" s="12">
        <v>4</v>
      </c>
      <c r="S21" s="12">
        <v>0</v>
      </c>
      <c r="T21" s="12">
        <v>0</v>
      </c>
      <c r="U21" s="12">
        <v>0</v>
      </c>
      <c r="V21" s="13">
        <v>2</v>
      </c>
      <c r="W21" s="13">
        <v>0</v>
      </c>
      <c r="X21" s="13">
        <v>0</v>
      </c>
      <c r="Y21" s="13">
        <v>0</v>
      </c>
      <c r="Z21" s="13">
        <v>2</v>
      </c>
      <c r="AA21" s="13">
        <v>2</v>
      </c>
      <c r="AB21" s="13">
        <v>5</v>
      </c>
      <c r="AC21" s="13">
        <v>3</v>
      </c>
      <c r="AD21" s="13">
        <v>1</v>
      </c>
      <c r="AE21" s="13">
        <v>1</v>
      </c>
    </row>
    <row r="22" spans="1:31">
      <c r="A22" s="21" t="s">
        <v>78</v>
      </c>
      <c r="B22" s="4" t="s">
        <v>33</v>
      </c>
      <c r="C22" s="4" t="s">
        <v>48</v>
      </c>
      <c r="D22" s="4" t="s">
        <v>35</v>
      </c>
      <c r="E22" s="39" t="s">
        <v>49</v>
      </c>
      <c r="F22" s="21" t="s">
        <v>10</v>
      </c>
      <c r="G22" s="11" t="s">
        <v>142</v>
      </c>
      <c r="H22" s="21" t="s">
        <v>181</v>
      </c>
      <c r="I22" s="22">
        <v>2</v>
      </c>
      <c r="J22" s="22">
        <v>-12.1129057535562</v>
      </c>
      <c r="K22" s="22">
        <v>-77.0001823463341</v>
      </c>
      <c r="L22" s="13"/>
      <c r="M22" s="12">
        <v>15</v>
      </c>
      <c r="N22" s="12">
        <v>2</v>
      </c>
      <c r="O22" s="12">
        <v>2</v>
      </c>
      <c r="P22" s="12">
        <v>13</v>
      </c>
      <c r="Q22" s="12">
        <v>4</v>
      </c>
      <c r="R22" s="12">
        <v>4</v>
      </c>
      <c r="S22" s="12">
        <v>0</v>
      </c>
      <c r="T22" s="12">
        <v>0</v>
      </c>
      <c r="U22" s="12">
        <v>0</v>
      </c>
      <c r="V22" s="13">
        <v>2</v>
      </c>
      <c r="W22" s="13">
        <v>0</v>
      </c>
      <c r="X22" s="13">
        <v>0</v>
      </c>
      <c r="Y22" s="13">
        <v>0</v>
      </c>
      <c r="Z22" s="13">
        <v>2</v>
      </c>
      <c r="AA22" s="13">
        <v>2</v>
      </c>
      <c r="AB22" s="13">
        <v>5</v>
      </c>
      <c r="AC22" s="13">
        <v>3</v>
      </c>
      <c r="AD22" s="13">
        <v>1</v>
      </c>
      <c r="AE22" s="13">
        <v>1</v>
      </c>
    </row>
    <row r="23" spans="1:31">
      <c r="A23" s="21" t="s">
        <v>79</v>
      </c>
      <c r="B23" s="4" t="s">
        <v>33</v>
      </c>
      <c r="C23" s="4" t="s">
        <v>46</v>
      </c>
      <c r="D23" s="4" t="s">
        <v>35</v>
      </c>
      <c r="E23" s="39" t="s">
        <v>47</v>
      </c>
      <c r="F23" s="21" t="s">
        <v>10</v>
      </c>
      <c r="G23" s="11" t="s">
        <v>142</v>
      </c>
      <c r="H23" s="21" t="s">
        <v>284</v>
      </c>
      <c r="I23" s="22">
        <v>2</v>
      </c>
      <c r="J23" s="22">
        <v>-12.1038395053413</v>
      </c>
      <c r="K23" s="22">
        <v>-76.870789476252796</v>
      </c>
      <c r="L23" s="13"/>
      <c r="M23" s="12">
        <v>15</v>
      </c>
      <c r="N23" s="12">
        <v>2</v>
      </c>
      <c r="O23" s="12">
        <v>2</v>
      </c>
      <c r="P23" s="12">
        <v>13</v>
      </c>
      <c r="Q23" s="12">
        <v>4</v>
      </c>
      <c r="R23" s="12">
        <v>4</v>
      </c>
      <c r="S23" s="12">
        <v>0</v>
      </c>
      <c r="T23" s="12">
        <v>0</v>
      </c>
      <c r="U23" s="12">
        <v>0</v>
      </c>
      <c r="V23" s="13">
        <v>2</v>
      </c>
      <c r="W23" s="13">
        <v>0</v>
      </c>
      <c r="X23" s="13">
        <v>0</v>
      </c>
      <c r="Y23" s="13">
        <v>0</v>
      </c>
      <c r="Z23" s="13">
        <v>2</v>
      </c>
      <c r="AA23" s="13">
        <v>2</v>
      </c>
      <c r="AB23" s="13">
        <v>5</v>
      </c>
      <c r="AC23" s="13">
        <v>3</v>
      </c>
      <c r="AD23" s="13">
        <v>1</v>
      </c>
      <c r="AE23" s="13">
        <v>1</v>
      </c>
    </row>
    <row r="24" spans="1:31">
      <c r="A24" s="21" t="s">
        <v>80</v>
      </c>
      <c r="B24" s="4" t="s">
        <v>33</v>
      </c>
      <c r="C24" s="4" t="s">
        <v>51</v>
      </c>
      <c r="D24" s="4" t="s">
        <v>35</v>
      </c>
      <c r="E24" s="39" t="s">
        <v>52</v>
      </c>
      <c r="F24" s="21" t="s">
        <v>10</v>
      </c>
      <c r="G24" s="11" t="s">
        <v>142</v>
      </c>
      <c r="H24" s="21" t="s">
        <v>285</v>
      </c>
      <c r="I24" s="22">
        <v>2</v>
      </c>
      <c r="J24" s="22">
        <v>-12.089833622560599</v>
      </c>
      <c r="K24" s="22">
        <v>-76.948812748903606</v>
      </c>
      <c r="L24" s="13"/>
      <c r="M24" s="12">
        <v>15</v>
      </c>
      <c r="N24" s="12">
        <v>2</v>
      </c>
      <c r="O24" s="12">
        <v>2</v>
      </c>
      <c r="P24" s="12">
        <v>13</v>
      </c>
      <c r="Q24" s="12">
        <v>4</v>
      </c>
      <c r="R24" s="12">
        <v>4</v>
      </c>
      <c r="S24" s="12">
        <v>0</v>
      </c>
      <c r="T24" s="12">
        <v>0</v>
      </c>
      <c r="U24" s="12">
        <v>0</v>
      </c>
      <c r="V24" s="13">
        <v>2</v>
      </c>
      <c r="W24" s="13">
        <v>0</v>
      </c>
      <c r="X24" s="13">
        <v>0</v>
      </c>
      <c r="Y24" s="13">
        <v>0</v>
      </c>
      <c r="Z24" s="13">
        <v>2</v>
      </c>
      <c r="AA24" s="13">
        <v>2</v>
      </c>
      <c r="AB24" s="13">
        <v>5</v>
      </c>
      <c r="AC24" s="13">
        <v>3</v>
      </c>
      <c r="AD24" s="13">
        <v>1</v>
      </c>
      <c r="AE24" s="13">
        <v>1</v>
      </c>
    </row>
    <row r="25" spans="1:31">
      <c r="A25" s="21" t="s">
        <v>81</v>
      </c>
      <c r="B25" s="4" t="s">
        <v>33</v>
      </c>
      <c r="C25" s="4" t="s">
        <v>51</v>
      </c>
      <c r="D25" s="4" t="s">
        <v>35</v>
      </c>
      <c r="E25" s="39" t="s">
        <v>52</v>
      </c>
      <c r="F25" s="21" t="s">
        <v>10</v>
      </c>
      <c r="G25" s="11" t="s">
        <v>146</v>
      </c>
      <c r="H25" s="21" t="s">
        <v>286</v>
      </c>
      <c r="I25" s="22">
        <v>2</v>
      </c>
      <c r="J25" s="22">
        <v>-12.113763298102</v>
      </c>
      <c r="K25" s="22">
        <v>-76.936205497674806</v>
      </c>
      <c r="L25" s="13"/>
      <c r="M25" s="12">
        <v>15</v>
      </c>
      <c r="N25" s="12">
        <v>2</v>
      </c>
      <c r="O25" s="12">
        <v>2</v>
      </c>
      <c r="P25" s="12">
        <v>13</v>
      </c>
      <c r="Q25" s="12">
        <v>4</v>
      </c>
      <c r="R25" s="12">
        <v>4</v>
      </c>
      <c r="S25" s="12">
        <v>0</v>
      </c>
      <c r="T25" s="12">
        <v>0</v>
      </c>
      <c r="U25" s="12">
        <v>0</v>
      </c>
      <c r="V25" s="13">
        <v>2</v>
      </c>
      <c r="W25" s="13">
        <v>0</v>
      </c>
      <c r="X25" s="13">
        <v>0</v>
      </c>
      <c r="Y25" s="13">
        <v>0</v>
      </c>
      <c r="Z25" s="13">
        <v>2</v>
      </c>
      <c r="AA25" s="13">
        <v>2</v>
      </c>
      <c r="AB25" s="13">
        <v>5</v>
      </c>
      <c r="AC25" s="13">
        <v>3</v>
      </c>
      <c r="AD25" s="13">
        <v>1</v>
      </c>
      <c r="AE25" s="13">
        <v>1</v>
      </c>
    </row>
    <row r="26" spans="1:31">
      <c r="A26" s="21" t="s">
        <v>82</v>
      </c>
      <c r="B26" s="4" t="s">
        <v>33</v>
      </c>
      <c r="C26" s="4" t="s">
        <v>51</v>
      </c>
      <c r="D26" s="4" t="s">
        <v>35</v>
      </c>
      <c r="E26" s="39" t="s">
        <v>52</v>
      </c>
      <c r="F26" s="21" t="s">
        <v>10</v>
      </c>
      <c r="G26" s="11" t="s">
        <v>146</v>
      </c>
      <c r="H26" s="21" t="s">
        <v>287</v>
      </c>
      <c r="I26" s="22">
        <v>2</v>
      </c>
      <c r="J26" s="22">
        <v>-12.103824090070299</v>
      </c>
      <c r="K26" s="22">
        <v>-76.941484141096495</v>
      </c>
      <c r="L26" s="13"/>
      <c r="M26" s="12">
        <v>15</v>
      </c>
      <c r="N26" s="12">
        <v>2</v>
      </c>
      <c r="O26" s="12">
        <v>2</v>
      </c>
      <c r="P26" s="12">
        <v>13</v>
      </c>
      <c r="Q26" s="12">
        <v>4</v>
      </c>
      <c r="R26" s="12">
        <v>4</v>
      </c>
      <c r="S26" s="12">
        <v>0</v>
      </c>
      <c r="T26" s="12">
        <v>0</v>
      </c>
      <c r="U26" s="12">
        <v>0</v>
      </c>
      <c r="V26" s="13">
        <v>2</v>
      </c>
      <c r="W26" s="13">
        <v>0</v>
      </c>
      <c r="X26" s="13">
        <v>0</v>
      </c>
      <c r="Y26" s="13">
        <v>0</v>
      </c>
      <c r="Z26" s="13">
        <v>2</v>
      </c>
      <c r="AA26" s="13">
        <v>2</v>
      </c>
      <c r="AB26" s="13">
        <v>5</v>
      </c>
      <c r="AC26" s="13">
        <v>3</v>
      </c>
      <c r="AD26" s="13">
        <v>1</v>
      </c>
      <c r="AE26" s="13">
        <v>1</v>
      </c>
    </row>
    <row r="27" spans="1:31">
      <c r="A27" s="21" t="s">
        <v>83</v>
      </c>
      <c r="B27" s="4" t="s">
        <v>33</v>
      </c>
      <c r="C27" s="4" t="s">
        <v>51</v>
      </c>
      <c r="D27" s="4" t="s">
        <v>35</v>
      </c>
      <c r="E27" s="39" t="s">
        <v>52</v>
      </c>
      <c r="F27" s="21" t="s">
        <v>10</v>
      </c>
      <c r="G27" s="11" t="s">
        <v>143</v>
      </c>
      <c r="H27" s="21" t="s">
        <v>288</v>
      </c>
      <c r="I27" s="22">
        <v>2</v>
      </c>
      <c r="J27" s="22">
        <v>-12.0851681083972</v>
      </c>
      <c r="K27" s="22">
        <v>-76.924100626377694</v>
      </c>
      <c r="L27" s="13"/>
      <c r="M27" s="12">
        <v>15</v>
      </c>
      <c r="N27" s="12">
        <v>2</v>
      </c>
      <c r="O27" s="12">
        <v>2</v>
      </c>
      <c r="P27" s="12">
        <v>13</v>
      </c>
      <c r="Q27" s="12">
        <v>4</v>
      </c>
      <c r="R27" s="12">
        <v>4</v>
      </c>
      <c r="S27" s="12">
        <v>0</v>
      </c>
      <c r="T27" s="12">
        <v>0</v>
      </c>
      <c r="U27" s="12">
        <v>0</v>
      </c>
      <c r="V27" s="13">
        <v>2</v>
      </c>
      <c r="W27" s="13">
        <v>0</v>
      </c>
      <c r="X27" s="13">
        <v>0</v>
      </c>
      <c r="Y27" s="13">
        <v>0</v>
      </c>
      <c r="Z27" s="13">
        <v>2</v>
      </c>
      <c r="AA27" s="13">
        <v>2</v>
      </c>
      <c r="AB27" s="13">
        <v>5</v>
      </c>
      <c r="AC27" s="13">
        <v>3</v>
      </c>
      <c r="AD27" s="13">
        <v>1</v>
      </c>
      <c r="AE27" s="13">
        <v>1</v>
      </c>
    </row>
    <row r="28" spans="1:31">
      <c r="A28" s="21" t="s">
        <v>84</v>
      </c>
      <c r="B28" s="4" t="s">
        <v>33</v>
      </c>
      <c r="C28" s="4" t="s">
        <v>51</v>
      </c>
      <c r="D28" s="4" t="s">
        <v>35</v>
      </c>
      <c r="E28" s="39" t="s">
        <v>52</v>
      </c>
      <c r="F28" s="21" t="s">
        <v>10</v>
      </c>
      <c r="G28" s="11" t="s">
        <v>144</v>
      </c>
      <c r="H28" s="21" t="s">
        <v>289</v>
      </c>
      <c r="I28" s="22">
        <v>2</v>
      </c>
      <c r="J28" s="22">
        <v>-12.0826872789464</v>
      </c>
      <c r="K28" s="22">
        <v>-76.928163247112806</v>
      </c>
      <c r="L28" s="13"/>
      <c r="M28" s="12">
        <v>15</v>
      </c>
      <c r="N28" s="12">
        <v>23</v>
      </c>
      <c r="O28" s="12">
        <v>2</v>
      </c>
      <c r="P28" s="12">
        <v>5</v>
      </c>
      <c r="Q28" s="12">
        <v>5</v>
      </c>
      <c r="R28" s="12">
        <v>0</v>
      </c>
      <c r="S28" s="12">
        <v>0</v>
      </c>
      <c r="T28" s="12">
        <v>0</v>
      </c>
      <c r="U28" s="12">
        <v>0</v>
      </c>
      <c r="V28" s="13">
        <v>4</v>
      </c>
      <c r="W28" s="13">
        <v>0</v>
      </c>
      <c r="X28" s="13">
        <v>0</v>
      </c>
      <c r="Y28" s="13">
        <v>0</v>
      </c>
      <c r="Z28" s="13">
        <v>4</v>
      </c>
      <c r="AA28" s="13">
        <v>2</v>
      </c>
      <c r="AB28" s="13">
        <v>5</v>
      </c>
      <c r="AC28" s="13">
        <v>3</v>
      </c>
      <c r="AD28" s="13">
        <v>1</v>
      </c>
      <c r="AE28" s="13">
        <v>1</v>
      </c>
    </row>
    <row r="29" spans="1:31">
      <c r="A29" s="21" t="s">
        <v>85</v>
      </c>
      <c r="B29" s="4" t="s">
        <v>33</v>
      </c>
      <c r="C29" s="4" t="s">
        <v>51</v>
      </c>
      <c r="D29" s="4" t="s">
        <v>35</v>
      </c>
      <c r="E29" s="39" t="s">
        <v>52</v>
      </c>
      <c r="F29" s="21" t="s">
        <v>10</v>
      </c>
      <c r="G29" s="11" t="s">
        <v>144</v>
      </c>
      <c r="H29" s="21" t="s">
        <v>181</v>
      </c>
      <c r="I29" s="22">
        <v>2</v>
      </c>
      <c r="J29" s="22">
        <v>-12.0859817780558</v>
      </c>
      <c r="K29" s="22">
        <v>-76.902639914120201</v>
      </c>
      <c r="L29" s="13"/>
      <c r="M29" s="12">
        <v>15</v>
      </c>
      <c r="N29" s="12">
        <v>23</v>
      </c>
      <c r="O29" s="12">
        <v>2</v>
      </c>
      <c r="P29" s="12">
        <v>5</v>
      </c>
      <c r="Q29" s="12">
        <v>5</v>
      </c>
      <c r="R29" s="12">
        <v>0</v>
      </c>
      <c r="S29" s="12">
        <v>0</v>
      </c>
      <c r="T29" s="12">
        <v>0</v>
      </c>
      <c r="U29" s="12">
        <v>0</v>
      </c>
      <c r="V29" s="13">
        <v>4</v>
      </c>
      <c r="W29" s="13">
        <v>0</v>
      </c>
      <c r="X29" s="13">
        <v>0</v>
      </c>
      <c r="Y29" s="13">
        <v>0</v>
      </c>
      <c r="Z29" s="13">
        <v>4</v>
      </c>
      <c r="AA29" s="13">
        <v>2</v>
      </c>
      <c r="AB29" s="13">
        <v>5</v>
      </c>
      <c r="AC29" s="13">
        <v>3</v>
      </c>
      <c r="AD29" s="13">
        <v>1</v>
      </c>
      <c r="AE29" s="13">
        <v>1</v>
      </c>
    </row>
    <row r="30" spans="1:31">
      <c r="A30" s="21" t="s">
        <v>86</v>
      </c>
      <c r="B30" s="4" t="s">
        <v>33</v>
      </c>
      <c r="C30" s="4" t="s">
        <v>51</v>
      </c>
      <c r="D30" s="4" t="s">
        <v>35</v>
      </c>
      <c r="E30" s="39" t="s">
        <v>52</v>
      </c>
      <c r="F30" s="21" t="s">
        <v>10</v>
      </c>
      <c r="G30" s="11" t="s">
        <v>148</v>
      </c>
      <c r="H30" s="21" t="s">
        <v>284</v>
      </c>
      <c r="I30" s="22">
        <v>2</v>
      </c>
      <c r="J30" s="22">
        <v>-12.085987771847</v>
      </c>
      <c r="K30" s="22">
        <v>-76.908233407497306</v>
      </c>
      <c r="L30" s="13"/>
      <c r="M30" s="12">
        <v>15</v>
      </c>
      <c r="N30" s="12">
        <v>23</v>
      </c>
      <c r="O30" s="12">
        <v>2</v>
      </c>
      <c r="P30" s="12">
        <v>5</v>
      </c>
      <c r="Q30" s="12">
        <v>5</v>
      </c>
      <c r="R30" s="12">
        <v>0</v>
      </c>
      <c r="S30" s="12">
        <v>0</v>
      </c>
      <c r="T30" s="12">
        <v>0</v>
      </c>
      <c r="U30" s="12">
        <v>0</v>
      </c>
      <c r="V30" s="13">
        <v>4</v>
      </c>
      <c r="W30" s="13">
        <v>0</v>
      </c>
      <c r="X30" s="13">
        <v>0</v>
      </c>
      <c r="Y30" s="13">
        <v>0</v>
      </c>
      <c r="Z30" s="13">
        <v>4</v>
      </c>
      <c r="AA30" s="13">
        <v>2</v>
      </c>
      <c r="AB30" s="13">
        <v>5</v>
      </c>
      <c r="AC30" s="13">
        <v>3</v>
      </c>
      <c r="AD30" s="13">
        <v>1</v>
      </c>
      <c r="AE30" s="13">
        <v>1</v>
      </c>
    </row>
    <row r="31" spans="1:31">
      <c r="A31" s="21" t="s">
        <v>87</v>
      </c>
      <c r="B31" s="4" t="s">
        <v>33</v>
      </c>
      <c r="C31" s="4" t="s">
        <v>51</v>
      </c>
      <c r="D31" s="4" t="s">
        <v>35</v>
      </c>
      <c r="E31" s="39" t="s">
        <v>52</v>
      </c>
      <c r="F31" s="21" t="s">
        <v>11</v>
      </c>
      <c r="G31" s="11" t="s">
        <v>144</v>
      </c>
      <c r="H31" s="21" t="s">
        <v>285</v>
      </c>
      <c r="I31" s="22">
        <v>2</v>
      </c>
      <c r="J31" s="22">
        <v>-12.0630259419786</v>
      </c>
      <c r="K31" s="22">
        <v>-76.946035921040703</v>
      </c>
      <c r="L31" s="13"/>
      <c r="M31" s="12">
        <v>15</v>
      </c>
      <c r="N31" s="12">
        <v>25</v>
      </c>
      <c r="O31" s="12">
        <v>0</v>
      </c>
      <c r="P31" s="12">
        <v>5</v>
      </c>
      <c r="Q31" s="12">
        <v>5</v>
      </c>
      <c r="R31" s="12">
        <v>0</v>
      </c>
      <c r="S31" s="12">
        <v>15</v>
      </c>
      <c r="T31" s="12">
        <v>25</v>
      </c>
      <c r="U31" s="12">
        <v>0</v>
      </c>
      <c r="V31" s="13">
        <v>2</v>
      </c>
      <c r="W31" s="13">
        <v>0</v>
      </c>
      <c r="X31" s="13">
        <v>0</v>
      </c>
      <c r="Y31" s="13">
        <v>0</v>
      </c>
      <c r="Z31" s="13">
        <v>2</v>
      </c>
      <c r="AA31" s="13">
        <v>2</v>
      </c>
      <c r="AB31" s="13">
        <v>5</v>
      </c>
      <c r="AC31" s="13">
        <v>3</v>
      </c>
      <c r="AD31" s="13">
        <v>1</v>
      </c>
      <c r="AE31" s="13">
        <v>1</v>
      </c>
    </row>
    <row r="32" spans="1:31">
      <c r="A32" s="21" t="s">
        <v>88</v>
      </c>
      <c r="B32" s="4" t="s">
        <v>33</v>
      </c>
      <c r="C32" s="4" t="s">
        <v>48</v>
      </c>
      <c r="D32" s="4" t="s">
        <v>35</v>
      </c>
      <c r="E32" s="39" t="s">
        <v>50</v>
      </c>
      <c r="F32" s="21" t="s">
        <v>11</v>
      </c>
      <c r="G32" s="11" t="s">
        <v>150</v>
      </c>
      <c r="H32" s="21" t="s">
        <v>286</v>
      </c>
      <c r="I32" s="22">
        <v>2</v>
      </c>
      <c r="J32" s="22">
        <v>-12.1106329881784</v>
      </c>
      <c r="K32" s="22">
        <v>-77.049578251003297</v>
      </c>
      <c r="L32" s="13"/>
      <c r="M32" s="12">
        <v>15</v>
      </c>
      <c r="N32" s="12">
        <v>25</v>
      </c>
      <c r="O32" s="12">
        <v>0</v>
      </c>
      <c r="P32" s="12">
        <v>5</v>
      </c>
      <c r="Q32" s="12">
        <v>5</v>
      </c>
      <c r="R32" s="12">
        <v>0</v>
      </c>
      <c r="S32" s="12">
        <v>15</v>
      </c>
      <c r="T32" s="12">
        <v>25</v>
      </c>
      <c r="U32" s="12">
        <v>0</v>
      </c>
      <c r="V32" s="13">
        <v>2</v>
      </c>
      <c r="W32" s="13">
        <v>0</v>
      </c>
      <c r="X32" s="13">
        <v>0</v>
      </c>
      <c r="Y32" s="13">
        <v>0</v>
      </c>
      <c r="Z32" s="13">
        <v>2</v>
      </c>
      <c r="AA32" s="13">
        <v>2</v>
      </c>
      <c r="AB32" s="13">
        <v>5</v>
      </c>
      <c r="AC32" s="13">
        <v>3</v>
      </c>
      <c r="AD32" s="13">
        <v>1</v>
      </c>
      <c r="AE32" s="13">
        <v>1</v>
      </c>
    </row>
    <row r="33" spans="1:31">
      <c r="A33" s="21" t="s">
        <v>89</v>
      </c>
      <c r="B33" s="4" t="s">
        <v>33</v>
      </c>
      <c r="C33" s="4" t="s">
        <v>48</v>
      </c>
      <c r="D33" s="4" t="s">
        <v>35</v>
      </c>
      <c r="E33" s="39" t="s">
        <v>50</v>
      </c>
      <c r="F33" s="21" t="s">
        <v>11</v>
      </c>
      <c r="G33" s="11" t="s">
        <v>150</v>
      </c>
      <c r="H33" s="21" t="s">
        <v>287</v>
      </c>
      <c r="I33" s="22">
        <v>2</v>
      </c>
      <c r="J33" s="22">
        <v>-12.127709700793799</v>
      </c>
      <c r="K33" s="22">
        <v>-77.009658619271406</v>
      </c>
      <c r="L33" s="13"/>
      <c r="M33" s="12">
        <v>15</v>
      </c>
      <c r="N33" s="12">
        <v>25</v>
      </c>
      <c r="O33" s="12">
        <v>0</v>
      </c>
      <c r="P33" s="12">
        <v>5</v>
      </c>
      <c r="Q33" s="12">
        <v>5</v>
      </c>
      <c r="R33" s="12">
        <v>0</v>
      </c>
      <c r="S33" s="12">
        <v>15</v>
      </c>
      <c r="T33" s="12">
        <v>25</v>
      </c>
      <c r="U33" s="12">
        <v>0</v>
      </c>
      <c r="V33" s="13">
        <v>2</v>
      </c>
      <c r="W33" s="13">
        <v>0</v>
      </c>
      <c r="X33" s="13">
        <v>0</v>
      </c>
      <c r="Y33" s="13">
        <v>0</v>
      </c>
      <c r="Z33" s="13">
        <v>2</v>
      </c>
      <c r="AA33" s="13">
        <v>2</v>
      </c>
      <c r="AB33" s="13">
        <v>5</v>
      </c>
      <c r="AC33" s="13">
        <v>3</v>
      </c>
      <c r="AD33" s="13">
        <v>1</v>
      </c>
      <c r="AE33" s="13">
        <v>1</v>
      </c>
    </row>
    <row r="34" spans="1:31">
      <c r="A34" s="21" t="s">
        <v>90</v>
      </c>
      <c r="B34" s="4" t="s">
        <v>33</v>
      </c>
      <c r="C34" s="4" t="s">
        <v>46</v>
      </c>
      <c r="D34" s="4" t="s">
        <v>35</v>
      </c>
      <c r="E34" s="39" t="s">
        <v>47</v>
      </c>
      <c r="F34" s="21" t="s">
        <v>11</v>
      </c>
      <c r="G34" s="11" t="s">
        <v>150</v>
      </c>
      <c r="H34" s="21" t="s">
        <v>288</v>
      </c>
      <c r="I34" s="22">
        <v>2</v>
      </c>
      <c r="J34" s="22">
        <v>-12.1524908415808</v>
      </c>
      <c r="K34" s="22">
        <v>-76.874739632788504</v>
      </c>
      <c r="L34" s="13"/>
      <c r="M34" s="12">
        <v>15</v>
      </c>
      <c r="N34" s="12">
        <v>25</v>
      </c>
      <c r="O34" s="12">
        <v>0</v>
      </c>
      <c r="P34" s="12">
        <v>5</v>
      </c>
      <c r="Q34" s="12">
        <v>5</v>
      </c>
      <c r="R34" s="12">
        <v>0</v>
      </c>
      <c r="S34" s="12">
        <v>15</v>
      </c>
      <c r="T34" s="12">
        <v>25</v>
      </c>
      <c r="U34" s="12">
        <v>0</v>
      </c>
      <c r="V34" s="13">
        <v>2</v>
      </c>
      <c r="W34" s="13">
        <v>0</v>
      </c>
      <c r="X34" s="13">
        <v>0</v>
      </c>
      <c r="Y34" s="13">
        <v>0</v>
      </c>
      <c r="Z34" s="13">
        <v>2</v>
      </c>
      <c r="AA34" s="13">
        <v>2</v>
      </c>
      <c r="AB34" s="13">
        <v>5</v>
      </c>
      <c r="AC34" s="13">
        <v>3</v>
      </c>
      <c r="AD34" s="13">
        <v>1</v>
      </c>
      <c r="AE34" s="13">
        <v>1</v>
      </c>
    </row>
    <row r="35" spans="1:31">
      <c r="A35" s="21" t="s">
        <v>91</v>
      </c>
      <c r="B35" s="4" t="s">
        <v>33</v>
      </c>
      <c r="C35" s="4" t="s">
        <v>51</v>
      </c>
      <c r="D35" s="4" t="s">
        <v>35</v>
      </c>
      <c r="E35" s="39" t="s">
        <v>52</v>
      </c>
      <c r="F35" s="21" t="s">
        <v>11</v>
      </c>
      <c r="G35" s="11" t="s">
        <v>150</v>
      </c>
      <c r="H35" s="21" t="s">
        <v>289</v>
      </c>
      <c r="I35" s="22">
        <v>2</v>
      </c>
      <c r="J35" s="22">
        <v>-12.101646523096001</v>
      </c>
      <c r="K35" s="22">
        <v>-76.942803668716195</v>
      </c>
      <c r="L35" s="13"/>
      <c r="M35" s="12">
        <v>15</v>
      </c>
      <c r="N35" s="12">
        <v>25</v>
      </c>
      <c r="O35" s="12">
        <v>0</v>
      </c>
      <c r="P35" s="12">
        <v>5</v>
      </c>
      <c r="Q35" s="12">
        <v>5</v>
      </c>
      <c r="R35" s="12">
        <v>0</v>
      </c>
      <c r="S35" s="12">
        <v>15</v>
      </c>
      <c r="T35" s="12">
        <v>25</v>
      </c>
      <c r="U35" s="12">
        <v>0</v>
      </c>
      <c r="V35" s="13">
        <v>2</v>
      </c>
      <c r="W35" s="13">
        <v>0</v>
      </c>
      <c r="X35" s="13">
        <v>0</v>
      </c>
      <c r="Y35" s="13">
        <v>0</v>
      </c>
      <c r="Z35" s="13">
        <v>2</v>
      </c>
      <c r="AA35" s="13">
        <v>2</v>
      </c>
      <c r="AB35" s="13">
        <v>5</v>
      </c>
      <c r="AC35" s="13">
        <v>3</v>
      </c>
      <c r="AD35" s="13">
        <v>1</v>
      </c>
      <c r="AE35" s="13">
        <v>1</v>
      </c>
    </row>
    <row r="36" spans="1:31">
      <c r="A36" s="21" t="s">
        <v>92</v>
      </c>
      <c r="B36" s="4" t="s">
        <v>33</v>
      </c>
      <c r="C36" s="4" t="s">
        <v>48</v>
      </c>
      <c r="D36" s="4" t="s">
        <v>35</v>
      </c>
      <c r="E36" s="39" t="s">
        <v>49</v>
      </c>
      <c r="F36" s="21" t="s">
        <v>11</v>
      </c>
      <c r="G36" s="11" t="s">
        <v>150</v>
      </c>
      <c r="H36" s="21" t="s">
        <v>181</v>
      </c>
      <c r="I36" s="22">
        <v>2</v>
      </c>
      <c r="J36" s="22">
        <v>-12.1116428475723</v>
      </c>
      <c r="K36" s="22">
        <v>-77.011902386748105</v>
      </c>
      <c r="L36" s="13"/>
      <c r="M36" s="12">
        <v>15</v>
      </c>
      <c r="N36" s="12">
        <v>25</v>
      </c>
      <c r="O36" s="12">
        <v>0</v>
      </c>
      <c r="P36" s="12">
        <v>5</v>
      </c>
      <c r="Q36" s="12">
        <v>5</v>
      </c>
      <c r="R36" s="12">
        <v>0</v>
      </c>
      <c r="S36" s="12">
        <v>15</v>
      </c>
      <c r="T36" s="12">
        <v>25</v>
      </c>
      <c r="U36" s="12">
        <v>0</v>
      </c>
      <c r="V36" s="13">
        <v>2</v>
      </c>
      <c r="W36" s="13">
        <v>0</v>
      </c>
      <c r="X36" s="13">
        <v>0</v>
      </c>
      <c r="Y36" s="13">
        <v>0</v>
      </c>
      <c r="Z36" s="13">
        <v>2</v>
      </c>
      <c r="AA36" s="13">
        <v>2</v>
      </c>
      <c r="AB36" s="13">
        <v>5</v>
      </c>
      <c r="AC36" s="13">
        <v>3</v>
      </c>
      <c r="AD36" s="13">
        <v>1</v>
      </c>
      <c r="AE36" s="13">
        <v>1</v>
      </c>
    </row>
    <row r="37" spans="1:31">
      <c r="A37" s="21" t="s">
        <v>93</v>
      </c>
      <c r="B37" s="4" t="s">
        <v>33</v>
      </c>
      <c r="C37" s="4" t="s">
        <v>39</v>
      </c>
      <c r="D37" s="4" t="s">
        <v>35</v>
      </c>
      <c r="E37" s="39" t="s">
        <v>36</v>
      </c>
      <c r="F37" s="21" t="s">
        <v>11</v>
      </c>
      <c r="G37" s="11" t="s">
        <v>150</v>
      </c>
      <c r="H37" s="21" t="s">
        <v>291</v>
      </c>
      <c r="I37" s="22">
        <v>2</v>
      </c>
      <c r="J37" s="22">
        <v>-12.1086856884156</v>
      </c>
      <c r="K37" s="22">
        <v>-76.971525678191099</v>
      </c>
      <c r="L37" s="13"/>
      <c r="M37" s="12">
        <v>15</v>
      </c>
      <c r="N37" s="12">
        <v>25</v>
      </c>
      <c r="O37" s="12">
        <v>0</v>
      </c>
      <c r="P37" s="12">
        <v>5</v>
      </c>
      <c r="Q37" s="12">
        <v>5</v>
      </c>
      <c r="R37" s="12">
        <v>0</v>
      </c>
      <c r="S37" s="12">
        <v>15</v>
      </c>
      <c r="T37" s="12">
        <v>25</v>
      </c>
      <c r="U37" s="12">
        <v>0</v>
      </c>
      <c r="V37" s="13">
        <v>2</v>
      </c>
      <c r="W37" s="13">
        <v>0</v>
      </c>
      <c r="X37" s="13">
        <v>0</v>
      </c>
      <c r="Y37" s="13">
        <v>0</v>
      </c>
      <c r="Z37" s="13">
        <v>2</v>
      </c>
      <c r="AA37" s="13">
        <v>2</v>
      </c>
      <c r="AB37" s="13">
        <v>5</v>
      </c>
      <c r="AC37" s="13">
        <v>3</v>
      </c>
      <c r="AD37" s="13">
        <v>1</v>
      </c>
      <c r="AE37" s="13">
        <v>1</v>
      </c>
    </row>
    <row r="38" spans="1:31">
      <c r="A38" s="21" t="s">
        <v>94</v>
      </c>
      <c r="B38" s="4" t="s">
        <v>33</v>
      </c>
      <c r="C38" s="4" t="s">
        <v>48</v>
      </c>
      <c r="D38" s="4" t="s">
        <v>35</v>
      </c>
      <c r="E38" s="39" t="s">
        <v>49</v>
      </c>
      <c r="F38" s="21" t="s">
        <v>11</v>
      </c>
      <c r="G38" s="11" t="s">
        <v>150</v>
      </c>
      <c r="H38" s="21" t="s">
        <v>290</v>
      </c>
      <c r="I38" s="22">
        <v>2</v>
      </c>
      <c r="J38" s="22">
        <v>-12.107066354345401</v>
      </c>
      <c r="K38" s="22">
        <v>-77.0229025038374</v>
      </c>
      <c r="L38" s="13"/>
      <c r="M38" s="12">
        <v>15</v>
      </c>
      <c r="N38" s="12">
        <v>25</v>
      </c>
      <c r="O38" s="12">
        <v>0</v>
      </c>
      <c r="P38" s="12">
        <v>5</v>
      </c>
      <c r="Q38" s="12">
        <v>5</v>
      </c>
      <c r="R38" s="12">
        <v>0</v>
      </c>
      <c r="S38" s="12">
        <v>15</v>
      </c>
      <c r="T38" s="12">
        <v>25</v>
      </c>
      <c r="U38" s="12">
        <v>0</v>
      </c>
      <c r="V38" s="13">
        <v>2</v>
      </c>
      <c r="W38" s="13">
        <v>0</v>
      </c>
      <c r="X38" s="13">
        <v>0</v>
      </c>
      <c r="Y38" s="13">
        <v>0</v>
      </c>
      <c r="Z38" s="13">
        <v>2</v>
      </c>
      <c r="AA38" s="13">
        <v>2</v>
      </c>
      <c r="AB38" s="13">
        <v>5</v>
      </c>
      <c r="AC38" s="13">
        <v>3</v>
      </c>
      <c r="AD38" s="13">
        <v>1</v>
      </c>
      <c r="AE38" s="13">
        <v>1</v>
      </c>
    </row>
    <row r="39" spans="1:31">
      <c r="A39" s="21" t="s">
        <v>95</v>
      </c>
      <c r="B39" s="4" t="s">
        <v>33</v>
      </c>
      <c r="C39" s="4" t="s">
        <v>48</v>
      </c>
      <c r="D39" s="4" t="s">
        <v>35</v>
      </c>
      <c r="E39" s="39" t="s">
        <v>49</v>
      </c>
      <c r="F39" s="21" t="s">
        <v>11</v>
      </c>
      <c r="G39" s="11" t="s">
        <v>150</v>
      </c>
      <c r="H39" s="21" t="s">
        <v>181</v>
      </c>
      <c r="I39" s="22">
        <v>2</v>
      </c>
      <c r="J39" s="22">
        <v>-12.1176703626289</v>
      </c>
      <c r="K39" s="22">
        <v>-77.008344316890899</v>
      </c>
      <c r="L39" s="13"/>
      <c r="M39" s="12">
        <v>15</v>
      </c>
      <c r="N39" s="12">
        <v>25</v>
      </c>
      <c r="O39" s="12">
        <v>0</v>
      </c>
      <c r="P39" s="12">
        <v>5</v>
      </c>
      <c r="Q39" s="12">
        <v>5</v>
      </c>
      <c r="R39" s="12">
        <v>0</v>
      </c>
      <c r="S39" s="12">
        <v>15</v>
      </c>
      <c r="T39" s="12">
        <v>25</v>
      </c>
      <c r="U39" s="12">
        <v>0</v>
      </c>
      <c r="V39" s="13">
        <v>2</v>
      </c>
      <c r="W39" s="13">
        <v>0</v>
      </c>
      <c r="X39" s="13">
        <v>0</v>
      </c>
      <c r="Y39" s="13">
        <v>0</v>
      </c>
      <c r="Z39" s="13">
        <v>2</v>
      </c>
      <c r="AA39" s="13">
        <v>2</v>
      </c>
      <c r="AB39" s="13">
        <v>5</v>
      </c>
      <c r="AC39" s="13">
        <v>3</v>
      </c>
      <c r="AD39" s="13">
        <v>1</v>
      </c>
      <c r="AE39" s="13">
        <v>1</v>
      </c>
    </row>
    <row r="40" spans="1:31">
      <c r="A40" s="21" t="s">
        <v>96</v>
      </c>
      <c r="B40" s="4" t="s">
        <v>33</v>
      </c>
      <c r="C40" s="4" t="s">
        <v>48</v>
      </c>
      <c r="D40" s="4" t="s">
        <v>35</v>
      </c>
      <c r="E40" s="39" t="s">
        <v>49</v>
      </c>
      <c r="F40" s="21" t="s">
        <v>11</v>
      </c>
      <c r="G40" s="11" t="s">
        <v>150</v>
      </c>
      <c r="H40" s="21" t="s">
        <v>284</v>
      </c>
      <c r="I40" s="22">
        <v>2</v>
      </c>
      <c r="J40" s="22">
        <v>-12.112102819625401</v>
      </c>
      <c r="K40" s="22">
        <v>-77.003088674182806</v>
      </c>
      <c r="L40" s="13"/>
      <c r="M40" s="12">
        <v>15</v>
      </c>
      <c r="N40" s="12">
        <v>25</v>
      </c>
      <c r="O40" s="12">
        <v>0</v>
      </c>
      <c r="P40" s="12">
        <v>5</v>
      </c>
      <c r="Q40" s="12">
        <v>5</v>
      </c>
      <c r="R40" s="12">
        <v>0</v>
      </c>
      <c r="S40" s="12">
        <v>15</v>
      </c>
      <c r="T40" s="12">
        <v>25</v>
      </c>
      <c r="U40" s="12">
        <v>0</v>
      </c>
      <c r="V40" s="13">
        <v>2</v>
      </c>
      <c r="W40" s="13">
        <v>0</v>
      </c>
      <c r="X40" s="13">
        <v>0</v>
      </c>
      <c r="Y40" s="13">
        <v>0</v>
      </c>
      <c r="Z40" s="13">
        <v>2</v>
      </c>
      <c r="AA40" s="13">
        <v>2</v>
      </c>
      <c r="AB40" s="13">
        <v>5</v>
      </c>
      <c r="AC40" s="13">
        <v>3</v>
      </c>
      <c r="AD40" s="13">
        <v>1</v>
      </c>
      <c r="AE40" s="13">
        <v>1</v>
      </c>
    </row>
    <row r="41" spans="1:31">
      <c r="A41" s="21" t="s">
        <v>97</v>
      </c>
      <c r="B41" s="4" t="s">
        <v>33</v>
      </c>
      <c r="C41" s="4" t="s">
        <v>44</v>
      </c>
      <c r="D41" s="4" t="s">
        <v>35</v>
      </c>
      <c r="E41" s="39" t="s">
        <v>45</v>
      </c>
      <c r="F41" s="21" t="s">
        <v>11</v>
      </c>
      <c r="G41" s="11" t="s">
        <v>150</v>
      </c>
      <c r="H41" s="21" t="s">
        <v>285</v>
      </c>
      <c r="I41" s="22">
        <v>2</v>
      </c>
      <c r="J41" s="22">
        <v>-12.0898398430006</v>
      </c>
      <c r="K41" s="22">
        <v>-76.996418460366002</v>
      </c>
      <c r="L41" s="13"/>
      <c r="M41" s="12">
        <v>15</v>
      </c>
      <c r="N41" s="12">
        <v>25</v>
      </c>
      <c r="O41" s="12">
        <v>0</v>
      </c>
      <c r="P41" s="12">
        <v>5</v>
      </c>
      <c r="Q41" s="12">
        <v>5</v>
      </c>
      <c r="R41" s="12">
        <v>0</v>
      </c>
      <c r="S41" s="12">
        <v>15</v>
      </c>
      <c r="T41" s="12">
        <v>25</v>
      </c>
      <c r="U41" s="12">
        <v>0</v>
      </c>
      <c r="V41" s="13">
        <v>2</v>
      </c>
      <c r="W41" s="13">
        <v>0</v>
      </c>
      <c r="X41" s="13">
        <v>0</v>
      </c>
      <c r="Y41" s="13">
        <v>0</v>
      </c>
      <c r="Z41" s="13">
        <v>2</v>
      </c>
      <c r="AA41" s="13">
        <v>2</v>
      </c>
      <c r="AB41" s="13">
        <v>5</v>
      </c>
      <c r="AC41" s="13">
        <v>3</v>
      </c>
      <c r="AD41" s="13">
        <v>1</v>
      </c>
      <c r="AE41" s="13">
        <v>1</v>
      </c>
    </row>
    <row r="42" spans="1:31">
      <c r="A42" s="21" t="s">
        <v>98</v>
      </c>
      <c r="B42" s="4" t="s">
        <v>33</v>
      </c>
      <c r="C42" s="4" t="s">
        <v>44</v>
      </c>
      <c r="D42" s="4" t="s">
        <v>35</v>
      </c>
      <c r="E42" s="39" t="s">
        <v>45</v>
      </c>
      <c r="F42" s="21" t="s">
        <v>11</v>
      </c>
      <c r="G42" s="11" t="s">
        <v>150</v>
      </c>
      <c r="H42" s="21" t="s">
        <v>286</v>
      </c>
      <c r="I42" s="22">
        <v>2</v>
      </c>
      <c r="J42" s="22">
        <v>-12.086488058923999</v>
      </c>
      <c r="K42" s="22">
        <v>-77.000298031100598</v>
      </c>
      <c r="L42" s="13"/>
      <c r="M42" s="12">
        <v>15</v>
      </c>
      <c r="N42" s="12">
        <v>25</v>
      </c>
      <c r="O42" s="12">
        <v>0</v>
      </c>
      <c r="P42" s="12">
        <v>5</v>
      </c>
      <c r="Q42" s="12">
        <v>5</v>
      </c>
      <c r="R42" s="12">
        <v>0</v>
      </c>
      <c r="S42" s="12">
        <v>15</v>
      </c>
      <c r="T42" s="12">
        <v>25</v>
      </c>
      <c r="U42" s="12">
        <v>0</v>
      </c>
      <c r="V42" s="13">
        <v>2</v>
      </c>
      <c r="W42" s="13">
        <v>0</v>
      </c>
      <c r="X42" s="13">
        <v>0</v>
      </c>
      <c r="Y42" s="13">
        <v>0</v>
      </c>
      <c r="Z42" s="13">
        <v>2</v>
      </c>
      <c r="AA42" s="13">
        <v>2</v>
      </c>
      <c r="AB42" s="13">
        <v>5</v>
      </c>
      <c r="AC42" s="13">
        <v>3</v>
      </c>
      <c r="AD42" s="13">
        <v>1</v>
      </c>
      <c r="AE42" s="13">
        <v>1</v>
      </c>
    </row>
    <row r="43" spans="1:31">
      <c r="A43" s="21" t="s">
        <v>99</v>
      </c>
      <c r="B43" s="4" t="s">
        <v>33</v>
      </c>
      <c r="C43" s="4" t="s">
        <v>39</v>
      </c>
      <c r="D43" s="4" t="s">
        <v>35</v>
      </c>
      <c r="E43" s="39" t="s">
        <v>36</v>
      </c>
      <c r="F43" s="21" t="s">
        <v>12</v>
      </c>
      <c r="G43" s="11" t="s">
        <v>150</v>
      </c>
      <c r="H43" s="21" t="s">
        <v>287</v>
      </c>
      <c r="I43" s="22">
        <v>2</v>
      </c>
      <c r="J43" s="22">
        <v>-12.113266636378899</v>
      </c>
      <c r="K43" s="22">
        <v>-76.992621552291396</v>
      </c>
      <c r="L43" s="13"/>
      <c r="M43" s="12">
        <v>15</v>
      </c>
      <c r="N43" s="12">
        <v>25</v>
      </c>
      <c r="O43" s="12">
        <v>0</v>
      </c>
      <c r="P43" s="12">
        <v>5</v>
      </c>
      <c r="Q43" s="12">
        <v>5</v>
      </c>
      <c r="R43" s="12">
        <v>0</v>
      </c>
      <c r="S43" s="12">
        <v>15</v>
      </c>
      <c r="T43" s="12">
        <v>25</v>
      </c>
      <c r="U43" s="12">
        <v>0</v>
      </c>
      <c r="V43" s="13">
        <v>2</v>
      </c>
      <c r="W43" s="13">
        <v>0</v>
      </c>
      <c r="X43" s="13">
        <v>0</v>
      </c>
      <c r="Y43" s="13">
        <v>0</v>
      </c>
      <c r="Z43" s="13">
        <v>2</v>
      </c>
      <c r="AA43" s="13">
        <v>2</v>
      </c>
      <c r="AB43" s="13">
        <v>5</v>
      </c>
      <c r="AC43" s="13">
        <v>3</v>
      </c>
      <c r="AD43" s="13">
        <v>1</v>
      </c>
      <c r="AE43" s="13">
        <v>1</v>
      </c>
    </row>
    <row r="44" spans="1:31">
      <c r="A44" s="21" t="s">
        <v>100</v>
      </c>
      <c r="B44" s="4" t="s">
        <v>33</v>
      </c>
      <c r="C44" s="4" t="s">
        <v>44</v>
      </c>
      <c r="D44" s="4" t="s">
        <v>35</v>
      </c>
      <c r="E44" s="39" t="s">
        <v>45</v>
      </c>
      <c r="F44" s="21" t="s">
        <v>12</v>
      </c>
      <c r="G44" s="11" t="s">
        <v>150</v>
      </c>
      <c r="H44" s="21" t="s">
        <v>288</v>
      </c>
      <c r="I44" s="22">
        <v>2</v>
      </c>
      <c r="J44" s="22">
        <v>-12.111719094402099</v>
      </c>
      <c r="K44" s="22">
        <v>-77.006863903203097</v>
      </c>
      <c r="L44" s="13"/>
      <c r="M44" s="12">
        <v>15</v>
      </c>
      <c r="N44" s="12">
        <v>25</v>
      </c>
      <c r="O44" s="12">
        <v>0</v>
      </c>
      <c r="P44" s="12">
        <v>5</v>
      </c>
      <c r="Q44" s="12">
        <v>5</v>
      </c>
      <c r="R44" s="12">
        <v>0</v>
      </c>
      <c r="S44" s="12">
        <v>15</v>
      </c>
      <c r="T44" s="12">
        <v>25</v>
      </c>
      <c r="U44" s="12">
        <v>0</v>
      </c>
      <c r="V44" s="13">
        <v>2</v>
      </c>
      <c r="W44" s="13">
        <v>0</v>
      </c>
      <c r="X44" s="13">
        <v>0</v>
      </c>
      <c r="Y44" s="13">
        <v>0</v>
      </c>
      <c r="Z44" s="13">
        <v>2</v>
      </c>
      <c r="AA44" s="13">
        <v>2</v>
      </c>
      <c r="AB44" s="13">
        <v>5</v>
      </c>
      <c r="AC44" s="13">
        <v>3</v>
      </c>
      <c r="AD44" s="13">
        <v>1</v>
      </c>
      <c r="AE44" s="13">
        <v>1</v>
      </c>
    </row>
    <row r="45" spans="1:31">
      <c r="A45" s="21" t="s">
        <v>101</v>
      </c>
      <c r="B45" s="4" t="s">
        <v>33</v>
      </c>
      <c r="C45" s="4" t="s">
        <v>48</v>
      </c>
      <c r="D45" s="4" t="s">
        <v>35</v>
      </c>
      <c r="E45" s="39" t="s">
        <v>49</v>
      </c>
      <c r="F45" s="21" t="s">
        <v>12</v>
      </c>
      <c r="G45" s="11" t="s">
        <v>150</v>
      </c>
      <c r="H45" s="21" t="s">
        <v>289</v>
      </c>
      <c r="I45" s="22">
        <v>2</v>
      </c>
      <c r="J45" s="22">
        <v>-12.1087621349306</v>
      </c>
      <c r="K45" s="22">
        <v>-77.010310248930097</v>
      </c>
      <c r="L45" s="13"/>
      <c r="M45" s="12">
        <v>15</v>
      </c>
      <c r="N45" s="12">
        <v>25</v>
      </c>
      <c r="O45" s="12">
        <v>0</v>
      </c>
      <c r="P45" s="12">
        <v>5</v>
      </c>
      <c r="Q45" s="12">
        <v>5</v>
      </c>
      <c r="R45" s="12">
        <v>0</v>
      </c>
      <c r="S45" s="12">
        <v>15</v>
      </c>
      <c r="T45" s="12">
        <v>25</v>
      </c>
      <c r="U45" s="12">
        <v>0</v>
      </c>
      <c r="V45" s="13">
        <v>2</v>
      </c>
      <c r="W45" s="13">
        <v>0</v>
      </c>
      <c r="X45" s="13">
        <v>0</v>
      </c>
      <c r="Y45" s="13">
        <v>0</v>
      </c>
      <c r="Z45" s="13">
        <v>2</v>
      </c>
      <c r="AA45" s="13">
        <v>2</v>
      </c>
      <c r="AB45" s="13">
        <v>5</v>
      </c>
      <c r="AC45" s="13">
        <v>3</v>
      </c>
      <c r="AD45" s="13">
        <v>1</v>
      </c>
      <c r="AE45" s="13">
        <v>1</v>
      </c>
    </row>
    <row r="46" spans="1:31">
      <c r="A46" s="21" t="s">
        <v>102</v>
      </c>
      <c r="B46" s="4" t="s">
        <v>33</v>
      </c>
      <c r="C46" s="4" t="s">
        <v>48</v>
      </c>
      <c r="D46" s="4" t="s">
        <v>35</v>
      </c>
      <c r="E46" s="39" t="s">
        <v>49</v>
      </c>
      <c r="F46" s="21" t="s">
        <v>12</v>
      </c>
      <c r="G46" s="11" t="s">
        <v>150</v>
      </c>
      <c r="H46" s="21" t="s">
        <v>181</v>
      </c>
      <c r="I46" s="22">
        <v>2</v>
      </c>
      <c r="J46" s="22">
        <v>-12.113413980941001</v>
      </c>
      <c r="K46" s="22">
        <v>-77.023873011680806</v>
      </c>
      <c r="L46" s="13"/>
      <c r="M46" s="12">
        <v>15</v>
      </c>
      <c r="N46" s="12">
        <v>25</v>
      </c>
      <c r="O46" s="12">
        <v>0</v>
      </c>
      <c r="P46" s="12">
        <v>5</v>
      </c>
      <c r="Q46" s="12">
        <v>5</v>
      </c>
      <c r="R46" s="12">
        <v>0</v>
      </c>
      <c r="S46" s="12">
        <v>15</v>
      </c>
      <c r="T46" s="12">
        <v>25</v>
      </c>
      <c r="U46" s="12">
        <v>0</v>
      </c>
      <c r="V46" s="13">
        <v>2</v>
      </c>
      <c r="W46" s="13">
        <v>0</v>
      </c>
      <c r="X46" s="13">
        <v>0</v>
      </c>
      <c r="Y46" s="13">
        <v>0</v>
      </c>
      <c r="Z46" s="13">
        <v>2</v>
      </c>
      <c r="AA46" s="13">
        <v>2</v>
      </c>
      <c r="AB46" s="13">
        <v>5</v>
      </c>
      <c r="AC46" s="13">
        <v>3</v>
      </c>
      <c r="AD46" s="13">
        <v>1</v>
      </c>
      <c r="AE46" s="13">
        <v>1</v>
      </c>
    </row>
    <row r="47" spans="1:31">
      <c r="A47" s="21" t="s">
        <v>103</v>
      </c>
      <c r="B47" s="4" t="s">
        <v>33</v>
      </c>
      <c r="C47" s="4" t="s">
        <v>39</v>
      </c>
      <c r="D47" s="4" t="s">
        <v>35</v>
      </c>
      <c r="E47" s="39" t="s">
        <v>36</v>
      </c>
      <c r="F47" s="21" t="s">
        <v>12</v>
      </c>
      <c r="G47" s="11" t="s">
        <v>150</v>
      </c>
      <c r="H47" s="21" t="s">
        <v>284</v>
      </c>
      <c r="I47" s="22">
        <v>2</v>
      </c>
      <c r="J47" s="22">
        <v>-12.112046874306801</v>
      </c>
      <c r="K47" s="22">
        <v>-76.993331857499001</v>
      </c>
      <c r="L47" s="13"/>
      <c r="M47" s="12">
        <v>15</v>
      </c>
      <c r="N47" s="12">
        <v>25</v>
      </c>
      <c r="O47" s="12">
        <v>0</v>
      </c>
      <c r="P47" s="12">
        <v>5</v>
      </c>
      <c r="Q47" s="12">
        <v>5</v>
      </c>
      <c r="R47" s="12">
        <v>0</v>
      </c>
      <c r="S47" s="12">
        <v>15</v>
      </c>
      <c r="T47" s="12">
        <v>25</v>
      </c>
      <c r="U47" s="12">
        <v>0</v>
      </c>
      <c r="V47" s="13">
        <v>2</v>
      </c>
      <c r="W47" s="13">
        <v>0</v>
      </c>
      <c r="X47" s="13">
        <v>0</v>
      </c>
      <c r="Y47" s="13">
        <v>0</v>
      </c>
      <c r="Z47" s="13">
        <v>2</v>
      </c>
      <c r="AA47" s="13">
        <v>2</v>
      </c>
      <c r="AB47" s="13">
        <v>5</v>
      </c>
      <c r="AC47" s="13">
        <v>3</v>
      </c>
      <c r="AD47" s="13">
        <v>1</v>
      </c>
      <c r="AE47" s="13">
        <v>1</v>
      </c>
    </row>
    <row r="48" spans="1:31">
      <c r="A48" s="21" t="s">
        <v>104</v>
      </c>
      <c r="B48" s="4" t="s">
        <v>33</v>
      </c>
      <c r="C48" s="4" t="s">
        <v>39</v>
      </c>
      <c r="D48" s="4" t="s">
        <v>35</v>
      </c>
      <c r="E48" s="39" t="s">
        <v>36</v>
      </c>
      <c r="F48" s="21" t="s">
        <v>12</v>
      </c>
      <c r="G48" s="11" t="s">
        <v>150</v>
      </c>
      <c r="H48" s="21" t="s">
        <v>285</v>
      </c>
      <c r="I48" s="22">
        <v>2</v>
      </c>
      <c r="J48" s="22">
        <v>-12.1621695052941</v>
      </c>
      <c r="K48" s="22">
        <v>-76.995394455671999</v>
      </c>
      <c r="L48" s="13"/>
      <c r="M48" s="12">
        <v>15</v>
      </c>
      <c r="N48" s="12">
        <v>25</v>
      </c>
      <c r="O48" s="12">
        <v>0</v>
      </c>
      <c r="P48" s="12">
        <v>5</v>
      </c>
      <c r="Q48" s="12">
        <v>5</v>
      </c>
      <c r="R48" s="12">
        <v>0</v>
      </c>
      <c r="S48" s="12">
        <v>15</v>
      </c>
      <c r="T48" s="12">
        <v>25</v>
      </c>
      <c r="U48" s="12">
        <v>0</v>
      </c>
      <c r="V48" s="13">
        <v>2</v>
      </c>
      <c r="W48" s="13">
        <v>0</v>
      </c>
      <c r="X48" s="13">
        <v>0</v>
      </c>
      <c r="Y48" s="13">
        <v>0</v>
      </c>
      <c r="Z48" s="13">
        <v>2</v>
      </c>
      <c r="AA48" s="13">
        <v>2</v>
      </c>
      <c r="AB48" s="13">
        <v>5</v>
      </c>
      <c r="AC48" s="13">
        <v>3</v>
      </c>
      <c r="AD48" s="13">
        <v>1</v>
      </c>
      <c r="AE48" s="13">
        <v>1</v>
      </c>
    </row>
    <row r="49" spans="1:31">
      <c r="A49" s="21" t="s">
        <v>105</v>
      </c>
      <c r="B49" s="4" t="s">
        <v>33</v>
      </c>
      <c r="C49" s="4" t="s">
        <v>34</v>
      </c>
      <c r="D49" s="4" t="s">
        <v>35</v>
      </c>
      <c r="E49" s="39" t="s">
        <v>53</v>
      </c>
      <c r="F49" s="21" t="s">
        <v>12</v>
      </c>
      <c r="G49" s="11" t="s">
        <v>150</v>
      </c>
      <c r="H49" s="21" t="s">
        <v>286</v>
      </c>
      <c r="I49" s="22">
        <v>2</v>
      </c>
      <c r="J49" s="22">
        <v>-12.152040718196499</v>
      </c>
      <c r="K49" s="22">
        <v>-77.019793881341897</v>
      </c>
      <c r="L49" s="13"/>
      <c r="M49" s="12">
        <v>15</v>
      </c>
      <c r="N49" s="12">
        <v>25</v>
      </c>
      <c r="O49" s="12">
        <v>0</v>
      </c>
      <c r="P49" s="12">
        <v>5</v>
      </c>
      <c r="Q49" s="12">
        <v>5</v>
      </c>
      <c r="R49" s="12">
        <v>0</v>
      </c>
      <c r="S49" s="12">
        <v>15</v>
      </c>
      <c r="T49" s="12">
        <v>25</v>
      </c>
      <c r="U49" s="12">
        <v>0</v>
      </c>
      <c r="V49" s="13">
        <v>2</v>
      </c>
      <c r="W49" s="13">
        <v>0</v>
      </c>
      <c r="X49" s="13">
        <v>0</v>
      </c>
      <c r="Y49" s="13">
        <v>0</v>
      </c>
      <c r="Z49" s="13">
        <v>2</v>
      </c>
      <c r="AA49" s="13">
        <v>2</v>
      </c>
      <c r="AB49" s="13">
        <v>5</v>
      </c>
      <c r="AC49" s="13">
        <v>3</v>
      </c>
      <c r="AD49" s="13">
        <v>1</v>
      </c>
      <c r="AE49" s="13">
        <v>1</v>
      </c>
    </row>
    <row r="50" spans="1:31">
      <c r="A50" s="21" t="s">
        <v>106</v>
      </c>
      <c r="B50" s="4" t="s">
        <v>33</v>
      </c>
      <c r="C50" s="4" t="s">
        <v>34</v>
      </c>
      <c r="D50" s="4" t="s">
        <v>35</v>
      </c>
      <c r="E50" s="39" t="s">
        <v>36</v>
      </c>
      <c r="F50" s="21" t="s">
        <v>12</v>
      </c>
      <c r="G50" s="11" t="s">
        <v>150</v>
      </c>
      <c r="H50" s="21" t="s">
        <v>287</v>
      </c>
      <c r="I50" s="22">
        <v>2</v>
      </c>
      <c r="J50" s="22">
        <v>-12.1453864238153</v>
      </c>
      <c r="K50" s="22">
        <v>-77.004130835054397</v>
      </c>
      <c r="L50" s="13"/>
      <c r="M50" s="12">
        <v>15</v>
      </c>
      <c r="N50" s="12">
        <v>25</v>
      </c>
      <c r="O50" s="12">
        <v>0</v>
      </c>
      <c r="P50" s="12">
        <v>5</v>
      </c>
      <c r="Q50" s="12">
        <v>5</v>
      </c>
      <c r="R50" s="12">
        <v>0</v>
      </c>
      <c r="S50" s="12">
        <v>15</v>
      </c>
      <c r="T50" s="12">
        <v>25</v>
      </c>
      <c r="U50" s="12">
        <v>0</v>
      </c>
      <c r="V50" s="13">
        <v>2</v>
      </c>
      <c r="W50" s="13">
        <v>0</v>
      </c>
      <c r="X50" s="13">
        <v>0</v>
      </c>
      <c r="Y50" s="13">
        <v>0</v>
      </c>
      <c r="Z50" s="13">
        <v>2</v>
      </c>
      <c r="AA50" s="13">
        <v>2</v>
      </c>
      <c r="AB50" s="13">
        <v>5</v>
      </c>
      <c r="AC50" s="13">
        <v>3</v>
      </c>
      <c r="AD50" s="13">
        <v>1</v>
      </c>
      <c r="AE50" s="13">
        <v>1</v>
      </c>
    </row>
    <row r="51" spans="1:31">
      <c r="A51" s="21" t="s">
        <v>107</v>
      </c>
      <c r="B51" s="4" t="s">
        <v>33</v>
      </c>
      <c r="C51" s="4" t="s">
        <v>46</v>
      </c>
      <c r="D51" s="4" t="s">
        <v>35</v>
      </c>
      <c r="E51" s="39" t="s">
        <v>47</v>
      </c>
      <c r="F51" s="21" t="s">
        <v>12</v>
      </c>
      <c r="G51" s="11" t="s">
        <v>150</v>
      </c>
      <c r="H51" s="21" t="s">
        <v>288</v>
      </c>
      <c r="I51" s="22">
        <v>2</v>
      </c>
      <c r="J51" s="22">
        <v>-12.103010599929799</v>
      </c>
      <c r="K51" s="22">
        <v>-76.877334428232402</v>
      </c>
      <c r="L51" s="13"/>
      <c r="M51" s="12">
        <v>15</v>
      </c>
      <c r="N51" s="12">
        <v>25</v>
      </c>
      <c r="O51" s="12">
        <v>0</v>
      </c>
      <c r="P51" s="12">
        <v>5</v>
      </c>
      <c r="Q51" s="12">
        <v>5</v>
      </c>
      <c r="R51" s="12">
        <v>0</v>
      </c>
      <c r="S51" s="12">
        <v>15</v>
      </c>
      <c r="T51" s="12">
        <v>25</v>
      </c>
      <c r="U51" s="12">
        <v>0</v>
      </c>
      <c r="V51" s="13">
        <v>2</v>
      </c>
      <c r="W51" s="13">
        <v>0</v>
      </c>
      <c r="X51" s="13">
        <v>0</v>
      </c>
      <c r="Y51" s="13">
        <v>0</v>
      </c>
      <c r="Z51" s="13">
        <v>2</v>
      </c>
      <c r="AA51" s="13">
        <v>2</v>
      </c>
      <c r="AB51" s="13">
        <v>5</v>
      </c>
      <c r="AC51" s="13">
        <v>3</v>
      </c>
      <c r="AD51" s="13">
        <v>1</v>
      </c>
      <c r="AE51" s="13">
        <v>1</v>
      </c>
    </row>
    <row r="52" spans="1:31">
      <c r="A52" s="21" t="s">
        <v>108</v>
      </c>
      <c r="B52" s="4" t="s">
        <v>33</v>
      </c>
      <c r="C52" s="4" t="s">
        <v>46</v>
      </c>
      <c r="D52" s="4" t="s">
        <v>35</v>
      </c>
      <c r="E52" s="39" t="s">
        <v>54</v>
      </c>
      <c r="F52" s="21" t="s">
        <v>12</v>
      </c>
      <c r="G52" s="11" t="s">
        <v>150</v>
      </c>
      <c r="H52" s="21" t="s">
        <v>289</v>
      </c>
      <c r="I52" s="22">
        <v>2</v>
      </c>
      <c r="J52" s="22">
        <v>-12.088741707781701</v>
      </c>
      <c r="K52" s="22">
        <v>-76.856089169581296</v>
      </c>
      <c r="L52" s="13"/>
      <c r="M52" s="12">
        <v>15</v>
      </c>
      <c r="N52" s="12">
        <v>25</v>
      </c>
      <c r="O52" s="12">
        <v>0</v>
      </c>
      <c r="P52" s="12">
        <v>5</v>
      </c>
      <c r="Q52" s="12">
        <v>5</v>
      </c>
      <c r="R52" s="12">
        <v>0</v>
      </c>
      <c r="S52" s="12">
        <v>15</v>
      </c>
      <c r="T52" s="12">
        <v>25</v>
      </c>
      <c r="U52" s="12">
        <v>0</v>
      </c>
      <c r="V52" s="13">
        <v>2</v>
      </c>
      <c r="W52" s="13">
        <v>0</v>
      </c>
      <c r="X52" s="13">
        <v>0</v>
      </c>
      <c r="Y52" s="13">
        <v>0</v>
      </c>
      <c r="Z52" s="13">
        <v>2</v>
      </c>
      <c r="AA52" s="13">
        <v>2</v>
      </c>
      <c r="AB52" s="13">
        <v>5</v>
      </c>
      <c r="AC52" s="13">
        <v>3</v>
      </c>
      <c r="AD52" s="13">
        <v>1</v>
      </c>
      <c r="AE52" s="13">
        <v>1</v>
      </c>
    </row>
    <row r="53" spans="1:31">
      <c r="A53" s="21" t="s">
        <v>109</v>
      </c>
      <c r="B53" s="4" t="s">
        <v>33</v>
      </c>
      <c r="C53" s="4" t="s">
        <v>39</v>
      </c>
      <c r="D53" s="4" t="s">
        <v>35</v>
      </c>
      <c r="E53" s="39" t="s">
        <v>36</v>
      </c>
      <c r="F53" s="21" t="s">
        <v>12</v>
      </c>
      <c r="G53" s="11" t="s">
        <v>150</v>
      </c>
      <c r="H53" s="21" t="s">
        <v>181</v>
      </c>
      <c r="I53" s="22">
        <v>2</v>
      </c>
      <c r="J53" s="22">
        <v>-12.095351118679799</v>
      </c>
      <c r="K53" s="22">
        <v>-76.963971960391405</v>
      </c>
      <c r="L53" s="13"/>
      <c r="M53" s="12">
        <v>15</v>
      </c>
      <c r="N53" s="12">
        <v>18</v>
      </c>
      <c r="O53" s="12">
        <v>2</v>
      </c>
      <c r="P53" s="12">
        <v>4</v>
      </c>
      <c r="Q53" s="12">
        <v>4</v>
      </c>
      <c r="R53" s="12">
        <v>0</v>
      </c>
      <c r="S53" s="12">
        <v>0</v>
      </c>
      <c r="T53" s="12">
        <v>0</v>
      </c>
      <c r="U53" s="12">
        <v>0</v>
      </c>
      <c r="V53" s="13">
        <v>4</v>
      </c>
      <c r="W53" s="13">
        <v>30</v>
      </c>
      <c r="X53" s="13">
        <v>0</v>
      </c>
      <c r="Y53" s="13">
        <v>0</v>
      </c>
      <c r="Z53" s="13">
        <v>34</v>
      </c>
      <c r="AA53" s="13">
        <v>2</v>
      </c>
      <c r="AB53" s="13">
        <v>5</v>
      </c>
      <c r="AC53" s="13">
        <v>3</v>
      </c>
      <c r="AD53" s="13">
        <v>1</v>
      </c>
      <c r="AE53" s="13">
        <v>1</v>
      </c>
    </row>
    <row r="54" spans="1:31">
      <c r="A54" s="21" t="s">
        <v>110</v>
      </c>
      <c r="B54" s="4" t="s">
        <v>33</v>
      </c>
      <c r="C54" s="4" t="s">
        <v>39</v>
      </c>
      <c r="D54" s="4" t="s">
        <v>35</v>
      </c>
      <c r="E54" s="39" t="s">
        <v>36</v>
      </c>
      <c r="F54" s="21" t="s">
        <v>12</v>
      </c>
      <c r="G54" s="11" t="s">
        <v>150</v>
      </c>
      <c r="H54" s="21" t="s">
        <v>291</v>
      </c>
      <c r="I54" s="22">
        <v>2</v>
      </c>
      <c r="J54" s="22">
        <v>-12.109176562861601</v>
      </c>
      <c r="K54" s="22">
        <v>-76.974709064532902</v>
      </c>
      <c r="L54" s="13"/>
      <c r="M54" s="12">
        <v>15</v>
      </c>
      <c r="N54" s="12">
        <v>18</v>
      </c>
      <c r="O54" s="12">
        <v>2</v>
      </c>
      <c r="P54" s="12">
        <v>4</v>
      </c>
      <c r="Q54" s="12">
        <v>4</v>
      </c>
      <c r="R54" s="12">
        <v>0</v>
      </c>
      <c r="S54" s="12">
        <v>0</v>
      </c>
      <c r="T54" s="12">
        <v>0</v>
      </c>
      <c r="U54" s="12">
        <v>0</v>
      </c>
      <c r="V54" s="13">
        <v>4</v>
      </c>
      <c r="W54" s="13">
        <v>30</v>
      </c>
      <c r="X54" s="13">
        <v>0</v>
      </c>
      <c r="Y54" s="13">
        <v>0</v>
      </c>
      <c r="Z54" s="13">
        <v>34</v>
      </c>
      <c r="AA54" s="13">
        <v>2</v>
      </c>
      <c r="AB54" s="13">
        <v>5</v>
      </c>
      <c r="AC54" s="13">
        <v>3</v>
      </c>
      <c r="AD54" s="13">
        <v>1</v>
      </c>
      <c r="AE54" s="13">
        <v>1</v>
      </c>
    </row>
    <row r="55" spans="1:31">
      <c r="A55" s="21" t="s">
        <v>111</v>
      </c>
      <c r="B55" s="4" t="s">
        <v>33</v>
      </c>
      <c r="C55" s="4" t="s">
        <v>39</v>
      </c>
      <c r="D55" s="4" t="s">
        <v>35</v>
      </c>
      <c r="E55" s="39" t="s">
        <v>36</v>
      </c>
      <c r="F55" s="21" t="s">
        <v>12</v>
      </c>
      <c r="G55" s="11" t="s">
        <v>150</v>
      </c>
      <c r="H55" s="21" t="s">
        <v>290</v>
      </c>
      <c r="I55" s="22">
        <v>2</v>
      </c>
      <c r="J55" s="22">
        <v>-12.1080574448434</v>
      </c>
      <c r="K55" s="22">
        <v>-76.969219400494694</v>
      </c>
      <c r="L55" s="13"/>
      <c r="M55" s="12">
        <v>15</v>
      </c>
      <c r="N55" s="12">
        <v>18</v>
      </c>
      <c r="O55" s="12">
        <v>2</v>
      </c>
      <c r="P55" s="12">
        <v>4</v>
      </c>
      <c r="Q55" s="12">
        <v>4</v>
      </c>
      <c r="R55" s="12">
        <v>0</v>
      </c>
      <c r="S55" s="12">
        <v>0</v>
      </c>
      <c r="T55" s="12">
        <v>0</v>
      </c>
      <c r="U55" s="12">
        <v>0</v>
      </c>
      <c r="V55" s="13">
        <v>4</v>
      </c>
      <c r="W55" s="13">
        <v>30</v>
      </c>
      <c r="X55" s="13">
        <v>0</v>
      </c>
      <c r="Y55" s="13">
        <v>0</v>
      </c>
      <c r="Z55" s="13">
        <v>34</v>
      </c>
      <c r="AA55" s="13">
        <v>2</v>
      </c>
      <c r="AB55" s="13">
        <v>5</v>
      </c>
      <c r="AC55" s="13">
        <v>3</v>
      </c>
      <c r="AD55" s="13">
        <v>1</v>
      </c>
      <c r="AE55" s="13">
        <v>1</v>
      </c>
    </row>
    <row r="56" spans="1:31">
      <c r="A56" s="21" t="s">
        <v>112</v>
      </c>
      <c r="B56" s="4" t="s">
        <v>33</v>
      </c>
      <c r="C56" s="4" t="s">
        <v>39</v>
      </c>
      <c r="D56" s="4" t="s">
        <v>35</v>
      </c>
      <c r="E56" s="39" t="s">
        <v>36</v>
      </c>
      <c r="F56" s="21" t="s">
        <v>13</v>
      </c>
      <c r="G56" s="11" t="s">
        <v>150</v>
      </c>
      <c r="H56" s="21" t="s">
        <v>181</v>
      </c>
      <c r="I56" s="22">
        <v>2</v>
      </c>
      <c r="J56" s="22">
        <v>-12.1432353226497</v>
      </c>
      <c r="K56" s="22">
        <v>-76.985056288996603</v>
      </c>
      <c r="L56" s="13"/>
      <c r="M56" s="12">
        <v>15</v>
      </c>
      <c r="N56" s="12">
        <v>18</v>
      </c>
      <c r="O56" s="12">
        <v>2</v>
      </c>
      <c r="P56" s="12">
        <v>4</v>
      </c>
      <c r="Q56" s="12">
        <v>4</v>
      </c>
      <c r="R56" s="12">
        <v>0</v>
      </c>
      <c r="S56" s="12">
        <v>0</v>
      </c>
      <c r="T56" s="12">
        <v>0</v>
      </c>
      <c r="U56" s="12">
        <v>0</v>
      </c>
      <c r="V56" s="13">
        <v>4</v>
      </c>
      <c r="W56" s="13">
        <v>30</v>
      </c>
      <c r="X56" s="13">
        <v>0</v>
      </c>
      <c r="Y56" s="13">
        <v>0</v>
      </c>
      <c r="Z56" s="13">
        <v>34</v>
      </c>
      <c r="AA56" s="13">
        <v>2</v>
      </c>
      <c r="AB56" s="13">
        <v>5</v>
      </c>
      <c r="AC56" s="13">
        <v>3</v>
      </c>
      <c r="AD56" s="13">
        <v>1</v>
      </c>
      <c r="AE56" s="13">
        <v>1</v>
      </c>
    </row>
    <row r="57" spans="1:31">
      <c r="A57" s="21" t="s">
        <v>113</v>
      </c>
      <c r="B57" s="4" t="s">
        <v>33</v>
      </c>
      <c r="C57" s="4" t="s">
        <v>40</v>
      </c>
      <c r="D57" s="4" t="s">
        <v>35</v>
      </c>
      <c r="E57" s="39" t="s">
        <v>41</v>
      </c>
      <c r="F57" s="21" t="s">
        <v>13</v>
      </c>
      <c r="G57" s="11" t="s">
        <v>144</v>
      </c>
      <c r="H57" s="21" t="s">
        <v>284</v>
      </c>
      <c r="I57" s="22">
        <v>2</v>
      </c>
      <c r="J57" s="22">
        <v>-12.1893666241277</v>
      </c>
      <c r="K57" s="22">
        <v>-77.014350112041598</v>
      </c>
      <c r="L57" s="13"/>
      <c r="M57" s="12">
        <v>15</v>
      </c>
      <c r="N57" s="12">
        <v>18</v>
      </c>
      <c r="O57" s="12">
        <v>2</v>
      </c>
      <c r="P57" s="12">
        <v>4</v>
      </c>
      <c r="Q57" s="12">
        <v>4</v>
      </c>
      <c r="R57" s="12">
        <v>0</v>
      </c>
      <c r="S57" s="12">
        <v>0</v>
      </c>
      <c r="T57" s="12">
        <v>0</v>
      </c>
      <c r="U57" s="12">
        <v>0</v>
      </c>
      <c r="V57" s="13">
        <v>4</v>
      </c>
      <c r="W57" s="13">
        <v>30</v>
      </c>
      <c r="X57" s="13">
        <v>0</v>
      </c>
      <c r="Y57" s="13">
        <v>0</v>
      </c>
      <c r="Z57" s="13">
        <v>34</v>
      </c>
      <c r="AA57" s="13">
        <v>2</v>
      </c>
      <c r="AB57" s="13">
        <v>5</v>
      </c>
      <c r="AC57" s="13">
        <v>3</v>
      </c>
      <c r="AD57" s="13">
        <v>1</v>
      </c>
      <c r="AE57" s="13">
        <v>1</v>
      </c>
    </row>
    <row r="58" spans="1:31">
      <c r="A58" s="21" t="s">
        <v>114</v>
      </c>
      <c r="B58" s="4" t="s">
        <v>33</v>
      </c>
      <c r="C58" s="4" t="s">
        <v>40</v>
      </c>
      <c r="D58" s="4" t="s">
        <v>35</v>
      </c>
      <c r="E58" s="39" t="s">
        <v>41</v>
      </c>
      <c r="F58" s="21" t="s">
        <v>13</v>
      </c>
      <c r="G58" s="11" t="s">
        <v>144</v>
      </c>
      <c r="H58" s="21" t="s">
        <v>285</v>
      </c>
      <c r="I58" s="22">
        <v>2</v>
      </c>
      <c r="J58" s="22">
        <v>-12.1765523799787</v>
      </c>
      <c r="K58" s="22">
        <v>-77.006746532375303</v>
      </c>
      <c r="L58" s="13"/>
      <c r="M58" s="12">
        <v>15</v>
      </c>
      <c r="N58" s="12">
        <v>18</v>
      </c>
      <c r="O58" s="12">
        <v>2</v>
      </c>
      <c r="P58" s="12">
        <v>4</v>
      </c>
      <c r="Q58" s="12">
        <v>4</v>
      </c>
      <c r="R58" s="12">
        <v>0</v>
      </c>
      <c r="S58" s="12">
        <v>0</v>
      </c>
      <c r="T58" s="12">
        <v>0</v>
      </c>
      <c r="U58" s="12">
        <v>0</v>
      </c>
      <c r="V58" s="13">
        <v>4</v>
      </c>
      <c r="W58" s="13">
        <v>30</v>
      </c>
      <c r="X58" s="13">
        <v>0</v>
      </c>
      <c r="Y58" s="13">
        <v>0</v>
      </c>
      <c r="Z58" s="13">
        <v>34</v>
      </c>
      <c r="AA58" s="13">
        <v>2</v>
      </c>
      <c r="AB58" s="13">
        <v>5</v>
      </c>
      <c r="AC58" s="13">
        <v>3</v>
      </c>
      <c r="AD58" s="13">
        <v>1</v>
      </c>
      <c r="AE58" s="13">
        <v>1</v>
      </c>
    </row>
    <row r="59" spans="1:31">
      <c r="A59" s="21" t="s">
        <v>115</v>
      </c>
      <c r="B59" s="4" t="s">
        <v>33</v>
      </c>
      <c r="C59" s="4" t="s">
        <v>40</v>
      </c>
      <c r="D59" s="4" t="s">
        <v>35</v>
      </c>
      <c r="E59" s="39" t="s">
        <v>41</v>
      </c>
      <c r="F59" s="21" t="s">
        <v>13</v>
      </c>
      <c r="G59" s="11" t="s">
        <v>144</v>
      </c>
      <c r="H59" s="21" t="s">
        <v>286</v>
      </c>
      <c r="I59" s="22">
        <v>2</v>
      </c>
      <c r="J59" s="22">
        <v>-12.1723275323801</v>
      </c>
      <c r="K59" s="22">
        <v>-77.021250496886694</v>
      </c>
      <c r="L59" s="13"/>
      <c r="M59" s="12">
        <v>15</v>
      </c>
      <c r="N59" s="12">
        <v>18</v>
      </c>
      <c r="O59" s="12">
        <v>2</v>
      </c>
      <c r="P59" s="12">
        <v>4</v>
      </c>
      <c r="Q59" s="12">
        <v>4</v>
      </c>
      <c r="R59" s="12">
        <v>0</v>
      </c>
      <c r="S59" s="12">
        <v>0</v>
      </c>
      <c r="T59" s="12">
        <v>0</v>
      </c>
      <c r="U59" s="12">
        <v>0</v>
      </c>
      <c r="V59" s="13">
        <v>4</v>
      </c>
      <c r="W59" s="13">
        <v>30</v>
      </c>
      <c r="X59" s="13">
        <v>0</v>
      </c>
      <c r="Y59" s="13">
        <v>0</v>
      </c>
      <c r="Z59" s="13">
        <v>34</v>
      </c>
      <c r="AA59" s="13">
        <v>2</v>
      </c>
      <c r="AB59" s="13">
        <v>5</v>
      </c>
      <c r="AC59" s="13">
        <v>3</v>
      </c>
      <c r="AD59" s="13">
        <v>1</v>
      </c>
      <c r="AE59" s="13">
        <v>1</v>
      </c>
    </row>
    <row r="60" spans="1:31">
      <c r="A60" s="21" t="s">
        <v>116</v>
      </c>
      <c r="B60" s="4" t="s">
        <v>33</v>
      </c>
      <c r="C60" s="4" t="s">
        <v>40</v>
      </c>
      <c r="D60" s="4" t="s">
        <v>35</v>
      </c>
      <c r="E60" s="39" t="s">
        <v>41</v>
      </c>
      <c r="F60" s="21" t="s">
        <v>13</v>
      </c>
      <c r="G60" s="11" t="s">
        <v>144</v>
      </c>
      <c r="H60" s="21" t="s">
        <v>287</v>
      </c>
      <c r="I60" s="22">
        <v>2</v>
      </c>
      <c r="J60" s="22">
        <v>-12.1792615022124</v>
      </c>
      <c r="K60" s="22">
        <v>-77.010037973659806</v>
      </c>
      <c r="L60" s="13"/>
      <c r="M60" s="12">
        <v>15</v>
      </c>
      <c r="N60" s="12">
        <v>18</v>
      </c>
      <c r="O60" s="12">
        <v>2</v>
      </c>
      <c r="P60" s="12">
        <v>4</v>
      </c>
      <c r="Q60" s="12">
        <v>4</v>
      </c>
      <c r="R60" s="12">
        <v>0</v>
      </c>
      <c r="S60" s="12">
        <v>0</v>
      </c>
      <c r="T60" s="12">
        <v>0</v>
      </c>
      <c r="U60" s="12">
        <v>0</v>
      </c>
      <c r="V60" s="13">
        <v>4</v>
      </c>
      <c r="W60" s="13">
        <v>30</v>
      </c>
      <c r="X60" s="13">
        <v>0</v>
      </c>
      <c r="Y60" s="13">
        <v>0</v>
      </c>
      <c r="Z60" s="13">
        <v>34</v>
      </c>
      <c r="AA60" s="13">
        <v>2</v>
      </c>
      <c r="AB60" s="13">
        <v>5</v>
      </c>
      <c r="AC60" s="13">
        <v>3</v>
      </c>
      <c r="AD60" s="13">
        <v>1</v>
      </c>
      <c r="AE60" s="13">
        <v>1</v>
      </c>
    </row>
    <row r="61" spans="1:31">
      <c r="A61" s="21" t="s">
        <v>117</v>
      </c>
      <c r="B61" s="4" t="s">
        <v>33</v>
      </c>
      <c r="C61" s="4" t="s">
        <v>42</v>
      </c>
      <c r="D61" s="4" t="s">
        <v>35</v>
      </c>
      <c r="E61" s="39" t="s">
        <v>43</v>
      </c>
      <c r="F61" s="21" t="s">
        <v>13</v>
      </c>
      <c r="G61" s="11" t="s">
        <v>144</v>
      </c>
      <c r="H61" s="21" t="s">
        <v>288</v>
      </c>
      <c r="I61" s="22">
        <v>2</v>
      </c>
      <c r="J61" s="22">
        <v>-12.1793215096762</v>
      </c>
      <c r="K61" s="22">
        <v>-76.962469774205005</v>
      </c>
      <c r="L61" s="13"/>
      <c r="M61" s="12">
        <v>15</v>
      </c>
      <c r="N61" s="12">
        <v>18</v>
      </c>
      <c r="O61" s="12">
        <v>2</v>
      </c>
      <c r="P61" s="12">
        <v>4</v>
      </c>
      <c r="Q61" s="12">
        <v>4</v>
      </c>
      <c r="R61" s="12">
        <v>0</v>
      </c>
      <c r="S61" s="12">
        <v>0</v>
      </c>
      <c r="T61" s="12">
        <v>0</v>
      </c>
      <c r="U61" s="12">
        <v>0</v>
      </c>
      <c r="V61" s="13">
        <v>4</v>
      </c>
      <c r="W61" s="13">
        <v>30</v>
      </c>
      <c r="X61" s="13">
        <v>0</v>
      </c>
      <c r="Y61" s="13">
        <v>0</v>
      </c>
      <c r="Z61" s="13">
        <v>34</v>
      </c>
      <c r="AA61" s="13">
        <v>2</v>
      </c>
      <c r="AB61" s="13">
        <v>5</v>
      </c>
      <c r="AC61" s="13">
        <v>3</v>
      </c>
      <c r="AD61" s="13">
        <v>1</v>
      </c>
      <c r="AE61" s="13">
        <v>1</v>
      </c>
    </row>
    <row r="62" spans="1:31">
      <c r="A62" s="21" t="s">
        <v>118</v>
      </c>
      <c r="B62" s="4" t="s">
        <v>33</v>
      </c>
      <c r="C62" s="4" t="s">
        <v>46</v>
      </c>
      <c r="D62" s="4" t="s">
        <v>35</v>
      </c>
      <c r="E62" s="39" t="s">
        <v>47</v>
      </c>
      <c r="F62" s="21" t="s">
        <v>13</v>
      </c>
      <c r="G62" s="11" t="s">
        <v>144</v>
      </c>
      <c r="H62" s="21" t="s">
        <v>289</v>
      </c>
      <c r="I62" s="22">
        <v>2</v>
      </c>
      <c r="J62" s="22">
        <v>-12.230252960613401</v>
      </c>
      <c r="K62" s="22">
        <v>-76.863641369979106</v>
      </c>
      <c r="L62" s="13"/>
      <c r="M62" s="12">
        <v>15</v>
      </c>
      <c r="N62" s="12">
        <v>18</v>
      </c>
      <c r="O62" s="12">
        <v>2</v>
      </c>
      <c r="P62" s="12">
        <v>4</v>
      </c>
      <c r="Q62" s="12">
        <v>4</v>
      </c>
      <c r="R62" s="12">
        <v>0</v>
      </c>
      <c r="S62" s="12">
        <v>0</v>
      </c>
      <c r="T62" s="12">
        <v>0</v>
      </c>
      <c r="U62" s="12">
        <v>0</v>
      </c>
      <c r="V62" s="13">
        <v>4</v>
      </c>
      <c r="W62" s="13">
        <v>30</v>
      </c>
      <c r="X62" s="13">
        <v>0</v>
      </c>
      <c r="Y62" s="13">
        <v>0</v>
      </c>
      <c r="Z62" s="13">
        <v>34</v>
      </c>
      <c r="AA62" s="13">
        <v>2</v>
      </c>
      <c r="AB62" s="13">
        <v>5</v>
      </c>
      <c r="AC62" s="13">
        <v>3</v>
      </c>
      <c r="AD62" s="13">
        <v>1</v>
      </c>
      <c r="AE62" s="13">
        <v>1</v>
      </c>
    </row>
    <row r="63" spans="1:31">
      <c r="A63" s="21" t="s">
        <v>119</v>
      </c>
      <c r="B63" s="4" t="s">
        <v>33</v>
      </c>
      <c r="C63" s="4" t="s">
        <v>46</v>
      </c>
      <c r="D63" s="4" t="s">
        <v>35</v>
      </c>
      <c r="E63" s="39" t="s">
        <v>47</v>
      </c>
      <c r="F63" s="21" t="s">
        <v>14</v>
      </c>
      <c r="G63" s="11" t="s">
        <v>144</v>
      </c>
      <c r="H63" s="21" t="s">
        <v>181</v>
      </c>
      <c r="I63" s="22">
        <v>2</v>
      </c>
      <c r="J63" s="22">
        <v>-12.2273670605452</v>
      </c>
      <c r="K63" s="22">
        <v>-76.859013381069801</v>
      </c>
      <c r="L63" s="13"/>
      <c r="M63" s="12">
        <v>15</v>
      </c>
      <c r="N63" s="12">
        <v>18</v>
      </c>
      <c r="O63" s="12">
        <v>2</v>
      </c>
      <c r="P63" s="12">
        <v>4</v>
      </c>
      <c r="Q63" s="12">
        <v>4</v>
      </c>
      <c r="R63" s="12">
        <v>0</v>
      </c>
      <c r="S63" s="12">
        <v>0</v>
      </c>
      <c r="T63" s="12">
        <v>0</v>
      </c>
      <c r="U63" s="12">
        <v>0</v>
      </c>
      <c r="V63" s="13">
        <v>4</v>
      </c>
      <c r="W63" s="13">
        <v>30</v>
      </c>
      <c r="X63" s="13">
        <v>0</v>
      </c>
      <c r="Y63" s="13">
        <v>0</v>
      </c>
      <c r="Z63" s="13">
        <v>34</v>
      </c>
      <c r="AA63" s="13">
        <v>2</v>
      </c>
      <c r="AB63" s="13">
        <v>5</v>
      </c>
      <c r="AC63" s="13">
        <v>3</v>
      </c>
      <c r="AD63" s="13">
        <v>1</v>
      </c>
      <c r="AE63" s="13">
        <v>1</v>
      </c>
    </row>
    <row r="64" spans="1:31">
      <c r="A64" s="21" t="s">
        <v>120</v>
      </c>
      <c r="B64" s="4" t="s">
        <v>33</v>
      </c>
      <c r="C64" s="4" t="s">
        <v>44</v>
      </c>
      <c r="D64" s="4" t="s">
        <v>35</v>
      </c>
      <c r="E64" s="39" t="s">
        <v>45</v>
      </c>
      <c r="F64" s="21" t="s">
        <v>14</v>
      </c>
      <c r="G64" s="11" t="s">
        <v>144</v>
      </c>
      <c r="H64" s="21" t="s">
        <v>284</v>
      </c>
      <c r="I64" s="22">
        <v>2</v>
      </c>
      <c r="J64" s="22">
        <v>-12.0997697041376</v>
      </c>
      <c r="K64" s="22">
        <v>-77.001743566445597</v>
      </c>
      <c r="L64" s="13"/>
      <c r="M64" s="12">
        <v>15</v>
      </c>
      <c r="N64" s="12">
        <v>18</v>
      </c>
      <c r="O64" s="12">
        <v>2</v>
      </c>
      <c r="P64" s="12">
        <v>4</v>
      </c>
      <c r="Q64" s="12">
        <v>4</v>
      </c>
      <c r="R64" s="12">
        <v>0</v>
      </c>
      <c r="S64" s="12">
        <v>0</v>
      </c>
      <c r="T64" s="12">
        <v>0</v>
      </c>
      <c r="U64" s="12">
        <v>0</v>
      </c>
      <c r="V64" s="13">
        <v>4</v>
      </c>
      <c r="W64" s="13">
        <v>30</v>
      </c>
      <c r="X64" s="13">
        <v>0</v>
      </c>
      <c r="Y64" s="13">
        <v>0</v>
      </c>
      <c r="Z64" s="13">
        <v>34</v>
      </c>
      <c r="AA64" s="13">
        <v>2</v>
      </c>
      <c r="AB64" s="13">
        <v>5</v>
      </c>
      <c r="AC64" s="13">
        <v>3</v>
      </c>
      <c r="AD64" s="13">
        <v>1</v>
      </c>
      <c r="AE64" s="13">
        <v>1</v>
      </c>
    </row>
    <row r="65" spans="1:31">
      <c r="A65" s="21" t="s">
        <v>121</v>
      </c>
      <c r="B65" s="4" t="s">
        <v>33</v>
      </c>
      <c r="C65" s="4" t="s">
        <v>44</v>
      </c>
      <c r="D65" s="4" t="s">
        <v>35</v>
      </c>
      <c r="E65" s="39" t="s">
        <v>45</v>
      </c>
      <c r="F65" s="21" t="s">
        <v>14</v>
      </c>
      <c r="G65" s="11" t="s">
        <v>144</v>
      </c>
      <c r="H65" s="21" t="s">
        <v>285</v>
      </c>
      <c r="I65" s="22">
        <v>2</v>
      </c>
      <c r="J65" s="22">
        <v>-12.100696190402401</v>
      </c>
      <c r="K65" s="22">
        <v>-76.994530278312894</v>
      </c>
      <c r="L65" s="13"/>
      <c r="M65" s="12">
        <v>15</v>
      </c>
      <c r="N65" s="12">
        <v>18</v>
      </c>
      <c r="O65" s="12">
        <v>2</v>
      </c>
      <c r="P65" s="12">
        <v>4</v>
      </c>
      <c r="Q65" s="12">
        <v>4</v>
      </c>
      <c r="R65" s="12">
        <v>0</v>
      </c>
      <c r="S65" s="12">
        <v>0</v>
      </c>
      <c r="T65" s="12">
        <v>0</v>
      </c>
      <c r="U65" s="12">
        <v>0</v>
      </c>
      <c r="V65" s="13">
        <v>4</v>
      </c>
      <c r="W65" s="13">
        <v>30</v>
      </c>
      <c r="X65" s="13">
        <v>0</v>
      </c>
      <c r="Y65" s="13">
        <v>0</v>
      </c>
      <c r="Z65" s="13">
        <v>34</v>
      </c>
      <c r="AA65" s="13">
        <v>2</v>
      </c>
      <c r="AB65" s="13">
        <v>5</v>
      </c>
      <c r="AC65" s="13">
        <v>3</v>
      </c>
      <c r="AD65" s="13">
        <v>1</v>
      </c>
      <c r="AE65" s="13">
        <v>1</v>
      </c>
    </row>
    <row r="66" spans="1:31">
      <c r="A66" s="21" t="s">
        <v>122</v>
      </c>
      <c r="B66" s="4" t="s">
        <v>33</v>
      </c>
      <c r="C66" s="4" t="s">
        <v>51</v>
      </c>
      <c r="D66" s="4" t="s">
        <v>35</v>
      </c>
      <c r="E66" s="39" t="s">
        <v>52</v>
      </c>
      <c r="F66" s="21" t="s">
        <v>14</v>
      </c>
      <c r="G66" s="11" t="s">
        <v>144</v>
      </c>
      <c r="H66" s="21" t="s">
        <v>286</v>
      </c>
      <c r="I66" s="22">
        <v>3</v>
      </c>
      <c r="J66" s="22">
        <v>-12.091566576891401</v>
      </c>
      <c r="K66" s="22">
        <v>-76.950924906185406</v>
      </c>
      <c r="L66" s="13"/>
      <c r="M66" s="12">
        <v>15</v>
      </c>
      <c r="N66" s="12">
        <v>0</v>
      </c>
      <c r="O66" s="12">
        <v>10</v>
      </c>
      <c r="P66" s="12">
        <v>2</v>
      </c>
      <c r="Q66" s="12">
        <v>2</v>
      </c>
      <c r="R66" s="12">
        <v>0</v>
      </c>
      <c r="S66" s="12">
        <v>0</v>
      </c>
      <c r="T66" s="12">
        <v>0</v>
      </c>
      <c r="U66" s="12">
        <v>0</v>
      </c>
      <c r="V66" s="13">
        <v>4</v>
      </c>
      <c r="W66" s="13">
        <v>80</v>
      </c>
      <c r="X66" s="13">
        <v>0</v>
      </c>
      <c r="Y66" s="13">
        <v>0</v>
      </c>
      <c r="Z66" s="13">
        <v>84</v>
      </c>
      <c r="AA66" s="13">
        <v>2</v>
      </c>
      <c r="AB66" s="13">
        <v>5</v>
      </c>
      <c r="AC66" s="13">
        <v>3</v>
      </c>
      <c r="AD66" s="13">
        <v>1</v>
      </c>
      <c r="AE66" s="13">
        <v>1</v>
      </c>
    </row>
    <row r="67" spans="1:31">
      <c r="A67" s="21" t="s">
        <v>123</v>
      </c>
      <c r="B67" s="4" t="s">
        <v>33</v>
      </c>
      <c r="C67" s="4" t="s">
        <v>51</v>
      </c>
      <c r="D67" s="4" t="s">
        <v>35</v>
      </c>
      <c r="E67" s="39" t="s">
        <v>52</v>
      </c>
      <c r="F67" s="21" t="s">
        <v>14</v>
      </c>
      <c r="G67" s="11" t="s">
        <v>144</v>
      </c>
      <c r="H67" s="21" t="s">
        <v>287</v>
      </c>
      <c r="I67" s="22">
        <v>3</v>
      </c>
      <c r="J67" s="22">
        <v>-12.085993891545399</v>
      </c>
      <c r="K67" s="22">
        <v>-76.889357714050703</v>
      </c>
      <c r="L67" s="13"/>
      <c r="M67" s="12">
        <v>15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5</v>
      </c>
      <c r="U67" s="12">
        <v>20</v>
      </c>
      <c r="V67" s="13">
        <v>3</v>
      </c>
      <c r="W67" s="13">
        <v>0</v>
      </c>
      <c r="X67" s="13">
        <v>0</v>
      </c>
      <c r="Y67" s="13">
        <v>0</v>
      </c>
      <c r="Z67" s="13">
        <v>3</v>
      </c>
      <c r="AA67" s="13">
        <v>2</v>
      </c>
      <c r="AB67" s="13">
        <v>5</v>
      </c>
      <c r="AC67" s="13">
        <v>3</v>
      </c>
      <c r="AD67" s="13">
        <v>1</v>
      </c>
      <c r="AE67" s="13">
        <v>1</v>
      </c>
    </row>
    <row r="68" spans="1:31">
      <c r="A68" s="21" t="s">
        <v>124</v>
      </c>
      <c r="B68" s="4" t="s">
        <v>33</v>
      </c>
      <c r="C68" s="4" t="s">
        <v>51</v>
      </c>
      <c r="D68" s="4" t="s">
        <v>35</v>
      </c>
      <c r="E68" s="39" t="s">
        <v>52</v>
      </c>
      <c r="F68" s="21" t="s">
        <v>14</v>
      </c>
      <c r="G68" s="11" t="s">
        <v>144</v>
      </c>
      <c r="H68" s="21" t="s">
        <v>288</v>
      </c>
      <c r="I68" s="22">
        <v>3</v>
      </c>
      <c r="J68" s="22">
        <v>-12.0695301230969</v>
      </c>
      <c r="K68" s="22">
        <v>-76.9578334148012</v>
      </c>
      <c r="L68" s="13"/>
      <c r="M68" s="12">
        <v>15</v>
      </c>
      <c r="N68" s="12">
        <v>18</v>
      </c>
      <c r="O68" s="12">
        <v>2</v>
      </c>
      <c r="P68" s="12">
        <v>4</v>
      </c>
      <c r="Q68" s="12">
        <v>4</v>
      </c>
      <c r="R68" s="12">
        <v>0</v>
      </c>
      <c r="S68" s="12">
        <v>0</v>
      </c>
      <c r="T68" s="12">
        <v>0</v>
      </c>
      <c r="U68" s="12">
        <v>0</v>
      </c>
      <c r="V68" s="13">
        <v>4</v>
      </c>
      <c r="W68" s="13">
        <v>30</v>
      </c>
      <c r="X68" s="13">
        <v>0</v>
      </c>
      <c r="Y68" s="13">
        <v>0</v>
      </c>
      <c r="Z68" s="13">
        <v>34</v>
      </c>
      <c r="AA68" s="13">
        <v>2</v>
      </c>
      <c r="AB68" s="13">
        <v>5</v>
      </c>
      <c r="AC68" s="13">
        <v>3</v>
      </c>
      <c r="AD68" s="13">
        <v>1</v>
      </c>
      <c r="AE68" s="13">
        <v>1</v>
      </c>
    </row>
    <row r="69" spans="1:31">
      <c r="A69" s="21" t="s">
        <v>125</v>
      </c>
      <c r="B69" s="4" t="s">
        <v>33</v>
      </c>
      <c r="C69" s="4" t="s">
        <v>48</v>
      </c>
      <c r="D69" s="4" t="s">
        <v>35</v>
      </c>
      <c r="E69" s="39" t="s">
        <v>50</v>
      </c>
      <c r="F69" s="21" t="s">
        <v>14</v>
      </c>
      <c r="G69" s="11" t="s">
        <v>144</v>
      </c>
      <c r="H69" s="21" t="s">
        <v>289</v>
      </c>
      <c r="I69" s="22">
        <v>3</v>
      </c>
      <c r="J69" s="22">
        <v>-12.1318149979884</v>
      </c>
      <c r="K69" s="22">
        <v>-77.030600927809203</v>
      </c>
      <c r="L69" s="13"/>
      <c r="M69" s="12">
        <v>15</v>
      </c>
      <c r="N69" s="12">
        <v>18</v>
      </c>
      <c r="O69" s="12">
        <v>2</v>
      </c>
      <c r="P69" s="12">
        <v>4</v>
      </c>
      <c r="Q69" s="12">
        <v>4</v>
      </c>
      <c r="R69" s="12">
        <v>0</v>
      </c>
      <c r="S69" s="12">
        <v>0</v>
      </c>
      <c r="T69" s="12">
        <v>0</v>
      </c>
      <c r="U69" s="12">
        <v>0</v>
      </c>
      <c r="V69" s="13">
        <v>4</v>
      </c>
      <c r="W69" s="13">
        <v>30</v>
      </c>
      <c r="X69" s="13">
        <v>0</v>
      </c>
      <c r="Y69" s="13">
        <v>0</v>
      </c>
      <c r="Z69" s="13">
        <v>34</v>
      </c>
      <c r="AA69" s="13">
        <v>2</v>
      </c>
      <c r="AB69" s="13">
        <v>5</v>
      </c>
      <c r="AC69" s="13">
        <v>3</v>
      </c>
      <c r="AD69" s="13">
        <v>1</v>
      </c>
      <c r="AE69" s="13">
        <v>1</v>
      </c>
    </row>
    <row r="70" spans="1:31">
      <c r="A70" s="21" t="s">
        <v>126</v>
      </c>
      <c r="B70" s="4" t="s">
        <v>33</v>
      </c>
      <c r="C70" s="4" t="s">
        <v>37</v>
      </c>
      <c r="D70" s="4" t="s">
        <v>35</v>
      </c>
      <c r="E70" s="39" t="s">
        <v>55</v>
      </c>
      <c r="F70" s="21" t="s">
        <v>140</v>
      </c>
      <c r="G70" s="11" t="s">
        <v>144</v>
      </c>
      <c r="H70" s="21" t="s">
        <v>181</v>
      </c>
      <c r="I70" s="22">
        <v>2</v>
      </c>
      <c r="J70" s="22">
        <v>-12.131008333300001</v>
      </c>
      <c r="K70" s="22">
        <v>-76.960224999999994</v>
      </c>
      <c r="L70" s="13"/>
      <c r="M70" s="12">
        <v>15</v>
      </c>
      <c r="N70" s="12">
        <v>18</v>
      </c>
      <c r="O70" s="12">
        <v>2</v>
      </c>
      <c r="P70" s="12">
        <v>4</v>
      </c>
      <c r="Q70" s="12">
        <v>4</v>
      </c>
      <c r="R70" s="12">
        <v>0</v>
      </c>
      <c r="S70" s="12">
        <v>0</v>
      </c>
      <c r="T70" s="12">
        <v>0</v>
      </c>
      <c r="U70" s="12">
        <v>0</v>
      </c>
      <c r="V70" s="13">
        <v>4</v>
      </c>
      <c r="W70" s="13">
        <v>30</v>
      </c>
      <c r="X70" s="13">
        <v>0</v>
      </c>
      <c r="Y70" s="13">
        <v>0</v>
      </c>
      <c r="Z70" s="13">
        <v>34</v>
      </c>
      <c r="AA70" s="13">
        <v>2</v>
      </c>
      <c r="AB70" s="13">
        <v>5</v>
      </c>
      <c r="AC70" s="13">
        <v>3</v>
      </c>
      <c r="AD70" s="13">
        <v>1</v>
      </c>
      <c r="AE70" s="13">
        <v>1</v>
      </c>
    </row>
    <row r="71" spans="1:31">
      <c r="A71" s="21" t="s">
        <v>127</v>
      </c>
      <c r="B71" s="4" t="s">
        <v>33</v>
      </c>
      <c r="C71" s="4" t="s">
        <v>48</v>
      </c>
      <c r="D71" s="4" t="s">
        <v>35</v>
      </c>
      <c r="E71" s="39" t="s">
        <v>49</v>
      </c>
      <c r="F71" s="21" t="s">
        <v>140</v>
      </c>
      <c r="G71" s="11" t="s">
        <v>144</v>
      </c>
      <c r="H71" s="21" t="s">
        <v>291</v>
      </c>
      <c r="I71" s="22">
        <v>3</v>
      </c>
      <c r="J71" s="22">
        <v>-12.103719937569499</v>
      </c>
      <c r="K71" s="22">
        <v>-77.021081648134796</v>
      </c>
      <c r="L71" s="13"/>
      <c r="M71" s="12">
        <v>15</v>
      </c>
      <c r="N71" s="12">
        <v>18</v>
      </c>
      <c r="O71" s="12">
        <v>2</v>
      </c>
      <c r="P71" s="12">
        <v>4</v>
      </c>
      <c r="Q71" s="12">
        <v>4</v>
      </c>
      <c r="R71" s="12">
        <v>0</v>
      </c>
      <c r="S71" s="12">
        <v>0</v>
      </c>
      <c r="T71" s="12">
        <v>0</v>
      </c>
      <c r="U71" s="12">
        <v>0</v>
      </c>
      <c r="V71" s="13">
        <v>4</v>
      </c>
      <c r="W71" s="13">
        <v>30</v>
      </c>
      <c r="X71" s="13">
        <v>0</v>
      </c>
      <c r="Y71" s="13">
        <v>0</v>
      </c>
      <c r="Z71" s="13">
        <v>34</v>
      </c>
      <c r="AA71" s="13">
        <v>2</v>
      </c>
      <c r="AB71" s="13">
        <v>5</v>
      </c>
      <c r="AC71" s="13">
        <v>3</v>
      </c>
      <c r="AD71" s="13">
        <v>1</v>
      </c>
      <c r="AE71" s="13">
        <v>1</v>
      </c>
    </row>
    <row r="72" spans="1:31">
      <c r="A72" s="21" t="s">
        <v>128</v>
      </c>
      <c r="B72" s="4" t="s">
        <v>33</v>
      </c>
      <c r="C72" s="4" t="s">
        <v>40</v>
      </c>
      <c r="D72" s="4" t="s">
        <v>35</v>
      </c>
      <c r="E72" s="39" t="s">
        <v>41</v>
      </c>
      <c r="F72" s="21" t="s">
        <v>140</v>
      </c>
      <c r="G72" s="11" t="s">
        <v>144</v>
      </c>
      <c r="H72" s="21" t="s">
        <v>290</v>
      </c>
      <c r="I72" s="22">
        <v>3</v>
      </c>
      <c r="J72" s="22">
        <v>-12.1679303333235</v>
      </c>
      <c r="K72" s="22">
        <v>-77.021712772266795</v>
      </c>
      <c r="L72" s="13"/>
      <c r="M72" s="12">
        <v>15</v>
      </c>
      <c r="N72" s="12">
        <v>18</v>
      </c>
      <c r="O72" s="12">
        <v>2</v>
      </c>
      <c r="P72" s="12">
        <v>4</v>
      </c>
      <c r="Q72" s="12">
        <v>4</v>
      </c>
      <c r="R72" s="12">
        <v>0</v>
      </c>
      <c r="S72" s="12">
        <v>0</v>
      </c>
      <c r="T72" s="12">
        <v>0</v>
      </c>
      <c r="U72" s="12">
        <v>0</v>
      </c>
      <c r="V72" s="13">
        <v>4</v>
      </c>
      <c r="W72" s="13">
        <v>30</v>
      </c>
      <c r="X72" s="13">
        <v>0</v>
      </c>
      <c r="Y72" s="13">
        <v>0</v>
      </c>
      <c r="Z72" s="13">
        <v>34</v>
      </c>
      <c r="AA72" s="13">
        <v>2</v>
      </c>
      <c r="AB72" s="13">
        <v>5</v>
      </c>
      <c r="AC72" s="13">
        <v>3</v>
      </c>
      <c r="AD72" s="13">
        <v>1</v>
      </c>
      <c r="AE72" s="13">
        <v>1</v>
      </c>
    </row>
    <row r="73" spans="1:31">
      <c r="A73" s="21" t="s">
        <v>129</v>
      </c>
      <c r="B73" s="4" t="s">
        <v>33</v>
      </c>
      <c r="C73" s="4" t="s">
        <v>39</v>
      </c>
      <c r="D73" s="4" t="s">
        <v>35</v>
      </c>
      <c r="E73" s="39" t="s">
        <v>36</v>
      </c>
      <c r="F73" s="21" t="s">
        <v>140</v>
      </c>
      <c r="G73" s="11" t="s">
        <v>144</v>
      </c>
      <c r="H73" s="21" t="s">
        <v>181</v>
      </c>
      <c r="I73" s="22">
        <v>3</v>
      </c>
      <c r="J73" s="22">
        <v>-12.1147733953076</v>
      </c>
      <c r="K73" s="22">
        <v>-76.991496636825005</v>
      </c>
      <c r="L73" s="13"/>
      <c r="M73" s="12">
        <v>15</v>
      </c>
      <c r="N73" s="12">
        <v>18</v>
      </c>
      <c r="O73" s="12">
        <v>2</v>
      </c>
      <c r="P73" s="12">
        <v>4</v>
      </c>
      <c r="Q73" s="12">
        <v>4</v>
      </c>
      <c r="R73" s="12">
        <v>0</v>
      </c>
      <c r="S73" s="12">
        <v>0</v>
      </c>
      <c r="T73" s="12">
        <v>0</v>
      </c>
      <c r="U73" s="12">
        <v>0</v>
      </c>
      <c r="V73" s="13">
        <v>4</v>
      </c>
      <c r="W73" s="13">
        <v>30</v>
      </c>
      <c r="X73" s="13">
        <v>0</v>
      </c>
      <c r="Y73" s="13">
        <v>0</v>
      </c>
      <c r="Z73" s="13">
        <v>34</v>
      </c>
      <c r="AA73" s="13">
        <v>2</v>
      </c>
      <c r="AB73" s="13">
        <v>5</v>
      </c>
      <c r="AC73" s="13">
        <v>3</v>
      </c>
      <c r="AD73" s="13">
        <v>1</v>
      </c>
      <c r="AE73" s="13">
        <v>1</v>
      </c>
    </row>
    <row r="74" spans="1:31">
      <c r="A74" s="21" t="s">
        <v>130</v>
      </c>
      <c r="B74" s="4" t="s">
        <v>33</v>
      </c>
      <c r="C74" s="4" t="s">
        <v>39</v>
      </c>
      <c r="D74" s="4" t="s">
        <v>35</v>
      </c>
      <c r="E74" s="39" t="s">
        <v>36</v>
      </c>
      <c r="F74" s="21" t="s">
        <v>140</v>
      </c>
      <c r="G74" s="11" t="s">
        <v>144</v>
      </c>
      <c r="H74" s="21" t="s">
        <v>284</v>
      </c>
      <c r="I74" s="22">
        <v>3</v>
      </c>
      <c r="J74" s="22">
        <v>-12.1475171387772</v>
      </c>
      <c r="K74" s="22">
        <v>-76.991051716483696</v>
      </c>
      <c r="L74" s="13"/>
      <c r="M74" s="12">
        <v>15</v>
      </c>
      <c r="N74" s="12">
        <v>18</v>
      </c>
      <c r="O74" s="12">
        <v>2</v>
      </c>
      <c r="P74" s="12">
        <v>4</v>
      </c>
      <c r="Q74" s="12">
        <v>4</v>
      </c>
      <c r="R74" s="12">
        <v>0</v>
      </c>
      <c r="S74" s="12">
        <v>0</v>
      </c>
      <c r="T74" s="12">
        <v>0</v>
      </c>
      <c r="U74" s="12">
        <v>0</v>
      </c>
      <c r="V74" s="13">
        <v>4</v>
      </c>
      <c r="W74" s="13">
        <v>30</v>
      </c>
      <c r="X74" s="13">
        <v>0</v>
      </c>
      <c r="Y74" s="13">
        <v>0</v>
      </c>
      <c r="Z74" s="13">
        <v>34</v>
      </c>
      <c r="AA74" s="13">
        <v>2</v>
      </c>
      <c r="AB74" s="13">
        <v>5</v>
      </c>
      <c r="AC74" s="13">
        <v>3</v>
      </c>
      <c r="AD74" s="13">
        <v>1</v>
      </c>
      <c r="AE74" s="13">
        <v>1</v>
      </c>
    </row>
    <row r="75" spans="1:31">
      <c r="A75" s="21" t="s">
        <v>131</v>
      </c>
      <c r="B75" s="4" t="s">
        <v>33</v>
      </c>
      <c r="C75" s="4" t="s">
        <v>34</v>
      </c>
      <c r="D75" s="4" t="s">
        <v>35</v>
      </c>
      <c r="E75" s="39" t="s">
        <v>53</v>
      </c>
      <c r="F75" s="21" t="s">
        <v>140</v>
      </c>
      <c r="G75" s="11" t="s">
        <v>144</v>
      </c>
      <c r="H75" s="21" t="s">
        <v>285</v>
      </c>
      <c r="I75" s="22">
        <v>3</v>
      </c>
      <c r="J75" s="22">
        <v>-12.146296777118</v>
      </c>
      <c r="K75" s="22">
        <v>-77.021738367615598</v>
      </c>
      <c r="L75" s="13"/>
      <c r="M75" s="12">
        <v>15</v>
      </c>
      <c r="N75" s="12">
        <v>18</v>
      </c>
      <c r="O75" s="12">
        <v>2</v>
      </c>
      <c r="P75" s="12">
        <v>4</v>
      </c>
      <c r="Q75" s="12">
        <v>4</v>
      </c>
      <c r="R75" s="12">
        <v>0</v>
      </c>
      <c r="S75" s="12">
        <v>0</v>
      </c>
      <c r="T75" s="12">
        <v>0</v>
      </c>
      <c r="U75" s="12">
        <v>0</v>
      </c>
      <c r="V75" s="13">
        <v>4</v>
      </c>
      <c r="W75" s="13">
        <v>30</v>
      </c>
      <c r="X75" s="13">
        <v>0</v>
      </c>
      <c r="Y75" s="13">
        <v>0</v>
      </c>
      <c r="Z75" s="13">
        <v>34</v>
      </c>
      <c r="AA75" s="13">
        <v>2</v>
      </c>
      <c r="AB75" s="13">
        <v>5</v>
      </c>
      <c r="AC75" s="13">
        <v>3</v>
      </c>
      <c r="AD75" s="13">
        <v>1</v>
      </c>
      <c r="AE75" s="13">
        <v>1</v>
      </c>
    </row>
    <row r="76" spans="1:31">
      <c r="A76" s="21" t="s">
        <v>132</v>
      </c>
      <c r="B76" s="4" t="s">
        <v>33</v>
      </c>
      <c r="C76" s="4" t="s">
        <v>34</v>
      </c>
      <c r="D76" s="4" t="s">
        <v>35</v>
      </c>
      <c r="E76" s="39" t="s">
        <v>56</v>
      </c>
      <c r="F76" s="21" t="s">
        <v>140</v>
      </c>
      <c r="G76" s="11" t="s">
        <v>151</v>
      </c>
      <c r="H76" s="21" t="s">
        <v>286</v>
      </c>
      <c r="I76" s="35">
        <v>1</v>
      </c>
      <c r="J76" s="36">
        <v>-12.1457038</v>
      </c>
      <c r="K76" s="36">
        <v>-77.013564400000007</v>
      </c>
      <c r="L76" s="13"/>
      <c r="M76" s="12">
        <v>15</v>
      </c>
      <c r="N76" s="12">
        <v>18</v>
      </c>
      <c r="O76" s="12">
        <v>2</v>
      </c>
      <c r="P76" s="12">
        <v>4</v>
      </c>
      <c r="Q76" s="12">
        <v>4</v>
      </c>
      <c r="R76" s="12">
        <v>0</v>
      </c>
      <c r="S76" s="12">
        <v>0</v>
      </c>
      <c r="T76" s="12">
        <v>0</v>
      </c>
      <c r="U76" s="12">
        <v>0</v>
      </c>
      <c r="V76" s="13">
        <v>4</v>
      </c>
      <c r="W76" s="13">
        <v>30</v>
      </c>
      <c r="X76" s="13">
        <v>0</v>
      </c>
      <c r="Y76" s="13">
        <v>0</v>
      </c>
      <c r="Z76" s="13">
        <v>34</v>
      </c>
      <c r="AA76" s="13">
        <v>2</v>
      </c>
      <c r="AB76" s="13">
        <v>5</v>
      </c>
      <c r="AC76" s="13">
        <v>3</v>
      </c>
      <c r="AD76" s="13">
        <v>1</v>
      </c>
      <c r="AE76" s="13">
        <v>1</v>
      </c>
    </row>
    <row r="77" spans="1:31">
      <c r="A77" s="21" t="s">
        <v>133</v>
      </c>
      <c r="B77" s="4" t="s">
        <v>33</v>
      </c>
      <c r="C77" s="8" t="s">
        <v>40</v>
      </c>
      <c r="D77" s="4" t="s">
        <v>35</v>
      </c>
      <c r="E77" s="39" t="s">
        <v>41</v>
      </c>
      <c r="F77" s="21" t="s">
        <v>140</v>
      </c>
      <c r="G77" s="11" t="s">
        <v>151</v>
      </c>
      <c r="H77" s="21" t="s">
        <v>287</v>
      </c>
      <c r="I77" s="35">
        <v>1</v>
      </c>
      <c r="J77" s="36">
        <v>-12.1938107</v>
      </c>
      <c r="K77" s="35">
        <v>-77.020144299999998</v>
      </c>
      <c r="L77" s="13"/>
      <c r="M77" s="12">
        <v>15</v>
      </c>
      <c r="N77" s="12">
        <v>23</v>
      </c>
      <c r="O77" s="12">
        <v>2</v>
      </c>
      <c r="P77" s="12">
        <v>5</v>
      </c>
      <c r="Q77" s="12">
        <v>5</v>
      </c>
      <c r="R77" s="12">
        <v>0</v>
      </c>
      <c r="S77" s="12">
        <v>0</v>
      </c>
      <c r="T77" s="12">
        <v>0</v>
      </c>
      <c r="U77" s="12">
        <v>0</v>
      </c>
      <c r="V77" s="13">
        <v>4</v>
      </c>
      <c r="W77" s="13">
        <v>0</v>
      </c>
      <c r="X77" s="13">
        <v>0</v>
      </c>
      <c r="Y77" s="13">
        <v>0</v>
      </c>
      <c r="Z77" s="13">
        <v>4</v>
      </c>
      <c r="AA77" s="13">
        <v>2</v>
      </c>
      <c r="AB77" s="13">
        <v>5</v>
      </c>
      <c r="AC77" s="13">
        <v>3</v>
      </c>
      <c r="AD77" s="13">
        <v>1</v>
      </c>
      <c r="AE77" s="13">
        <v>1</v>
      </c>
    </row>
    <row r="78" spans="1:31">
      <c r="A78" s="21" t="s">
        <v>134</v>
      </c>
      <c r="B78" s="4" t="s">
        <v>33</v>
      </c>
      <c r="C78" s="8" t="s">
        <v>48</v>
      </c>
      <c r="D78" s="4" t="s">
        <v>35</v>
      </c>
      <c r="E78" s="39" t="s">
        <v>57</v>
      </c>
      <c r="F78" s="21" t="s">
        <v>140</v>
      </c>
      <c r="G78" s="11" t="s">
        <v>147</v>
      </c>
      <c r="H78" s="21" t="s">
        <v>288</v>
      </c>
      <c r="I78" s="35">
        <v>1</v>
      </c>
      <c r="J78" s="35">
        <v>-12.104669700000001</v>
      </c>
      <c r="K78" s="35">
        <v>-77.018531600000003</v>
      </c>
      <c r="L78" s="13"/>
      <c r="M78" s="12">
        <v>15</v>
      </c>
      <c r="N78" s="12">
        <v>23</v>
      </c>
      <c r="O78" s="12">
        <v>2</v>
      </c>
      <c r="P78" s="12">
        <v>5</v>
      </c>
      <c r="Q78" s="12">
        <v>5</v>
      </c>
      <c r="R78" s="12">
        <v>0</v>
      </c>
      <c r="S78" s="12">
        <v>0</v>
      </c>
      <c r="T78" s="12">
        <v>0</v>
      </c>
      <c r="U78" s="12">
        <v>0</v>
      </c>
      <c r="V78" s="13">
        <v>4</v>
      </c>
      <c r="W78" s="13">
        <v>0</v>
      </c>
      <c r="X78" s="13">
        <v>0</v>
      </c>
      <c r="Y78" s="13">
        <v>0</v>
      </c>
      <c r="Z78" s="13">
        <v>4</v>
      </c>
      <c r="AA78" s="13">
        <v>2</v>
      </c>
      <c r="AB78" s="13">
        <v>5</v>
      </c>
      <c r="AC78" s="13">
        <v>3</v>
      </c>
      <c r="AD78" s="13">
        <v>1</v>
      </c>
      <c r="AE78" s="13">
        <v>1</v>
      </c>
    </row>
    <row r="79" spans="1:31">
      <c r="A79" s="21" t="s">
        <v>135</v>
      </c>
      <c r="B79" s="4" t="s">
        <v>33</v>
      </c>
      <c r="C79" s="8" t="s">
        <v>46</v>
      </c>
      <c r="D79" s="4" t="s">
        <v>35</v>
      </c>
      <c r="E79" s="39" t="s">
        <v>47</v>
      </c>
      <c r="F79" s="21" t="s">
        <v>140</v>
      </c>
      <c r="G79" s="11" t="s">
        <v>147</v>
      </c>
      <c r="H79" s="21" t="s">
        <v>289</v>
      </c>
      <c r="I79" s="35">
        <v>1</v>
      </c>
      <c r="J79" s="35">
        <v>-12.1144567</v>
      </c>
      <c r="K79" s="35">
        <v>-76.873497799999996</v>
      </c>
      <c r="L79" s="13"/>
      <c r="M79" s="12">
        <v>15</v>
      </c>
      <c r="N79" s="12">
        <v>23</v>
      </c>
      <c r="O79" s="12">
        <v>2</v>
      </c>
      <c r="P79" s="12">
        <v>5</v>
      </c>
      <c r="Q79" s="12">
        <v>5</v>
      </c>
      <c r="R79" s="12">
        <v>0</v>
      </c>
      <c r="S79" s="12">
        <v>0</v>
      </c>
      <c r="T79" s="12">
        <v>0</v>
      </c>
      <c r="U79" s="12">
        <v>0</v>
      </c>
      <c r="V79" s="13">
        <v>4</v>
      </c>
      <c r="W79" s="13">
        <v>0</v>
      </c>
      <c r="X79" s="13">
        <v>0</v>
      </c>
      <c r="Y79" s="13">
        <v>0</v>
      </c>
      <c r="Z79" s="13">
        <v>4</v>
      </c>
      <c r="AA79" s="13">
        <v>2</v>
      </c>
      <c r="AB79" s="13">
        <v>5</v>
      </c>
      <c r="AC79" s="13">
        <v>3</v>
      </c>
      <c r="AD79" s="13">
        <v>1</v>
      </c>
      <c r="AE79" s="13">
        <v>1</v>
      </c>
    </row>
    <row r="80" spans="1:31">
      <c r="A80" s="21" t="s">
        <v>136</v>
      </c>
      <c r="B80" s="4" t="s">
        <v>33</v>
      </c>
      <c r="C80" s="8" t="s">
        <v>40</v>
      </c>
      <c r="D80" s="4" t="s">
        <v>35</v>
      </c>
      <c r="E80" s="39" t="s">
        <v>41</v>
      </c>
      <c r="F80" s="21" t="s">
        <v>140</v>
      </c>
      <c r="G80" s="11" t="s">
        <v>147</v>
      </c>
      <c r="H80" s="21" t="s">
        <v>181</v>
      </c>
      <c r="I80" s="35">
        <v>1</v>
      </c>
      <c r="J80" s="37">
        <v>-12.193363700000001</v>
      </c>
      <c r="K80" s="37">
        <v>-77.003424600000002</v>
      </c>
      <c r="L80" s="13"/>
      <c r="M80" s="12">
        <v>15</v>
      </c>
      <c r="N80" s="12">
        <v>25</v>
      </c>
      <c r="O80" s="12">
        <v>0</v>
      </c>
      <c r="P80" s="12">
        <v>5</v>
      </c>
      <c r="Q80" s="12">
        <v>5</v>
      </c>
      <c r="R80" s="12">
        <v>0</v>
      </c>
      <c r="S80" s="12">
        <v>15</v>
      </c>
      <c r="T80" s="12">
        <v>25</v>
      </c>
      <c r="U80" s="12">
        <v>0</v>
      </c>
      <c r="V80" s="13">
        <v>2</v>
      </c>
      <c r="W80" s="13">
        <v>0</v>
      </c>
      <c r="X80" s="13">
        <v>0</v>
      </c>
      <c r="Y80" s="13">
        <v>0</v>
      </c>
      <c r="Z80" s="13">
        <v>2</v>
      </c>
      <c r="AA80" s="13">
        <v>2</v>
      </c>
      <c r="AB80" s="13">
        <v>5</v>
      </c>
      <c r="AC80" s="13">
        <v>3</v>
      </c>
      <c r="AD80" s="13">
        <v>1</v>
      </c>
      <c r="AE80" s="13">
        <v>1</v>
      </c>
    </row>
    <row r="81" spans="1:31">
      <c r="A81" s="21" t="s">
        <v>137</v>
      </c>
      <c r="B81" s="4" t="s">
        <v>33</v>
      </c>
      <c r="C81" s="8" t="s">
        <v>51</v>
      </c>
      <c r="D81" s="4" t="s">
        <v>35</v>
      </c>
      <c r="E81" s="39" t="s">
        <v>38</v>
      </c>
      <c r="F81" s="21" t="s">
        <v>140</v>
      </c>
      <c r="G81" s="11" t="s">
        <v>147</v>
      </c>
      <c r="H81" s="21" t="s">
        <v>284</v>
      </c>
      <c r="I81" s="35">
        <v>1</v>
      </c>
      <c r="J81" s="37">
        <v>-12.141315499999999</v>
      </c>
      <c r="K81" s="37">
        <v>-76.967153499999995</v>
      </c>
      <c r="L81" s="13"/>
      <c r="M81" s="12">
        <v>15</v>
      </c>
      <c r="N81" s="12">
        <v>25</v>
      </c>
      <c r="O81" s="12">
        <v>0</v>
      </c>
      <c r="P81" s="12">
        <v>5</v>
      </c>
      <c r="Q81" s="12">
        <v>5</v>
      </c>
      <c r="R81" s="12">
        <v>0</v>
      </c>
      <c r="S81" s="12">
        <v>15</v>
      </c>
      <c r="T81" s="12">
        <v>25</v>
      </c>
      <c r="U81" s="12">
        <v>0</v>
      </c>
      <c r="V81" s="13">
        <v>2</v>
      </c>
      <c r="W81" s="13">
        <v>0</v>
      </c>
      <c r="X81" s="13">
        <v>0</v>
      </c>
      <c r="Y81" s="13">
        <v>0</v>
      </c>
      <c r="Z81" s="13">
        <v>2</v>
      </c>
      <c r="AA81" s="13">
        <v>2</v>
      </c>
      <c r="AB81" s="13">
        <v>5</v>
      </c>
      <c r="AC81" s="13">
        <v>3</v>
      </c>
      <c r="AD81" s="13">
        <v>1</v>
      </c>
      <c r="AE81" s="13">
        <v>1</v>
      </c>
    </row>
    <row r="82" spans="1:31">
      <c r="A82" s="21" t="s">
        <v>138</v>
      </c>
      <c r="B82" s="4" t="s">
        <v>33</v>
      </c>
      <c r="C82" s="8" t="s">
        <v>51</v>
      </c>
      <c r="D82" s="4" t="s">
        <v>35</v>
      </c>
      <c r="E82" s="39" t="s">
        <v>38</v>
      </c>
      <c r="F82" s="21" t="s">
        <v>140</v>
      </c>
      <c r="G82" s="11" t="s">
        <v>147</v>
      </c>
      <c r="H82" s="21" t="s">
        <v>285</v>
      </c>
      <c r="I82" s="35">
        <v>1</v>
      </c>
      <c r="J82" s="38">
        <v>-12.101637699999999</v>
      </c>
      <c r="K82" s="38">
        <v>-76.9492142</v>
      </c>
      <c r="L82" s="13"/>
      <c r="M82" s="12">
        <v>15</v>
      </c>
      <c r="N82" s="12">
        <v>25</v>
      </c>
      <c r="O82" s="12">
        <v>0</v>
      </c>
      <c r="P82" s="12">
        <v>5</v>
      </c>
      <c r="Q82" s="12">
        <v>5</v>
      </c>
      <c r="R82" s="12">
        <v>0</v>
      </c>
      <c r="S82" s="12">
        <v>15</v>
      </c>
      <c r="T82" s="12">
        <v>25</v>
      </c>
      <c r="U82" s="12">
        <v>0</v>
      </c>
      <c r="V82" s="13">
        <v>2</v>
      </c>
      <c r="W82" s="13">
        <v>0</v>
      </c>
      <c r="X82" s="13">
        <v>0</v>
      </c>
      <c r="Y82" s="13">
        <v>0</v>
      </c>
      <c r="Z82" s="13">
        <v>2</v>
      </c>
      <c r="AA82" s="13">
        <v>2</v>
      </c>
      <c r="AB82" s="13">
        <v>5</v>
      </c>
      <c r="AC82" s="13">
        <v>3</v>
      </c>
      <c r="AD82" s="13">
        <v>1</v>
      </c>
      <c r="AE82" s="13">
        <v>1</v>
      </c>
    </row>
    <row r="83" spans="1:31">
      <c r="A83" s="21" t="s">
        <v>139</v>
      </c>
      <c r="B83" s="4" t="s">
        <v>33</v>
      </c>
      <c r="C83" s="4" t="s">
        <v>34</v>
      </c>
      <c r="D83" s="4" t="s">
        <v>35</v>
      </c>
      <c r="E83" s="39" t="s">
        <v>53</v>
      </c>
      <c r="F83" s="21" t="s">
        <v>140</v>
      </c>
      <c r="G83" s="11" t="s">
        <v>147</v>
      </c>
      <c r="H83" s="21" t="s">
        <v>286</v>
      </c>
      <c r="I83" s="35">
        <v>2</v>
      </c>
      <c r="J83" s="35">
        <v>-12.137591499999999</v>
      </c>
      <c r="K83" s="35">
        <v>-77.022476699999999</v>
      </c>
      <c r="L83" s="13"/>
      <c r="M83" s="12">
        <v>15</v>
      </c>
      <c r="N83" s="12">
        <v>0</v>
      </c>
      <c r="O83" s="12">
        <v>10</v>
      </c>
      <c r="P83" s="12">
        <v>2</v>
      </c>
      <c r="Q83" s="12">
        <v>2</v>
      </c>
      <c r="R83" s="12">
        <v>0</v>
      </c>
      <c r="S83" s="12">
        <v>0</v>
      </c>
      <c r="T83" s="12">
        <v>0</v>
      </c>
      <c r="U83" s="12">
        <v>0</v>
      </c>
      <c r="V83" s="13">
        <v>4</v>
      </c>
      <c r="W83" s="13">
        <v>80</v>
      </c>
      <c r="X83" s="13">
        <v>0</v>
      </c>
      <c r="Y83" s="13">
        <v>0</v>
      </c>
      <c r="Z83" s="13">
        <v>84</v>
      </c>
      <c r="AA83" s="13">
        <v>2</v>
      </c>
      <c r="AB83" s="13">
        <v>5</v>
      </c>
      <c r="AC83" s="13">
        <v>3</v>
      </c>
      <c r="AD83" s="13">
        <v>1</v>
      </c>
      <c r="AE83" s="13">
        <v>1</v>
      </c>
    </row>
    <row r="84" spans="1:31">
      <c r="H84" s="7"/>
    </row>
    <row r="85" spans="1:31">
      <c r="H85" s="7"/>
    </row>
    <row r="86" spans="1:31">
      <c r="H86" s="7"/>
    </row>
    <row r="87" spans="1:31">
      <c r="H87" s="7"/>
    </row>
  </sheetData>
  <mergeCells count="3">
    <mergeCell ref="M1:U1"/>
    <mergeCell ref="V1:Z1"/>
    <mergeCell ref="AA1:AE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Plan CP</vt:lpstr>
      <vt:lpstr>PR Grupo</vt:lpstr>
      <vt:lpstr>Ubicacion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 vu</dc:creator>
  <cp:lastModifiedBy>nghia vu</cp:lastModifiedBy>
  <dcterms:created xsi:type="dcterms:W3CDTF">2026-05-12T03:23:09Z</dcterms:created>
  <dcterms:modified xsi:type="dcterms:W3CDTF">2026-05-12T18:00:22Z</dcterms:modified>
</cp:coreProperties>
</file>